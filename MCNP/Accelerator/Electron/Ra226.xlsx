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MyWork\MCNP\Accelerator\Electron\"/>
    </mc:Choice>
  </mc:AlternateContent>
  <xr:revisionPtr revIDLastSave="0" documentId="13_ncr:1_{FBE6D8A6-5C69-48BA-8D32-8DC68F82EE9B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2" l="1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" i="2"/>
  <c r="I24" i="2"/>
  <c r="L24" i="2" s="1"/>
  <c r="I25" i="2"/>
  <c r="L25" i="2" s="1"/>
  <c r="I32" i="2"/>
  <c r="L32" i="2" s="1"/>
  <c r="D4" i="2"/>
  <c r="E4" i="2"/>
  <c r="F4" i="2"/>
  <c r="G4" i="2" s="1"/>
  <c r="D5" i="2"/>
  <c r="E5" i="2"/>
  <c r="F5" i="2"/>
  <c r="G5" i="2" s="1"/>
  <c r="D6" i="2"/>
  <c r="E6" i="2"/>
  <c r="F6" i="2"/>
  <c r="G6" i="2" s="1"/>
  <c r="D7" i="2"/>
  <c r="E7" i="2"/>
  <c r="F7" i="2"/>
  <c r="G7" i="2" s="1"/>
  <c r="D8" i="2"/>
  <c r="E8" i="2"/>
  <c r="F8" i="2"/>
  <c r="G8" i="2" s="1"/>
  <c r="D9" i="2"/>
  <c r="E9" i="2"/>
  <c r="F9" i="2"/>
  <c r="G9" i="2" s="1"/>
  <c r="D10" i="2"/>
  <c r="E10" i="2"/>
  <c r="F10" i="2"/>
  <c r="G10" i="2" s="1"/>
  <c r="D11" i="2"/>
  <c r="E11" i="2"/>
  <c r="F11" i="2"/>
  <c r="G11" i="2" s="1"/>
  <c r="D12" i="2"/>
  <c r="E12" i="2"/>
  <c r="F12" i="2"/>
  <c r="G12" i="2" s="1"/>
  <c r="D13" i="2"/>
  <c r="E13" i="2"/>
  <c r="F13" i="2"/>
  <c r="G13" i="2" s="1"/>
  <c r="D14" i="2"/>
  <c r="E14" i="2"/>
  <c r="F14" i="2"/>
  <c r="G14" i="2" s="1"/>
  <c r="D15" i="2"/>
  <c r="E15" i="2"/>
  <c r="F15" i="2"/>
  <c r="G15" i="2" s="1"/>
  <c r="D16" i="2"/>
  <c r="E16" i="2"/>
  <c r="F16" i="2"/>
  <c r="G16" i="2" s="1"/>
  <c r="D17" i="2"/>
  <c r="E17" i="2"/>
  <c r="F17" i="2"/>
  <c r="G17" i="2" s="1"/>
  <c r="D18" i="2"/>
  <c r="E18" i="2"/>
  <c r="F18" i="2"/>
  <c r="H18" i="2" s="1"/>
  <c r="I18" i="2" s="1"/>
  <c r="L18" i="2" s="1"/>
  <c r="D19" i="2"/>
  <c r="E19" i="2"/>
  <c r="F19" i="2"/>
  <c r="G19" i="2" s="1"/>
  <c r="D20" i="2"/>
  <c r="E20" i="2"/>
  <c r="F20" i="2"/>
  <c r="G20" i="2" s="1"/>
  <c r="D21" i="2"/>
  <c r="E21" i="2"/>
  <c r="F21" i="2"/>
  <c r="G21" i="2" s="1"/>
  <c r="D22" i="2"/>
  <c r="E22" i="2"/>
  <c r="F22" i="2"/>
  <c r="H22" i="2" s="1"/>
  <c r="I22" i="2" s="1"/>
  <c r="L22" i="2" s="1"/>
  <c r="D23" i="2"/>
  <c r="E23" i="2"/>
  <c r="F23" i="2"/>
  <c r="G23" i="2" s="1"/>
  <c r="D24" i="2"/>
  <c r="E24" i="2"/>
  <c r="F24" i="2"/>
  <c r="H24" i="2" s="1"/>
  <c r="D25" i="2"/>
  <c r="E25" i="2"/>
  <c r="F25" i="2"/>
  <c r="G25" i="2"/>
  <c r="H25" i="2"/>
  <c r="D26" i="2"/>
  <c r="E26" i="2"/>
  <c r="F26" i="2"/>
  <c r="H26" i="2" s="1"/>
  <c r="I26" i="2" s="1"/>
  <c r="L26" i="2" s="1"/>
  <c r="D27" i="2"/>
  <c r="E27" i="2"/>
  <c r="F27" i="2"/>
  <c r="G27" i="2" s="1"/>
  <c r="D28" i="2"/>
  <c r="E28" i="2"/>
  <c r="F28" i="2"/>
  <c r="G28" i="2" s="1"/>
  <c r="D29" i="2"/>
  <c r="E29" i="2"/>
  <c r="F29" i="2"/>
  <c r="H29" i="2" s="1"/>
  <c r="I29" i="2" s="1"/>
  <c r="L29" i="2" s="1"/>
  <c r="D30" i="2"/>
  <c r="E30" i="2"/>
  <c r="F30" i="2"/>
  <c r="H30" i="2" s="1"/>
  <c r="I30" i="2" s="1"/>
  <c r="L30" i="2" s="1"/>
  <c r="D31" i="2"/>
  <c r="E31" i="2"/>
  <c r="F31" i="2"/>
  <c r="G31" i="2" s="1"/>
  <c r="D32" i="2"/>
  <c r="E32" i="2"/>
  <c r="F32" i="2"/>
  <c r="G32" i="2"/>
  <c r="H32" i="2"/>
  <c r="D33" i="2"/>
  <c r="E33" i="2"/>
  <c r="F33" i="2"/>
  <c r="G33" i="2" s="1"/>
  <c r="D3" i="2"/>
  <c r="F3" i="2"/>
  <c r="H3" i="2" s="1"/>
  <c r="I3" i="2" s="1"/>
  <c r="L3" i="2" s="1"/>
  <c r="E3" i="2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F4" i="1"/>
  <c r="E4" i="1"/>
  <c r="H23" i="2" l="1"/>
  <c r="I23" i="2" s="1"/>
  <c r="L23" i="2" s="1"/>
  <c r="G22" i="2"/>
  <c r="G18" i="2"/>
  <c r="H33" i="2"/>
  <c r="I33" i="2" s="1"/>
  <c r="L33" i="2" s="1"/>
  <c r="G30" i="2"/>
  <c r="G29" i="2"/>
  <c r="H28" i="2"/>
  <c r="I28" i="2" s="1"/>
  <c r="L28" i="2" s="1"/>
  <c r="H27" i="2"/>
  <c r="I27" i="2" s="1"/>
  <c r="L27" i="2" s="1"/>
  <c r="G26" i="2"/>
  <c r="G24" i="2"/>
  <c r="H12" i="2"/>
  <c r="I12" i="2" s="1"/>
  <c r="L12" i="2" s="1"/>
  <c r="H21" i="2"/>
  <c r="I21" i="2" s="1"/>
  <c r="L21" i="2" s="1"/>
  <c r="H11" i="2"/>
  <c r="I11" i="2" s="1"/>
  <c r="L11" i="2" s="1"/>
  <c r="H20" i="2"/>
  <c r="I20" i="2" s="1"/>
  <c r="L20" i="2" s="1"/>
  <c r="H10" i="2"/>
  <c r="I10" i="2" s="1"/>
  <c r="L10" i="2" s="1"/>
  <c r="H19" i="2"/>
  <c r="I19" i="2" s="1"/>
  <c r="L19" i="2" s="1"/>
  <c r="H9" i="2"/>
  <c r="I9" i="2" s="1"/>
  <c r="L9" i="2" s="1"/>
  <c r="H8" i="2"/>
  <c r="I8" i="2" s="1"/>
  <c r="L8" i="2" s="1"/>
  <c r="H17" i="2"/>
  <c r="I17" i="2" s="1"/>
  <c r="L17" i="2" s="1"/>
  <c r="H7" i="2"/>
  <c r="I7" i="2" s="1"/>
  <c r="L7" i="2" s="1"/>
  <c r="H16" i="2"/>
  <c r="I16" i="2" s="1"/>
  <c r="L16" i="2" s="1"/>
  <c r="H6" i="2"/>
  <c r="I6" i="2" s="1"/>
  <c r="L6" i="2" s="1"/>
  <c r="H15" i="2"/>
  <c r="I15" i="2" s="1"/>
  <c r="L15" i="2" s="1"/>
  <c r="H5" i="2"/>
  <c r="I5" i="2" s="1"/>
  <c r="L5" i="2" s="1"/>
  <c r="H14" i="2"/>
  <c r="I14" i="2" s="1"/>
  <c r="L14" i="2" s="1"/>
  <c r="H4" i="2"/>
  <c r="I4" i="2" s="1"/>
  <c r="L4" i="2" s="1"/>
  <c r="H13" i="2"/>
  <c r="I13" i="2" s="1"/>
  <c r="L13" i="2" s="1"/>
  <c r="H31" i="2"/>
  <c r="I31" i="2" s="1"/>
  <c r="L31" i="2" s="1"/>
  <c r="G3" i="2"/>
</calcChain>
</file>

<file path=xl/sharedStrings.xml><?xml version="1.0" encoding="utf-8"?>
<sst xmlns="http://schemas.openxmlformats.org/spreadsheetml/2006/main" count="15" uniqueCount="10">
  <si>
    <t>Nuclides</t>
  </si>
  <si>
    <t>w</t>
  </si>
  <si>
    <t>Error</t>
  </si>
  <si>
    <t>T1/2</t>
  </si>
  <si>
    <t>λ</t>
  </si>
  <si>
    <t>800μA-10d</t>
    <phoneticPr fontId="1" type="noConversion"/>
  </si>
  <si>
    <t>Ci</t>
    <phoneticPr fontId="1" type="noConversion"/>
  </si>
  <si>
    <t>isotopes</t>
  </si>
  <si>
    <t>cool-10d</t>
    <phoneticPr fontId="1" type="noConversion"/>
  </si>
  <si>
    <t>Bq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</si>
</sst>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1" fontId="0" fillId="0" borderId="0" xfId="0" applyNumberFormat="1"/>
    <xf numFmtId="11" fontId="3" fillId="0" borderId="0" xfId="0" applyNumberFormat="1" applyFont="1"/>
    <xf numFmtId="11" fontId="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 vertical="center"/>
    </xf>
    <xf numFmtId="0" fontId="0" fillId="0" borderId="4" xfId="0" applyBorder="1"/>
    <xf numFmtId="0" fontId="0" fillId="0" borderId="0" xfId="0" applyBorder="1"/>
    <xf numFmtId="0" fontId="0" fillId="0" borderId="5" xfId="0" applyBorder="1"/>
    <xf numFmtId="11" fontId="0" fillId="0" borderId="4" xfId="0" applyNumberFormat="1" applyBorder="1"/>
    <xf numFmtId="11" fontId="0" fillId="0" borderId="0" xfId="0" applyNumberFormat="1" applyBorder="1"/>
    <xf numFmtId="11" fontId="0" fillId="0" borderId="5" xfId="0" applyNumberFormat="1" applyBorder="1"/>
    <xf numFmtId="11" fontId="0" fillId="0" borderId="6" xfId="0" applyNumberFormat="1" applyBorder="1"/>
    <xf numFmtId="11" fontId="0" fillId="0" borderId="7" xfId="0" applyNumberFormat="1" applyBorder="1"/>
    <xf numFmtId="11" fontId="0" fillId="0" borderId="8" xfId="0" applyNumberForma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F56"/>
  <sheetViews>
    <sheetView topLeftCell="A10" workbookViewId="0">
      <selection activeCell="E4" sqref="E4:F56"/>
    </sheetView>
  </sheetViews>
  <sheetFormatPr defaultRowHeight="15.75" x14ac:dyDescent="0.25"/>
  <cols>
    <col min="2" max="3" width="9.25" style="2" bestFit="1" customWidth="1"/>
  </cols>
  <sheetData>
    <row r="4" spans="2:6" x14ac:dyDescent="0.25">
      <c r="B4" s="3">
        <v>0.25</v>
      </c>
      <c r="C4" s="2">
        <v>0</v>
      </c>
      <c r="E4" s="1">
        <f>B4</f>
        <v>0.25</v>
      </c>
      <c r="F4" s="1">
        <f>C4/1000</f>
        <v>0</v>
      </c>
    </row>
    <row r="5" spans="2:6" x14ac:dyDescent="0.25">
      <c r="B5" s="3">
        <v>0.5</v>
      </c>
      <c r="C5" s="2">
        <v>0</v>
      </c>
      <c r="E5" s="1">
        <f t="shared" ref="E5:E56" si="0">B5</f>
        <v>0.5</v>
      </c>
      <c r="F5" s="1">
        <f t="shared" ref="F5:F56" si="1">C5/1000</f>
        <v>0</v>
      </c>
    </row>
    <row r="6" spans="2:6" x14ac:dyDescent="0.25">
      <c r="B6" s="3">
        <v>1</v>
      </c>
      <c r="C6" s="2">
        <v>0</v>
      </c>
      <c r="E6" s="1">
        <f t="shared" si="0"/>
        <v>1</v>
      </c>
      <c r="F6" s="1">
        <f t="shared" si="1"/>
        <v>0</v>
      </c>
    </row>
    <row r="7" spans="2:6" x14ac:dyDescent="0.25">
      <c r="B7" s="3">
        <v>2</v>
      </c>
      <c r="C7" s="2">
        <v>0</v>
      </c>
      <c r="E7" s="1">
        <f t="shared" si="0"/>
        <v>2</v>
      </c>
      <c r="F7" s="1">
        <f t="shared" si="1"/>
        <v>0</v>
      </c>
    </row>
    <row r="8" spans="2:6" x14ac:dyDescent="0.25">
      <c r="B8" s="3">
        <v>3</v>
      </c>
      <c r="C8" s="2">
        <v>0</v>
      </c>
      <c r="E8" s="1">
        <f t="shared" si="0"/>
        <v>3</v>
      </c>
      <c r="F8" s="1">
        <f t="shared" si="1"/>
        <v>0</v>
      </c>
    </row>
    <row r="9" spans="2:6" x14ac:dyDescent="0.25">
      <c r="B9" s="3">
        <v>4</v>
      </c>
      <c r="C9" s="2">
        <v>0</v>
      </c>
      <c r="E9" s="1">
        <f t="shared" si="0"/>
        <v>4</v>
      </c>
      <c r="F9" s="1">
        <f t="shared" si="1"/>
        <v>0</v>
      </c>
    </row>
    <row r="10" spans="2:6" x14ac:dyDescent="0.25">
      <c r="B10" s="3">
        <v>5</v>
      </c>
      <c r="C10" s="2">
        <v>0</v>
      </c>
      <c r="E10" s="1">
        <f t="shared" si="0"/>
        <v>5</v>
      </c>
      <c r="F10" s="1">
        <f t="shared" si="1"/>
        <v>0</v>
      </c>
    </row>
    <row r="11" spans="2:6" x14ac:dyDescent="0.25">
      <c r="B11" s="3">
        <v>6</v>
      </c>
      <c r="C11" s="2">
        <v>0</v>
      </c>
      <c r="E11" s="1">
        <f t="shared" si="0"/>
        <v>6</v>
      </c>
      <c r="F11" s="1">
        <f t="shared" si="1"/>
        <v>0</v>
      </c>
    </row>
    <row r="12" spans="2:6" x14ac:dyDescent="0.25">
      <c r="B12" s="3">
        <v>7</v>
      </c>
      <c r="C12" s="2">
        <v>23.102709999999998</v>
      </c>
      <c r="E12" s="1">
        <f t="shared" si="0"/>
        <v>7</v>
      </c>
      <c r="F12" s="1">
        <f t="shared" si="1"/>
        <v>2.3102709999999999E-2</v>
      </c>
    </row>
    <row r="13" spans="2:6" x14ac:dyDescent="0.25">
      <c r="B13" s="3">
        <v>8</v>
      </c>
      <c r="C13" s="2">
        <v>42.31427</v>
      </c>
      <c r="E13" s="1">
        <f t="shared" si="0"/>
        <v>8</v>
      </c>
      <c r="F13" s="1">
        <f t="shared" si="1"/>
        <v>4.2314270000000001E-2</v>
      </c>
    </row>
    <row r="14" spans="2:6" x14ac:dyDescent="0.25">
      <c r="B14" s="3">
        <v>9</v>
      </c>
      <c r="C14" s="2">
        <v>81.061940000000007</v>
      </c>
      <c r="E14" s="1">
        <f t="shared" si="0"/>
        <v>9</v>
      </c>
      <c r="F14" s="1">
        <f t="shared" si="1"/>
        <v>8.1061940000000013E-2</v>
      </c>
    </row>
    <row r="15" spans="2:6" x14ac:dyDescent="0.25">
      <c r="B15" s="3">
        <v>10</v>
      </c>
      <c r="C15" s="2">
        <v>160.72630000000001</v>
      </c>
      <c r="E15" s="1">
        <f t="shared" si="0"/>
        <v>10</v>
      </c>
      <c r="F15" s="1">
        <f t="shared" si="1"/>
        <v>0.16072630000000002</v>
      </c>
    </row>
    <row r="16" spans="2:6" x14ac:dyDescent="0.25">
      <c r="B16" s="3">
        <v>11</v>
      </c>
      <c r="C16" s="2">
        <v>293.23829999999998</v>
      </c>
      <c r="E16" s="1">
        <f t="shared" si="0"/>
        <v>11</v>
      </c>
      <c r="F16" s="1">
        <f t="shared" si="1"/>
        <v>0.29323830000000001</v>
      </c>
    </row>
    <row r="17" spans="2:6" x14ac:dyDescent="0.25">
      <c r="B17" s="3">
        <v>12</v>
      </c>
      <c r="C17" s="2">
        <v>316.49799999999999</v>
      </c>
      <c r="E17" s="1">
        <f t="shared" si="0"/>
        <v>12</v>
      </c>
      <c r="F17" s="1">
        <f t="shared" si="1"/>
        <v>0.316498</v>
      </c>
    </row>
    <row r="18" spans="2:6" x14ac:dyDescent="0.25">
      <c r="B18" s="3">
        <v>12.5</v>
      </c>
      <c r="C18" s="2">
        <v>258.61270000000002</v>
      </c>
      <c r="E18" s="1">
        <f t="shared" si="0"/>
        <v>12.5</v>
      </c>
      <c r="F18" s="1">
        <f t="shared" si="1"/>
        <v>0.25861270000000003</v>
      </c>
    </row>
    <row r="19" spans="2:6" x14ac:dyDescent="0.25">
      <c r="B19" s="3">
        <v>13</v>
      </c>
      <c r="C19" s="2">
        <v>199.5951</v>
      </c>
      <c r="E19" s="1">
        <f t="shared" si="0"/>
        <v>13</v>
      </c>
      <c r="F19" s="1">
        <f t="shared" si="1"/>
        <v>0.1995951</v>
      </c>
    </row>
    <row r="20" spans="2:6" x14ac:dyDescent="0.25">
      <c r="B20" s="3">
        <v>13.5</v>
      </c>
      <c r="C20" s="2">
        <v>140.51230000000001</v>
      </c>
      <c r="E20" s="1">
        <f t="shared" si="0"/>
        <v>13.5</v>
      </c>
      <c r="F20" s="1">
        <f t="shared" si="1"/>
        <v>0.14051230000000001</v>
      </c>
    </row>
    <row r="21" spans="2:6" x14ac:dyDescent="0.25">
      <c r="B21" s="3">
        <v>14</v>
      </c>
      <c r="C21" s="2">
        <v>96.900899999999993</v>
      </c>
      <c r="E21" s="1">
        <f t="shared" si="0"/>
        <v>14</v>
      </c>
      <c r="F21" s="1">
        <f t="shared" si="1"/>
        <v>9.6900899999999998E-2</v>
      </c>
    </row>
    <row r="22" spans="2:6" x14ac:dyDescent="0.25">
      <c r="B22" s="3">
        <v>14.5</v>
      </c>
      <c r="C22" s="2">
        <v>67.447890000000001</v>
      </c>
      <c r="E22" s="1">
        <f t="shared" si="0"/>
        <v>14.5</v>
      </c>
      <c r="F22" s="1">
        <f t="shared" si="1"/>
        <v>6.7447889999999996E-2</v>
      </c>
    </row>
    <row r="23" spans="2:6" x14ac:dyDescent="0.25">
      <c r="B23" s="3">
        <v>15</v>
      </c>
      <c r="C23" s="2">
        <v>47.339060000000003</v>
      </c>
      <c r="E23" s="1">
        <f t="shared" si="0"/>
        <v>15</v>
      </c>
      <c r="F23" s="1">
        <f t="shared" si="1"/>
        <v>4.7339060000000002E-2</v>
      </c>
    </row>
    <row r="24" spans="2:6" x14ac:dyDescent="0.25">
      <c r="B24" s="3">
        <v>15.5</v>
      </c>
      <c r="C24" s="2">
        <v>33.99342</v>
      </c>
      <c r="E24" s="1">
        <f t="shared" si="0"/>
        <v>15.5</v>
      </c>
      <c r="F24" s="1">
        <f t="shared" si="1"/>
        <v>3.3993420000000003E-2</v>
      </c>
    </row>
    <row r="25" spans="2:6" x14ac:dyDescent="0.25">
      <c r="B25" s="3">
        <v>16</v>
      </c>
      <c r="C25" s="2">
        <v>24.740839999999999</v>
      </c>
      <c r="E25" s="1">
        <f t="shared" si="0"/>
        <v>16</v>
      </c>
      <c r="F25" s="1">
        <f t="shared" si="1"/>
        <v>2.474084E-2</v>
      </c>
    </row>
    <row r="26" spans="2:6" x14ac:dyDescent="0.25">
      <c r="B26" s="3">
        <v>16.5</v>
      </c>
      <c r="C26" s="2">
        <v>18.4724</v>
      </c>
      <c r="E26" s="1">
        <f t="shared" si="0"/>
        <v>16.5</v>
      </c>
      <c r="F26" s="1">
        <f t="shared" si="1"/>
        <v>1.84724E-2</v>
      </c>
    </row>
    <row r="27" spans="2:6" x14ac:dyDescent="0.25">
      <c r="B27" s="3">
        <v>17</v>
      </c>
      <c r="C27" s="2">
        <v>14.33047</v>
      </c>
      <c r="E27" s="1">
        <f t="shared" si="0"/>
        <v>17</v>
      </c>
      <c r="F27" s="1">
        <f t="shared" si="1"/>
        <v>1.433047E-2</v>
      </c>
    </row>
    <row r="28" spans="2:6" x14ac:dyDescent="0.25">
      <c r="B28" s="3">
        <v>17.5</v>
      </c>
      <c r="C28" s="2">
        <v>11.484</v>
      </c>
      <c r="E28" s="1">
        <f t="shared" si="0"/>
        <v>17.5</v>
      </c>
      <c r="F28" s="1">
        <f t="shared" si="1"/>
        <v>1.1483999999999999E-2</v>
      </c>
    </row>
    <row r="29" spans="2:6" x14ac:dyDescent="0.25">
      <c r="B29" s="3">
        <v>18</v>
      </c>
      <c r="C29" s="2">
        <v>9.4073689999999992</v>
      </c>
      <c r="E29" s="1">
        <f t="shared" si="0"/>
        <v>18</v>
      </c>
      <c r="F29" s="1">
        <f t="shared" si="1"/>
        <v>9.4073689999999988E-3</v>
      </c>
    </row>
    <row r="30" spans="2:6" x14ac:dyDescent="0.25">
      <c r="B30" s="3">
        <v>19</v>
      </c>
      <c r="C30" s="2">
        <v>6.7224519999999997</v>
      </c>
      <c r="E30" s="1">
        <f t="shared" si="0"/>
        <v>19</v>
      </c>
      <c r="F30" s="1">
        <f t="shared" si="1"/>
        <v>6.7224519999999994E-3</v>
      </c>
    </row>
    <row r="31" spans="2:6" x14ac:dyDescent="0.25">
      <c r="B31" s="3">
        <v>20</v>
      </c>
      <c r="C31" s="2">
        <v>5.0836399999999999</v>
      </c>
      <c r="E31" s="1">
        <f t="shared" si="0"/>
        <v>20</v>
      </c>
      <c r="F31" s="1">
        <f t="shared" si="1"/>
        <v>5.0836399999999995E-3</v>
      </c>
    </row>
    <row r="32" spans="2:6" x14ac:dyDescent="0.25">
      <c r="B32" s="3">
        <v>22</v>
      </c>
      <c r="C32" s="2">
        <v>3.2367620000000001</v>
      </c>
      <c r="E32" s="1">
        <f t="shared" si="0"/>
        <v>22</v>
      </c>
      <c r="F32" s="1">
        <f t="shared" si="1"/>
        <v>3.2367620000000002E-3</v>
      </c>
    </row>
    <row r="33" spans="2:6" x14ac:dyDescent="0.25">
      <c r="B33" s="3">
        <v>24</v>
      </c>
      <c r="C33" s="2">
        <v>2.2849629999999999</v>
      </c>
      <c r="E33" s="1">
        <f t="shared" si="0"/>
        <v>24</v>
      </c>
      <c r="F33" s="1">
        <f t="shared" si="1"/>
        <v>2.2849629999999997E-3</v>
      </c>
    </row>
    <row r="34" spans="2:6" x14ac:dyDescent="0.25">
      <c r="B34" s="3">
        <v>26</v>
      </c>
      <c r="C34" s="2">
        <v>1.7009289999999999</v>
      </c>
      <c r="E34" s="1">
        <f t="shared" si="0"/>
        <v>26</v>
      </c>
      <c r="F34" s="1">
        <f t="shared" si="1"/>
        <v>1.7009289999999999E-3</v>
      </c>
    </row>
    <row r="35" spans="2:6" x14ac:dyDescent="0.25">
      <c r="B35" s="3">
        <v>28</v>
      </c>
      <c r="C35" s="2">
        <v>1.3059730000000001</v>
      </c>
      <c r="E35" s="1">
        <f t="shared" si="0"/>
        <v>28</v>
      </c>
      <c r="F35" s="1">
        <f t="shared" si="1"/>
        <v>1.305973E-3</v>
      </c>
    </row>
    <row r="36" spans="2:6" x14ac:dyDescent="0.25">
      <c r="B36" s="3">
        <v>30</v>
      </c>
      <c r="C36" s="2">
        <v>1.060781</v>
      </c>
      <c r="E36" s="1">
        <f t="shared" si="0"/>
        <v>30</v>
      </c>
      <c r="F36" s="1">
        <f t="shared" si="1"/>
        <v>1.060781E-3</v>
      </c>
    </row>
    <row r="37" spans="2:6" x14ac:dyDescent="0.25">
      <c r="B37" s="3">
        <v>35</v>
      </c>
      <c r="C37" s="2">
        <v>0.66011940000000002</v>
      </c>
      <c r="E37" s="1">
        <f t="shared" si="0"/>
        <v>35</v>
      </c>
      <c r="F37" s="1">
        <f t="shared" si="1"/>
        <v>6.6011940000000005E-4</v>
      </c>
    </row>
    <row r="38" spans="2:6" x14ac:dyDescent="0.25">
      <c r="B38" s="3">
        <v>40</v>
      </c>
      <c r="C38" s="2">
        <v>0.4314519</v>
      </c>
      <c r="E38" s="1">
        <f t="shared" si="0"/>
        <v>40</v>
      </c>
      <c r="F38" s="1">
        <f t="shared" si="1"/>
        <v>4.3145189999999999E-4</v>
      </c>
    </row>
    <row r="39" spans="2:6" x14ac:dyDescent="0.25">
      <c r="B39" s="3">
        <v>45</v>
      </c>
      <c r="C39" s="2">
        <v>0.2899543</v>
      </c>
      <c r="E39" s="1">
        <f t="shared" si="0"/>
        <v>45</v>
      </c>
      <c r="F39" s="1">
        <f t="shared" si="1"/>
        <v>2.8995429999999998E-4</v>
      </c>
    </row>
    <row r="40" spans="2:6" x14ac:dyDescent="0.25">
      <c r="B40" s="3">
        <v>50</v>
      </c>
      <c r="C40" s="2">
        <v>0.20155980000000001</v>
      </c>
      <c r="E40" s="1">
        <f t="shared" si="0"/>
        <v>50</v>
      </c>
      <c r="F40" s="1">
        <f t="shared" si="1"/>
        <v>2.015598E-4</v>
      </c>
    </row>
    <row r="41" spans="2:6" x14ac:dyDescent="0.25">
      <c r="B41" s="3">
        <v>55</v>
      </c>
      <c r="C41" s="2">
        <v>0.16135240000000001</v>
      </c>
      <c r="E41" s="1">
        <f t="shared" si="0"/>
        <v>55</v>
      </c>
      <c r="F41" s="1">
        <f t="shared" si="1"/>
        <v>1.613524E-4</v>
      </c>
    </row>
    <row r="42" spans="2:6" x14ac:dyDescent="0.25">
      <c r="B42" s="3">
        <v>60</v>
      </c>
      <c r="C42" s="2">
        <v>0.11786240000000001</v>
      </c>
      <c r="E42" s="1">
        <f t="shared" si="0"/>
        <v>60</v>
      </c>
      <c r="F42" s="1">
        <f t="shared" si="1"/>
        <v>1.1786240000000001E-4</v>
      </c>
    </row>
    <row r="43" spans="2:6" x14ac:dyDescent="0.25">
      <c r="B43" s="3">
        <v>65</v>
      </c>
      <c r="C43" s="2">
        <v>0.10159890000000001</v>
      </c>
      <c r="E43" s="1">
        <f t="shared" si="0"/>
        <v>65</v>
      </c>
      <c r="F43" s="1">
        <f t="shared" si="1"/>
        <v>1.0159890000000001E-4</v>
      </c>
    </row>
    <row r="44" spans="2:6" x14ac:dyDescent="0.25">
      <c r="B44" s="3">
        <v>70</v>
      </c>
      <c r="C44" s="2">
        <v>7.9283640000000002E-2</v>
      </c>
      <c r="E44" s="1">
        <f t="shared" si="0"/>
        <v>70</v>
      </c>
      <c r="F44" s="1">
        <f t="shared" si="1"/>
        <v>7.9283639999999997E-5</v>
      </c>
    </row>
    <row r="45" spans="2:6" x14ac:dyDescent="0.25">
      <c r="B45" s="3">
        <v>75</v>
      </c>
      <c r="C45" s="2">
        <v>7.2349830000000004E-2</v>
      </c>
      <c r="E45" s="1">
        <f t="shared" si="0"/>
        <v>75</v>
      </c>
      <c r="F45" s="1">
        <f t="shared" si="1"/>
        <v>7.2349829999999998E-5</v>
      </c>
    </row>
    <row r="46" spans="2:6" x14ac:dyDescent="0.25">
      <c r="B46" s="3">
        <v>80</v>
      </c>
      <c r="C46" s="2">
        <v>5.7764049999999997E-2</v>
      </c>
      <c r="E46" s="1">
        <f t="shared" si="0"/>
        <v>80</v>
      </c>
      <c r="F46" s="1">
        <f t="shared" si="1"/>
        <v>5.7764049999999995E-5</v>
      </c>
    </row>
    <row r="47" spans="2:6" x14ac:dyDescent="0.25">
      <c r="B47" s="3">
        <v>90</v>
      </c>
      <c r="C47" s="2">
        <v>4.5458890000000002E-2</v>
      </c>
      <c r="E47" s="1">
        <f t="shared" si="0"/>
        <v>90</v>
      </c>
      <c r="F47" s="1">
        <f t="shared" si="1"/>
        <v>4.5458889999999999E-5</v>
      </c>
    </row>
    <row r="48" spans="2:6" x14ac:dyDescent="0.25">
      <c r="B48" s="3">
        <v>100</v>
      </c>
      <c r="C48" s="2">
        <v>3.7008199999999998E-2</v>
      </c>
      <c r="E48" s="1">
        <f t="shared" si="0"/>
        <v>100</v>
      </c>
      <c r="F48" s="1">
        <f t="shared" si="1"/>
        <v>3.7008199999999996E-5</v>
      </c>
    </row>
    <row r="49" spans="2:6" x14ac:dyDescent="0.25">
      <c r="B49" s="3">
        <v>110</v>
      </c>
      <c r="C49" s="2">
        <v>2.902594E-2</v>
      </c>
      <c r="E49" s="1">
        <f t="shared" si="0"/>
        <v>110</v>
      </c>
      <c r="F49" s="1">
        <f t="shared" si="1"/>
        <v>2.9025939999999999E-5</v>
      </c>
    </row>
    <row r="50" spans="2:6" x14ac:dyDescent="0.25">
      <c r="B50" s="3">
        <v>120</v>
      </c>
      <c r="C50" s="2">
        <v>2.480564E-2</v>
      </c>
      <c r="E50" s="1">
        <f t="shared" si="0"/>
        <v>120</v>
      </c>
      <c r="F50" s="1">
        <f t="shared" si="1"/>
        <v>2.4805640000000001E-5</v>
      </c>
    </row>
    <row r="51" spans="2:6" x14ac:dyDescent="0.25">
      <c r="B51" s="3">
        <v>130</v>
      </c>
      <c r="C51" s="2">
        <v>1.952769E-2</v>
      </c>
      <c r="E51" s="1">
        <f t="shared" si="0"/>
        <v>130</v>
      </c>
      <c r="F51" s="1">
        <f t="shared" si="1"/>
        <v>1.9527689999999999E-5</v>
      </c>
    </row>
    <row r="52" spans="2:6" x14ac:dyDescent="0.25">
      <c r="B52" s="3">
        <v>140</v>
      </c>
      <c r="C52" s="2">
        <v>1.6543249999999999E-2</v>
      </c>
      <c r="E52" s="1">
        <f t="shared" si="0"/>
        <v>140</v>
      </c>
      <c r="F52" s="1">
        <f t="shared" si="1"/>
        <v>1.6543249999999998E-5</v>
      </c>
    </row>
    <row r="53" spans="2:6" x14ac:dyDescent="0.25">
      <c r="B53" s="3">
        <v>150</v>
      </c>
      <c r="C53" s="2">
        <v>1.378426E-2</v>
      </c>
      <c r="E53" s="1">
        <f t="shared" si="0"/>
        <v>150</v>
      </c>
      <c r="F53" s="1">
        <f t="shared" si="1"/>
        <v>1.378426E-5</v>
      </c>
    </row>
    <row r="54" spans="2:6" x14ac:dyDescent="0.25">
      <c r="B54" s="3">
        <v>160</v>
      </c>
      <c r="C54" s="2">
        <v>1.047587E-2</v>
      </c>
      <c r="E54" s="1">
        <f t="shared" si="0"/>
        <v>160</v>
      </c>
      <c r="F54" s="1">
        <f t="shared" si="1"/>
        <v>1.047587E-5</v>
      </c>
    </row>
    <row r="55" spans="2:6" x14ac:dyDescent="0.25">
      <c r="B55" s="3">
        <v>180</v>
      </c>
      <c r="C55" s="2">
        <v>8.2077729999999998E-3</v>
      </c>
      <c r="E55" s="1">
        <f t="shared" si="0"/>
        <v>180</v>
      </c>
      <c r="F55" s="1">
        <f t="shared" si="1"/>
        <v>8.207772999999999E-6</v>
      </c>
    </row>
    <row r="56" spans="2:6" x14ac:dyDescent="0.25">
      <c r="B56" s="3">
        <v>200</v>
      </c>
      <c r="C56" s="2">
        <v>4.9890890000000004E-3</v>
      </c>
      <c r="E56" s="1">
        <f t="shared" si="0"/>
        <v>200</v>
      </c>
      <c r="F56" s="1">
        <f t="shared" si="1"/>
        <v>4.9890890000000001E-6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99AA-452B-4B23-AFC4-3285956F3F44}">
  <dimension ref="B1:N33"/>
  <sheetViews>
    <sheetView tabSelected="1" workbookViewId="0">
      <selection activeCell="P6" sqref="P6"/>
    </sheetView>
  </sheetViews>
  <sheetFormatPr defaultRowHeight="14.25" x14ac:dyDescent="0.2"/>
  <sheetData>
    <row r="1" spans="2:14" x14ac:dyDescent="0.2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7</v>
      </c>
      <c r="L1" s="4" t="s">
        <v>8</v>
      </c>
      <c r="N1" s="4" t="s">
        <v>7</v>
      </c>
    </row>
    <row r="2" spans="2:14" x14ac:dyDescent="0.2">
      <c r="I2" s="9" t="s">
        <v>9</v>
      </c>
      <c r="J2" s="10" t="s">
        <v>6</v>
      </c>
      <c r="K2" s="11"/>
      <c r="L2" t="s">
        <v>9</v>
      </c>
      <c r="M2" t="s">
        <v>6</v>
      </c>
    </row>
    <row r="3" spans="2:14" x14ac:dyDescent="0.2">
      <c r="B3">
        <v>88225</v>
      </c>
      <c r="C3" s="1">
        <v>8.929687E-5</v>
      </c>
      <c r="D3">
        <f>0</f>
        <v>0</v>
      </c>
      <c r="E3" t="str">
        <f>VLOOKUP(B3,[1]Nuclides!A:E,5,FALSE)</f>
        <v>Ra225</v>
      </c>
      <c r="F3" s="1">
        <f>VLOOKUP(B3,[1]Nuclides!A:E,4,FALSE)</f>
        <v>1287360</v>
      </c>
      <c r="G3" s="1" t="str">
        <f t="shared" ref="G3" si="0">IF(F3="STABLE", "STABLE", IF(F3&lt;60, F3&amp;"s", IF(F3&lt;3600, ROUND(F3/60,2)&amp;"min", IF(F3&lt;86400, ROUND(F3/3600,2)&amp;"h", IF(F3&lt;31536000, ROUND(F3/86400,2)&amp;"d", ROUND(F3/31536000,2)&amp;"y")))))</f>
        <v>14.9d</v>
      </c>
      <c r="H3" s="1">
        <f t="shared" ref="H3" si="1">LN(2)/F3</f>
        <v>5.3842528939841639E-7</v>
      </c>
      <c r="I3" s="12">
        <f>800*6240000000000*C3*(1-EXP(-H3*24*10*3600))</f>
        <v>165822046072.14056</v>
      </c>
      <c r="J3" s="13">
        <f>I3/37000000000</f>
        <v>4.4816769208686642</v>
      </c>
      <c r="K3" s="14">
        <f>I3/H3</f>
        <v>3.0797596126551533E+17</v>
      </c>
      <c r="L3" s="1">
        <f>I3*EXP(-H3*24*10*3600)</f>
        <v>104137875977.27551</v>
      </c>
      <c r="M3" s="13">
        <f>L3/37000000000</f>
        <v>2.8145371885750139</v>
      </c>
      <c r="N3" s="1">
        <f>L3/H3</f>
        <v>1.9341193296033504E+17</v>
      </c>
    </row>
    <row r="4" spans="2:14" x14ac:dyDescent="0.2">
      <c r="B4">
        <v>88224</v>
      </c>
      <c r="C4" s="1">
        <v>8.0796279999999996E-5</v>
      </c>
      <c r="D4">
        <f>0</f>
        <v>0</v>
      </c>
      <c r="E4" t="str">
        <f>VLOOKUP(B4,[1]Nuclides!A:E,5,FALSE)</f>
        <v>Ra224</v>
      </c>
      <c r="F4" s="1">
        <f>VLOOKUP(B4,[1]Nuclides!A:E,4,FALSE)</f>
        <v>313796.15999999997</v>
      </c>
      <c r="G4" s="1" t="str">
        <f t="shared" ref="G4:G33" si="2">IF(F4="STABLE", "STABLE", IF(F4&lt;60, F4&amp;"s", IF(F4&lt;3600, ROUND(F4/60,2)&amp;"min", IF(F4&lt;86400, ROUND(F4/3600,2)&amp;"h", IF(F4&lt;31536000, ROUND(F4/86400,2)&amp;"d", ROUND(F4/31536000,2)&amp;"y")))))</f>
        <v>3.63d</v>
      </c>
      <c r="H4" s="1">
        <f t="shared" ref="H4:H33" si="3">LN(2)/F4</f>
        <v>2.2089090591801547E-6</v>
      </c>
      <c r="I4" s="12">
        <f t="shared" ref="I4:I33" si="4">800*6240000000000*C4*(1-EXP(-H4*24*10*3600))</f>
        <v>343519212491.55389</v>
      </c>
      <c r="J4" s="13">
        <f t="shared" ref="J4:J33" si="5">I4/37000000000</f>
        <v>9.2843030403122668</v>
      </c>
      <c r="K4" s="14">
        <f t="shared" ref="K4:K33" si="6">I4/H4</f>
        <v>1.5551532602209184E+17</v>
      </c>
      <c r="L4" s="1">
        <f>I4*EXP(-H4*24*10*3600)</f>
        <v>50944948805.518028</v>
      </c>
      <c r="M4" s="13">
        <f t="shared" ref="M4:M33" si="7">L4/37000000000</f>
        <v>1.376890508257244</v>
      </c>
      <c r="N4" s="1">
        <f t="shared" ref="N4:N33" si="8">L4/H4</f>
        <v>2.3063398012603764E+16</v>
      </c>
    </row>
    <row r="5" spans="2:14" x14ac:dyDescent="0.2">
      <c r="B5">
        <v>88226</v>
      </c>
      <c r="C5" s="1">
        <v>2.068349E-6</v>
      </c>
      <c r="D5">
        <f>0</f>
        <v>0</v>
      </c>
      <c r="E5" t="str">
        <f>VLOOKUP(B5,[1]Nuclides!A:E,5,FALSE)</f>
        <v>Ra226</v>
      </c>
      <c r="F5" s="1">
        <f>VLOOKUP(B5,[1]Nuclides!A:E,4,FALSE)</f>
        <v>50492160000</v>
      </c>
      <c r="G5" s="1" t="str">
        <f t="shared" si="2"/>
        <v>1601.1y</v>
      </c>
      <c r="H5" s="1">
        <f t="shared" si="3"/>
        <v>1.3727817953518829E-11</v>
      </c>
      <c r="I5" s="12">
        <f t="shared" si="4"/>
        <v>122464.74304371301</v>
      </c>
      <c r="J5" s="13">
        <f t="shared" si="5"/>
        <v>3.3098579201003515E-6</v>
      </c>
      <c r="K5" s="14">
        <f t="shared" si="6"/>
        <v>8920918346846363</v>
      </c>
      <c r="L5" s="1">
        <f>I5*EXP(-H5*24*10*3600)</f>
        <v>122463.29051825184</v>
      </c>
      <c r="M5" s="13">
        <f t="shared" si="7"/>
        <v>3.309818662655455E-6</v>
      </c>
      <c r="N5" s="1">
        <f t="shared" si="8"/>
        <v>8920812537935865</v>
      </c>
    </row>
    <row r="6" spans="2:14" x14ac:dyDescent="0.2">
      <c r="B6">
        <v>88223</v>
      </c>
      <c r="C6" s="1">
        <v>1.3001780000000001E-6</v>
      </c>
      <c r="D6">
        <f>0</f>
        <v>0</v>
      </c>
      <c r="E6" t="str">
        <f>VLOOKUP(B6,[1]Nuclides!A:E,5,FALSE)</f>
        <v>Ra223</v>
      </c>
      <c r="F6" s="1">
        <f>VLOOKUP(B6,[1]Nuclides!A:E,4,FALSE)</f>
        <v>987552</v>
      </c>
      <c r="G6" s="1" t="str">
        <f t="shared" si="2"/>
        <v>11.43d</v>
      </c>
      <c r="H6" s="1">
        <f t="shared" si="3"/>
        <v>7.0188423552374482E-7</v>
      </c>
      <c r="I6" s="12">
        <f t="shared" si="4"/>
        <v>2951256309.5324616</v>
      </c>
      <c r="J6" s="13">
        <f t="shared" si="5"/>
        <v>7.9763684041417884E-2</v>
      </c>
      <c r="K6" s="14">
        <f t="shared" si="6"/>
        <v>4204762210295604</v>
      </c>
      <c r="L6" s="1">
        <f>I6*EXP(-H6*24*10*3600)</f>
        <v>1609305899.703227</v>
      </c>
      <c r="M6" s="13">
        <f t="shared" si="7"/>
        <v>4.349475404603316E-2</v>
      </c>
      <c r="N6" s="1">
        <f t="shared" si="8"/>
        <v>2292836650622828</v>
      </c>
    </row>
    <row r="7" spans="2:14" x14ac:dyDescent="0.2">
      <c r="B7">
        <v>87225</v>
      </c>
      <c r="C7" s="1">
        <v>3.213911E-9</v>
      </c>
      <c r="D7">
        <f>0</f>
        <v>0</v>
      </c>
      <c r="E7" t="str">
        <f>VLOOKUP(B7,[1]Nuclides!A:E,5,FALSE)</f>
        <v>Fr225</v>
      </c>
      <c r="F7" s="1">
        <f>VLOOKUP(B7,[1]Nuclides!A:E,4,FALSE)</f>
        <v>237</v>
      </c>
      <c r="G7" s="1" t="str">
        <f t="shared" si="2"/>
        <v>3.95min</v>
      </c>
      <c r="H7" s="1">
        <f t="shared" si="3"/>
        <v>2.9246716479322584E-3</v>
      </c>
      <c r="I7" s="12">
        <f t="shared" si="4"/>
        <v>16043843.711999999</v>
      </c>
      <c r="J7" s="13">
        <f t="shared" si="5"/>
        <v>4.3361739762162163E-4</v>
      </c>
      <c r="K7" s="14">
        <f t="shared" si="6"/>
        <v>5485690581.1436949</v>
      </c>
      <c r="L7" s="1">
        <f>I7*EXP(-H7*24*10*3600)</f>
        <v>0</v>
      </c>
      <c r="M7" s="13">
        <f t="shared" si="7"/>
        <v>0</v>
      </c>
      <c r="N7" s="1">
        <f t="shared" si="8"/>
        <v>0</v>
      </c>
    </row>
    <row r="8" spans="2:14" x14ac:dyDescent="0.2">
      <c r="B8">
        <v>88222</v>
      </c>
      <c r="C8" s="1">
        <v>2.0933230000000001E-9</v>
      </c>
      <c r="D8">
        <f>0</f>
        <v>0</v>
      </c>
      <c r="E8" t="str">
        <f>VLOOKUP(B8,[1]Nuclides!A:E,5,FALSE)</f>
        <v>Ra222</v>
      </c>
      <c r="F8" s="1">
        <f>VLOOKUP(B8,[1]Nuclides!A:E,4,FALSE)</f>
        <v>38</v>
      </c>
      <c r="G8" s="1" t="str">
        <f t="shared" si="2"/>
        <v>38s</v>
      </c>
      <c r="H8" s="1">
        <f t="shared" si="3"/>
        <v>1.8240715277893296E-2</v>
      </c>
      <c r="I8" s="12">
        <f t="shared" si="4"/>
        <v>10449868.416000001</v>
      </c>
      <c r="J8" s="13">
        <f t="shared" si="5"/>
        <v>2.8242887610810814E-4</v>
      </c>
      <c r="K8" s="14">
        <f t="shared" si="6"/>
        <v>572886986.98480558</v>
      </c>
      <c r="L8" s="1">
        <f>I8*EXP(-H8*24*10*3600)</f>
        <v>0</v>
      </c>
      <c r="M8" s="13">
        <f t="shared" si="7"/>
        <v>0</v>
      </c>
      <c r="N8" s="1">
        <f t="shared" si="8"/>
        <v>0</v>
      </c>
    </row>
    <row r="9" spans="2:14" x14ac:dyDescent="0.2">
      <c r="B9">
        <v>87224</v>
      </c>
      <c r="C9" s="1">
        <v>2.7376889999999999E-10</v>
      </c>
      <c r="D9">
        <f>0</f>
        <v>0</v>
      </c>
      <c r="E9" t="str">
        <f>VLOOKUP(B9,[1]Nuclides!A:E,5,FALSE)</f>
        <v>Fr224</v>
      </c>
      <c r="F9" s="1">
        <f>VLOOKUP(B9,[1]Nuclides!A:E,4,FALSE)</f>
        <v>199.8</v>
      </c>
      <c r="G9" s="1" t="str">
        <f t="shared" si="2"/>
        <v>3.33min</v>
      </c>
      <c r="H9" s="1">
        <f t="shared" si="3"/>
        <v>3.4692051079076337E-3</v>
      </c>
      <c r="I9" s="12">
        <f t="shared" si="4"/>
        <v>1366654.3488</v>
      </c>
      <c r="J9" s="13">
        <f t="shared" si="5"/>
        <v>3.6936604021621619E-5</v>
      </c>
      <c r="K9" s="14">
        <f t="shared" si="6"/>
        <v>393938757.23429459</v>
      </c>
      <c r="L9" s="1">
        <f>I9*EXP(-H9*24*10*3600)</f>
        <v>0</v>
      </c>
      <c r="M9" s="13">
        <f t="shared" si="7"/>
        <v>0</v>
      </c>
      <c r="N9" s="1">
        <f t="shared" si="8"/>
        <v>0</v>
      </c>
    </row>
    <row r="10" spans="2:14" x14ac:dyDescent="0.2">
      <c r="B10">
        <v>87224</v>
      </c>
      <c r="C10" s="1">
        <v>1.45411E-10</v>
      </c>
      <c r="D10">
        <f>0</f>
        <v>0</v>
      </c>
      <c r="E10" t="str">
        <f>VLOOKUP(B10,[1]Nuclides!A:E,5,FALSE)</f>
        <v>Fr224</v>
      </c>
      <c r="F10" s="1">
        <f>VLOOKUP(B10,[1]Nuclides!A:E,4,FALSE)</f>
        <v>199.8</v>
      </c>
      <c r="G10" s="1" t="str">
        <f t="shared" si="2"/>
        <v>3.33min</v>
      </c>
      <c r="H10" s="1">
        <f t="shared" si="3"/>
        <v>3.4692051079076337E-3</v>
      </c>
      <c r="I10" s="12">
        <f t="shared" si="4"/>
        <v>725891.71200000006</v>
      </c>
      <c r="J10" s="13">
        <f t="shared" si="5"/>
        <v>1.9618694918918922E-5</v>
      </c>
      <c r="K10" s="14">
        <f t="shared" si="6"/>
        <v>209238626.55033502</v>
      </c>
      <c r="L10" s="1">
        <f>I10*EXP(-H10*24*10*3600)</f>
        <v>0</v>
      </c>
      <c r="M10" s="13">
        <f t="shared" si="7"/>
        <v>0</v>
      </c>
      <c r="N10" s="1">
        <f t="shared" si="8"/>
        <v>0</v>
      </c>
    </row>
    <row r="11" spans="2:14" x14ac:dyDescent="0.2">
      <c r="B11">
        <v>87224</v>
      </c>
      <c r="C11" s="1">
        <v>1.2835790000000001E-10</v>
      </c>
      <c r="D11">
        <f>0</f>
        <v>0</v>
      </c>
      <c r="E11" t="str">
        <f>VLOOKUP(B11,[1]Nuclides!A:E,5,FALSE)</f>
        <v>Fr224</v>
      </c>
      <c r="F11" s="1">
        <f>VLOOKUP(B11,[1]Nuclides!A:E,4,FALSE)</f>
        <v>199.8</v>
      </c>
      <c r="G11" s="1" t="str">
        <f t="shared" si="2"/>
        <v>3.33min</v>
      </c>
      <c r="H11" s="1">
        <f t="shared" si="3"/>
        <v>3.4692051079076337E-3</v>
      </c>
      <c r="I11" s="12">
        <f t="shared" si="4"/>
        <v>640762.63680000009</v>
      </c>
      <c r="J11" s="13">
        <f t="shared" si="5"/>
        <v>1.7317909102702704E-5</v>
      </c>
      <c r="K11" s="14">
        <f t="shared" si="6"/>
        <v>184700130.6839596</v>
      </c>
      <c r="L11" s="1">
        <f>I11*EXP(-H11*24*10*3600)</f>
        <v>0</v>
      </c>
      <c r="M11" s="13">
        <f t="shared" si="7"/>
        <v>0</v>
      </c>
      <c r="N11" s="1">
        <f t="shared" si="8"/>
        <v>0</v>
      </c>
    </row>
    <row r="12" spans="2:14" x14ac:dyDescent="0.2">
      <c r="B12">
        <v>86221</v>
      </c>
      <c r="C12" s="1">
        <v>7.0493620000000003E-11</v>
      </c>
      <c r="D12">
        <f>0</f>
        <v>0</v>
      </c>
      <c r="E12" t="str">
        <f>VLOOKUP(B12,[1]Nuclides!A:E,5,FALSE)</f>
        <v>Rn221</v>
      </c>
      <c r="F12" s="1">
        <f>VLOOKUP(B12,[1]Nuclides!A:E,4,FALSE)</f>
        <v>1500</v>
      </c>
      <c r="G12" s="1" t="str">
        <f t="shared" si="2"/>
        <v>25min</v>
      </c>
      <c r="H12" s="1">
        <f t="shared" si="3"/>
        <v>4.6209812037329687E-4</v>
      </c>
      <c r="I12" s="12">
        <f t="shared" si="4"/>
        <v>351904.15104000003</v>
      </c>
      <c r="J12" s="13">
        <f t="shared" si="5"/>
        <v>9.510923001081082E-6</v>
      </c>
      <c r="K12" s="14">
        <f t="shared" si="6"/>
        <v>761535560.36047316</v>
      </c>
      <c r="L12" s="1">
        <f>I12*EXP(-H12*24*10*3600)</f>
        <v>1.4228099293255276E-168</v>
      </c>
      <c r="M12" s="13">
        <f t="shared" si="7"/>
        <v>3.8454322414203448E-179</v>
      </c>
      <c r="N12" s="1">
        <f t="shared" si="8"/>
        <v>3.0790212437482731E-165</v>
      </c>
    </row>
    <row r="13" spans="2:14" x14ac:dyDescent="0.2">
      <c r="B13">
        <v>86222</v>
      </c>
      <c r="C13" s="1">
        <v>3.1192239999999998E-11</v>
      </c>
      <c r="D13">
        <f>0</f>
        <v>0</v>
      </c>
      <c r="E13" t="str">
        <f>VLOOKUP(B13,[1]Nuclides!A:E,5,FALSE)</f>
        <v>Rn222</v>
      </c>
      <c r="F13" s="1">
        <f>VLOOKUP(B13,[1]Nuclides!A:E,4,FALSE)</f>
        <v>330350.40000000002</v>
      </c>
      <c r="G13" s="1" t="str">
        <f t="shared" si="2"/>
        <v>3.82d</v>
      </c>
      <c r="H13" s="1">
        <f t="shared" si="3"/>
        <v>2.0982180755947176E-6</v>
      </c>
      <c r="I13" s="12">
        <f t="shared" si="4"/>
        <v>130301.59188852606</v>
      </c>
      <c r="J13" s="13">
        <f t="shared" si="5"/>
        <v>3.5216646456358393E-6</v>
      </c>
      <c r="K13" s="14">
        <f t="shared" si="6"/>
        <v>62101072049.71698</v>
      </c>
      <c r="L13" s="1">
        <f>I13*EXP(-H13*24*10*3600)</f>
        <v>21263.485032014862</v>
      </c>
      <c r="M13" s="13">
        <f t="shared" si="7"/>
        <v>5.7468878464905027E-7</v>
      </c>
      <c r="N13" s="1">
        <f t="shared" si="8"/>
        <v>10134068178.77496</v>
      </c>
    </row>
    <row r="14" spans="2:14" x14ac:dyDescent="0.2">
      <c r="B14">
        <v>86220</v>
      </c>
      <c r="C14" s="1">
        <v>4.113371E-12</v>
      </c>
      <c r="D14">
        <f>0</f>
        <v>0</v>
      </c>
      <c r="E14" t="str">
        <f>VLOOKUP(B14,[1]Nuclides!A:E,5,FALSE)</f>
        <v>Rn220</v>
      </c>
      <c r="F14" s="1">
        <f>VLOOKUP(B14,[1]Nuclides!A:E,4,FALSE)</f>
        <v>55.6</v>
      </c>
      <c r="G14" s="1" t="str">
        <f t="shared" si="2"/>
        <v>55.6s</v>
      </c>
      <c r="H14" s="1">
        <f t="shared" si="3"/>
        <v>1.2466675909351533E-2</v>
      </c>
      <c r="I14" s="12">
        <f t="shared" si="4"/>
        <v>20533.948032</v>
      </c>
      <c r="J14" s="13">
        <f t="shared" si="5"/>
        <v>5.5497156843243242E-7</v>
      </c>
      <c r="K14" s="14">
        <f t="shared" si="6"/>
        <v>1647106.9097574779</v>
      </c>
      <c r="L14" s="1">
        <f>I14*EXP(-H14*24*10*3600)</f>
        <v>0</v>
      </c>
      <c r="M14" s="13">
        <f t="shared" si="7"/>
        <v>0</v>
      </c>
      <c r="N14" s="1">
        <f t="shared" si="8"/>
        <v>0</v>
      </c>
    </row>
    <row r="15" spans="2:14" x14ac:dyDescent="0.2">
      <c r="B15">
        <v>87223</v>
      </c>
      <c r="C15" s="1">
        <v>2.3112099999999998E-12</v>
      </c>
      <c r="D15">
        <f>0</f>
        <v>0</v>
      </c>
      <c r="E15" t="str">
        <f>VLOOKUP(B15,[1]Nuclides!A:E,5,FALSE)</f>
        <v>Fr223</v>
      </c>
      <c r="F15" s="1">
        <f>VLOOKUP(B15,[1]Nuclides!A:E,4,FALSE)</f>
        <v>1320</v>
      </c>
      <c r="G15" s="1" t="str">
        <f t="shared" si="2"/>
        <v>22min</v>
      </c>
      <c r="H15" s="1">
        <f t="shared" si="3"/>
        <v>5.2511150042420097E-4</v>
      </c>
      <c r="I15" s="12">
        <f t="shared" si="4"/>
        <v>11537.560319999999</v>
      </c>
      <c r="J15" s="13">
        <f t="shared" si="5"/>
        <v>3.1182595459459457E-7</v>
      </c>
      <c r="K15" s="14">
        <f t="shared" si="6"/>
        <v>21971638.996060092</v>
      </c>
      <c r="L15" s="1">
        <f>I15*EXP(-H15*24*10*3600)</f>
        <v>1.05754447554576E-193</v>
      </c>
      <c r="M15" s="13">
        <f t="shared" si="7"/>
        <v>2.8582283122858378E-204</v>
      </c>
      <c r="N15" s="1">
        <f t="shared" si="8"/>
        <v>2.0139427049139918E-190</v>
      </c>
    </row>
    <row r="16" spans="2:14" x14ac:dyDescent="0.2">
      <c r="B16">
        <v>87222</v>
      </c>
      <c r="C16" s="1">
        <v>8.3972690000000003E-14</v>
      </c>
      <c r="D16">
        <f>0</f>
        <v>0</v>
      </c>
      <c r="E16" t="str">
        <f>VLOOKUP(B16,[1]Nuclides!A:E,5,FALSE)</f>
        <v>Fr222</v>
      </c>
      <c r="F16" s="1">
        <f>VLOOKUP(B16,[1]Nuclides!A:E,4,FALSE)</f>
        <v>852</v>
      </c>
      <c r="G16" s="1" t="str">
        <f t="shared" si="2"/>
        <v>14.2min</v>
      </c>
      <c r="H16" s="1">
        <f t="shared" si="3"/>
        <v>8.1355302882622684E-4</v>
      </c>
      <c r="I16" s="12">
        <f t="shared" si="4"/>
        <v>419.19166848000003</v>
      </c>
      <c r="J16" s="13">
        <f t="shared" si="5"/>
        <v>1.1329504553513514E-8</v>
      </c>
      <c r="K16" s="14">
        <f t="shared" si="6"/>
        <v>515260.41158595262</v>
      </c>
      <c r="L16" s="1">
        <f>I16*EXP(-H16*24*10*3600)</f>
        <v>2.2519455451782777E-303</v>
      </c>
      <c r="M16" s="13">
        <f t="shared" si="7"/>
        <v>0</v>
      </c>
      <c r="N16" s="1">
        <f t="shared" si="8"/>
        <v>2.7680378111643518E-300</v>
      </c>
    </row>
    <row r="17" spans="2:14" x14ac:dyDescent="0.2">
      <c r="B17">
        <v>86219</v>
      </c>
      <c r="C17" s="1">
        <v>3.1043630000000001E-15</v>
      </c>
      <c r="D17">
        <f>0</f>
        <v>0</v>
      </c>
      <c r="E17" t="str">
        <f>VLOOKUP(B17,[1]Nuclides!A:E,5,FALSE)</f>
        <v>Rn219</v>
      </c>
      <c r="F17" s="1">
        <f>VLOOKUP(B17,[1]Nuclides!A:E,4,FALSE)</f>
        <v>3.96</v>
      </c>
      <c r="G17" s="1" t="str">
        <f t="shared" si="2"/>
        <v>3.96s</v>
      </c>
      <c r="H17" s="1">
        <f t="shared" si="3"/>
        <v>0.175037166808067</v>
      </c>
      <c r="I17" s="12">
        <f t="shared" si="4"/>
        <v>15.496980096</v>
      </c>
      <c r="J17" s="13">
        <f t="shared" si="5"/>
        <v>4.1883729989189188E-10</v>
      </c>
      <c r="K17" s="14">
        <f t="shared" si="6"/>
        <v>88.535368679686513</v>
      </c>
      <c r="L17" s="1">
        <f>I17*EXP(-H17*24*10*3600)</f>
        <v>0</v>
      </c>
      <c r="M17" s="13">
        <f t="shared" si="7"/>
        <v>0</v>
      </c>
      <c r="N17" s="1">
        <f t="shared" si="8"/>
        <v>0</v>
      </c>
    </row>
    <row r="18" spans="2:14" x14ac:dyDescent="0.2">
      <c r="B18">
        <v>84218</v>
      </c>
      <c r="C18" s="1">
        <v>4.1739099999999997E-17</v>
      </c>
      <c r="D18">
        <f>0</f>
        <v>0</v>
      </c>
      <c r="E18" t="str">
        <f>VLOOKUP(B18,[1]Nuclides!A:E,5,FALSE)</f>
        <v>Po218</v>
      </c>
      <c r="F18" s="1">
        <f>VLOOKUP(B18,[1]Nuclides!A:E,4,FALSE)</f>
        <v>185.88</v>
      </c>
      <c r="G18" s="1" t="str">
        <f t="shared" si="2"/>
        <v>3.1min</v>
      </c>
      <c r="H18" s="1">
        <f t="shared" si="3"/>
        <v>3.7290035536902588E-3</v>
      </c>
      <c r="I18" s="12">
        <f t="shared" si="4"/>
        <v>0.20836158719999998</v>
      </c>
      <c r="J18" s="13">
        <f t="shared" si="5"/>
        <v>5.6313942486486481E-12</v>
      </c>
      <c r="K18" s="14">
        <f t="shared" si="6"/>
        <v>55.875942245698127</v>
      </c>
      <c r="L18" s="1">
        <f>I18*EXP(-H18*24*10*3600)</f>
        <v>0</v>
      </c>
      <c r="M18" s="13">
        <f t="shared" si="7"/>
        <v>0</v>
      </c>
      <c r="N18" s="1">
        <f t="shared" si="8"/>
        <v>0</v>
      </c>
    </row>
    <row r="19" spans="2:14" x14ac:dyDescent="0.2">
      <c r="B19">
        <v>84216</v>
      </c>
      <c r="C19" s="1">
        <v>1.8585609999999999E-17</v>
      </c>
      <c r="D19">
        <f>0</f>
        <v>0</v>
      </c>
      <c r="E19" t="str">
        <f>VLOOKUP(B19,[1]Nuclides!A:E,5,FALSE)</f>
        <v>Po216</v>
      </c>
      <c r="F19" s="1">
        <f>VLOOKUP(B19,[1]Nuclides!A:E,4,FALSE)</f>
        <v>0.14499999999999999</v>
      </c>
      <c r="G19" s="1" t="str">
        <f t="shared" si="2"/>
        <v>0.145s</v>
      </c>
      <c r="H19" s="1">
        <f t="shared" si="3"/>
        <v>4.7803253831720367</v>
      </c>
      <c r="I19" s="12">
        <f t="shared" si="4"/>
        <v>9.2779365119999999E-2</v>
      </c>
      <c r="J19" s="13">
        <f t="shared" si="5"/>
        <v>2.5075504086486487E-12</v>
      </c>
      <c r="K19" s="14">
        <f t="shared" si="6"/>
        <v>1.9408587843540315E-2</v>
      </c>
      <c r="L19" s="1">
        <f>I19*EXP(-H19*24*10*3600)</f>
        <v>0</v>
      </c>
      <c r="M19" s="13">
        <f t="shared" si="7"/>
        <v>0</v>
      </c>
      <c r="N19" s="1">
        <f t="shared" si="8"/>
        <v>0</v>
      </c>
    </row>
    <row r="20" spans="2:14" x14ac:dyDescent="0.2">
      <c r="B20">
        <v>84217</v>
      </c>
      <c r="C20" s="1">
        <v>1.187917E-18</v>
      </c>
      <c r="D20">
        <f>0</f>
        <v>0</v>
      </c>
      <c r="E20" t="str">
        <f>VLOOKUP(B20,[1]Nuclides!A:E,5,FALSE)</f>
        <v>Po217</v>
      </c>
      <c r="F20" s="1">
        <f>VLOOKUP(B20,[1]Nuclides!A:E,4,FALSE)</f>
        <v>1.53</v>
      </c>
      <c r="G20" s="1" t="str">
        <f t="shared" si="2"/>
        <v>1.53s</v>
      </c>
      <c r="H20" s="1">
        <f t="shared" si="3"/>
        <v>0.45303737291499691</v>
      </c>
      <c r="I20" s="12">
        <f t="shared" si="4"/>
        <v>5.9300816640000002E-3</v>
      </c>
      <c r="J20" s="13">
        <f t="shared" si="5"/>
        <v>1.602724774054054E-13</v>
      </c>
      <c r="K20" s="14">
        <f t="shared" si="6"/>
        <v>1.3089608095340641E-2</v>
      </c>
      <c r="L20" s="1">
        <f>I20*EXP(-H20*24*10*3600)</f>
        <v>0</v>
      </c>
      <c r="M20" s="13">
        <f t="shared" si="7"/>
        <v>0</v>
      </c>
      <c r="N20" s="1">
        <f t="shared" si="8"/>
        <v>0</v>
      </c>
    </row>
    <row r="21" spans="2:14" x14ac:dyDescent="0.2">
      <c r="B21">
        <v>85221</v>
      </c>
      <c r="C21" s="1">
        <v>8.1156919999999998E-20</v>
      </c>
      <c r="D21">
        <f>0</f>
        <v>0</v>
      </c>
      <c r="E21" t="str">
        <f>VLOOKUP(B21,[1]Nuclides!A:E,5,FALSE)</f>
        <v>At221</v>
      </c>
      <c r="F21" s="1">
        <f>VLOOKUP(B21,[1]Nuclides!A:E,4,FALSE)</f>
        <v>138</v>
      </c>
      <c r="G21" s="1" t="str">
        <f t="shared" si="2"/>
        <v>2.3min</v>
      </c>
      <c r="H21" s="1">
        <f t="shared" si="3"/>
        <v>5.0228056562314875E-3</v>
      </c>
      <c r="I21" s="12">
        <f t="shared" si="4"/>
        <v>4.0513534464000001E-4</v>
      </c>
      <c r="J21" s="13">
        <f t="shared" si="5"/>
        <v>1.094960390918919E-14</v>
      </c>
      <c r="K21" s="14">
        <f t="shared" si="6"/>
        <v>8.0659171858933745E-2</v>
      </c>
      <c r="L21" s="1">
        <f>I21*EXP(-H21*24*10*3600)</f>
        <v>0</v>
      </c>
      <c r="M21" s="13">
        <f t="shared" si="7"/>
        <v>0</v>
      </c>
      <c r="N21" s="1">
        <f t="shared" si="8"/>
        <v>0</v>
      </c>
    </row>
    <row r="22" spans="2:14" x14ac:dyDescent="0.2">
      <c r="B22">
        <v>87221</v>
      </c>
      <c r="C22" s="1">
        <v>7.0715090000000004E-20</v>
      </c>
      <c r="D22">
        <f>0</f>
        <v>0</v>
      </c>
      <c r="E22" t="str">
        <f>VLOOKUP(B22,[1]Nuclides!A:E,5,FALSE)</f>
        <v>Fr221</v>
      </c>
      <c r="F22" s="1">
        <f>VLOOKUP(B22,[1]Nuclides!A:E,4,FALSE)</f>
        <v>286.10000000000002</v>
      </c>
      <c r="G22" s="1" t="str">
        <f t="shared" si="2"/>
        <v>4.77min</v>
      </c>
      <c r="H22" s="1">
        <f t="shared" si="3"/>
        <v>2.4227444269833806E-3</v>
      </c>
      <c r="I22" s="12">
        <f t="shared" si="4"/>
        <v>3.5300972928000004E-4</v>
      </c>
      <c r="J22" s="13">
        <f t="shared" si="5"/>
        <v>9.5408034940540557E-15</v>
      </c>
      <c r="K22" s="14">
        <f t="shared" si="6"/>
        <v>0.14570654888247592</v>
      </c>
      <c r="L22" s="1">
        <f>I22*EXP(-H22*24*10*3600)</f>
        <v>0</v>
      </c>
      <c r="M22" s="13">
        <f t="shared" si="7"/>
        <v>0</v>
      </c>
      <c r="N22" s="1">
        <f t="shared" si="8"/>
        <v>0</v>
      </c>
    </row>
    <row r="23" spans="2:14" x14ac:dyDescent="0.2">
      <c r="B23">
        <v>86223</v>
      </c>
      <c r="C23" s="1">
        <v>1.5963289999999999E-20</v>
      </c>
      <c r="D23">
        <f>0</f>
        <v>0</v>
      </c>
      <c r="E23" t="str">
        <f>VLOOKUP(B23,[1]Nuclides!A:E,5,FALSE)</f>
        <v>Rn223</v>
      </c>
      <c r="F23" s="1">
        <f>VLOOKUP(B23,[1]Nuclides!A:E,4,FALSE)</f>
        <v>1458</v>
      </c>
      <c r="G23" s="1" t="str">
        <f t="shared" si="2"/>
        <v>24.3min</v>
      </c>
      <c r="H23" s="1">
        <f t="shared" si="3"/>
        <v>4.7540958886141654E-4</v>
      </c>
      <c r="I23" s="12">
        <f t="shared" si="4"/>
        <v>7.9688743679999987E-5</v>
      </c>
      <c r="J23" s="13">
        <f t="shared" si="5"/>
        <v>2.153749829189189E-15</v>
      </c>
      <c r="K23" s="14">
        <f t="shared" si="6"/>
        <v>0.16762123765919562</v>
      </c>
      <c r="L23" s="1">
        <f>I23*EXP(-H23*24*10*3600)</f>
        <v>3.2602537373018938E-183</v>
      </c>
      <c r="M23" s="13">
        <f t="shared" si="7"/>
        <v>8.8114965873024158E-194</v>
      </c>
      <c r="N23" s="1">
        <f t="shared" si="8"/>
        <v>6.8577786685162308E-180</v>
      </c>
    </row>
    <row r="24" spans="2:14" x14ac:dyDescent="0.2">
      <c r="B24">
        <v>86218</v>
      </c>
      <c r="C24" s="1">
        <v>5.931465E-21</v>
      </c>
      <c r="D24">
        <f>0</f>
        <v>0</v>
      </c>
      <c r="E24" t="str">
        <f>VLOOKUP(B24,[1]Nuclides!A:E,5,FALSE)</f>
        <v>Rn218</v>
      </c>
      <c r="F24" s="1">
        <f>VLOOKUP(B24,[1]Nuclides!A:E,4,FALSE)</f>
        <v>3.5000000000000003E-2</v>
      </c>
      <c r="G24" s="1" t="str">
        <f t="shared" si="2"/>
        <v>0.035s</v>
      </c>
      <c r="H24" s="1">
        <f t="shared" si="3"/>
        <v>19.804205158855577</v>
      </c>
      <c r="I24" s="12">
        <f t="shared" si="4"/>
        <v>2.9609873280000001E-5</v>
      </c>
      <c r="J24" s="13">
        <f t="shared" si="5"/>
        <v>8.0026684540540544E-16</v>
      </c>
      <c r="K24" s="14">
        <f t="shared" si="6"/>
        <v>1.4951306069842321E-6</v>
      </c>
      <c r="L24" s="1">
        <f>I24*EXP(-H24*24*10*3600)</f>
        <v>0</v>
      </c>
      <c r="M24" s="13">
        <f t="shared" si="7"/>
        <v>0</v>
      </c>
      <c r="N24" s="1">
        <f t="shared" si="8"/>
        <v>0</v>
      </c>
    </row>
    <row r="25" spans="2:14" x14ac:dyDescent="0.2">
      <c r="B25">
        <v>85219</v>
      </c>
      <c r="C25" s="1">
        <v>4.4888770000000001E-21</v>
      </c>
      <c r="D25">
        <f>0</f>
        <v>0</v>
      </c>
      <c r="E25" t="str">
        <f>VLOOKUP(B25,[1]Nuclides!A:E,5,FALSE)</f>
        <v>At219</v>
      </c>
      <c r="F25" s="1">
        <f>VLOOKUP(B25,[1]Nuclides!A:E,4,FALSE)</f>
        <v>56</v>
      </c>
      <c r="G25" s="1" t="str">
        <f t="shared" si="2"/>
        <v>56s</v>
      </c>
      <c r="H25" s="1">
        <f t="shared" si="3"/>
        <v>1.2377628224284737E-2</v>
      </c>
      <c r="I25" s="12">
        <f t="shared" si="4"/>
        <v>2.2408473984000001E-5</v>
      </c>
      <c r="J25" s="13">
        <f t="shared" si="5"/>
        <v>6.0563443200000007E-16</v>
      </c>
      <c r="K25" s="14">
        <f t="shared" si="6"/>
        <v>1.8104012802739448E-3</v>
      </c>
      <c r="L25" s="1">
        <f>I25*EXP(-H25*24*10*3600)</f>
        <v>0</v>
      </c>
      <c r="M25" s="13">
        <f t="shared" si="7"/>
        <v>0</v>
      </c>
      <c r="N25" s="1">
        <f t="shared" si="8"/>
        <v>0</v>
      </c>
    </row>
    <row r="26" spans="2:14" x14ac:dyDescent="0.2">
      <c r="B26">
        <v>86224</v>
      </c>
      <c r="C26" s="1">
        <v>2.5356559999999999E-21</v>
      </c>
      <c r="D26">
        <f>0</f>
        <v>0</v>
      </c>
      <c r="E26" t="str">
        <f>VLOOKUP(B26,[1]Nuclides!A:E,5,FALSE)</f>
        <v>Rn224</v>
      </c>
      <c r="F26" s="1">
        <f>VLOOKUP(B26,[1]Nuclides!A:E,4,FALSE)</f>
        <v>6420</v>
      </c>
      <c r="G26" s="1" t="str">
        <f t="shared" si="2"/>
        <v>1.78h</v>
      </c>
      <c r="H26" s="1">
        <f t="shared" si="3"/>
        <v>1.0796685055450861E-4</v>
      </c>
      <c r="I26" s="12">
        <f t="shared" si="4"/>
        <v>1.2657994751999999E-5</v>
      </c>
      <c r="J26" s="13">
        <f t="shared" si="5"/>
        <v>3.4210796627027025E-16</v>
      </c>
      <c r="K26" s="14">
        <f t="shared" si="6"/>
        <v>0.11723964056550329</v>
      </c>
      <c r="L26" s="1">
        <f>I26*EXP(-H26*24*10*3600)</f>
        <v>3.8897070737610878E-46</v>
      </c>
      <c r="M26" s="13">
        <f t="shared" si="7"/>
        <v>1.0512721820975913E-56</v>
      </c>
      <c r="N26" s="1">
        <f t="shared" si="8"/>
        <v>3.6026864299401913E-42</v>
      </c>
    </row>
    <row r="27" spans="2:14" x14ac:dyDescent="0.2">
      <c r="B27">
        <v>82214</v>
      </c>
      <c r="C27" s="1">
        <v>2.2683750000000001E-27</v>
      </c>
      <c r="D27">
        <f>0</f>
        <v>0</v>
      </c>
      <c r="E27" t="str">
        <f>VLOOKUP(B27,[1]Nuclides!A:E,5,FALSE)</f>
        <v>Pb214</v>
      </c>
      <c r="F27" s="1">
        <f>VLOOKUP(B27,[1]Nuclides!A:E,4,FALSE)</f>
        <v>1623.6</v>
      </c>
      <c r="G27" s="1" t="str">
        <f t="shared" si="2"/>
        <v>27.06min</v>
      </c>
      <c r="H27" s="1">
        <f t="shared" si="3"/>
        <v>4.2691991904406584E-4</v>
      </c>
      <c r="I27" s="12">
        <f t="shared" si="4"/>
        <v>1.1323728000000001E-11</v>
      </c>
      <c r="J27" s="13">
        <f t="shared" si="5"/>
        <v>3.0604670270270274E-22</v>
      </c>
      <c r="K27" s="14">
        <f t="shared" si="6"/>
        <v>2.6524243762988225E-8</v>
      </c>
      <c r="L27" s="1">
        <f>I27*EXP(-H27*24*10*3600)</f>
        <v>7.2551036443532471E-172</v>
      </c>
      <c r="M27" s="13">
        <f t="shared" si="7"/>
        <v>1.960838822798175E-182</v>
      </c>
      <c r="N27" s="1">
        <f t="shared" si="8"/>
        <v>1.6994062166502917E-168</v>
      </c>
    </row>
    <row r="28" spans="2:14" x14ac:dyDescent="0.2">
      <c r="B28">
        <v>83215</v>
      </c>
      <c r="C28" s="1">
        <v>2.2683750000000001E-27</v>
      </c>
      <c r="D28">
        <f>0</f>
        <v>0</v>
      </c>
      <c r="E28" t="str">
        <f>VLOOKUP(B28,[1]Nuclides!A:E,5,FALSE)</f>
        <v>Bi215</v>
      </c>
      <c r="F28" s="1">
        <f>VLOOKUP(B28,[1]Nuclides!A:E,4,FALSE)</f>
        <v>456</v>
      </c>
      <c r="G28" s="1" t="str">
        <f t="shared" si="2"/>
        <v>7.6min</v>
      </c>
      <c r="H28" s="1">
        <f t="shared" si="3"/>
        <v>1.520059606491108E-3</v>
      </c>
      <c r="I28" s="12">
        <f t="shared" si="4"/>
        <v>1.1323728000000001E-11</v>
      </c>
      <c r="J28" s="13">
        <f t="shared" si="5"/>
        <v>3.0604670270270274E-22</v>
      </c>
      <c r="K28" s="14">
        <f t="shared" si="6"/>
        <v>7.4495289208688289E-9</v>
      </c>
      <c r="L28" s="1">
        <f>I28*EXP(-H28*24*10*3600)</f>
        <v>0</v>
      </c>
      <c r="M28" s="13">
        <f t="shared" si="7"/>
        <v>0</v>
      </c>
      <c r="N28" s="1">
        <f t="shared" si="8"/>
        <v>0</v>
      </c>
    </row>
    <row r="29" spans="2:14" x14ac:dyDescent="0.2">
      <c r="B29">
        <v>83217</v>
      </c>
      <c r="C29" s="1">
        <v>2.2683750000000001E-27</v>
      </c>
      <c r="D29">
        <f>0</f>
        <v>0</v>
      </c>
      <c r="E29" t="str">
        <f>VLOOKUP(B29,[1]Nuclides!A:E,5,FALSE)</f>
        <v>Bi217</v>
      </c>
      <c r="F29" s="1">
        <f>VLOOKUP(B29,[1]Nuclides!A:E,4,FALSE)</f>
        <v>98.5</v>
      </c>
      <c r="G29" s="1" t="str">
        <f t="shared" si="2"/>
        <v>1.64min</v>
      </c>
      <c r="H29" s="1">
        <f t="shared" si="3"/>
        <v>7.037027213806551E-3</v>
      </c>
      <c r="I29" s="12">
        <f t="shared" si="4"/>
        <v>1.1323728000000001E-11</v>
      </c>
      <c r="J29" s="13">
        <f t="shared" si="5"/>
        <v>3.0604670270270274E-22</v>
      </c>
      <c r="K29" s="14">
        <f t="shared" si="6"/>
        <v>1.6091635936525869E-9</v>
      </c>
      <c r="L29" s="1">
        <f>I29*EXP(-H29*24*10*3600)</f>
        <v>0</v>
      </c>
      <c r="M29" s="13">
        <f t="shared" si="7"/>
        <v>0</v>
      </c>
      <c r="N29" s="1">
        <f t="shared" si="8"/>
        <v>0</v>
      </c>
    </row>
    <row r="30" spans="2:14" x14ac:dyDescent="0.2">
      <c r="B30">
        <v>82212</v>
      </c>
      <c r="C30" s="1">
        <v>1.093669E-27</v>
      </c>
      <c r="D30">
        <f>0</f>
        <v>0</v>
      </c>
      <c r="E30" t="str">
        <f>VLOOKUP(B30,[1]Nuclides!A:E,5,FALSE)</f>
        <v>Pb212</v>
      </c>
      <c r="F30" s="1">
        <f>VLOOKUP(B30,[1]Nuclides!A:E,4,FALSE)</f>
        <v>38304</v>
      </c>
      <c r="G30" s="1" t="str">
        <f t="shared" si="2"/>
        <v>10.64h</v>
      </c>
      <c r="H30" s="1">
        <f t="shared" si="3"/>
        <v>1.8095947696322715E-5</v>
      </c>
      <c r="I30" s="12">
        <f t="shared" si="4"/>
        <v>5.4595947628635997E-12</v>
      </c>
      <c r="J30" s="13">
        <f t="shared" si="5"/>
        <v>1.4755661521252972E-22</v>
      </c>
      <c r="K30" s="14">
        <f t="shared" si="6"/>
        <v>3.017026162146261E-7</v>
      </c>
      <c r="L30" s="1">
        <f>I30*EXP(-H30*24*10*3600)</f>
        <v>8.8513625629322862E-19</v>
      </c>
      <c r="M30" s="13">
        <f t="shared" si="7"/>
        <v>2.3922601521438612E-29</v>
      </c>
      <c r="N30" s="1">
        <f t="shared" si="8"/>
        <v>4.8913506556669451E-14</v>
      </c>
    </row>
    <row r="31" spans="2:14" x14ac:dyDescent="0.2">
      <c r="B31">
        <v>82213</v>
      </c>
      <c r="C31" s="1">
        <v>1.093669E-27</v>
      </c>
      <c r="D31">
        <f>0</f>
        <v>0</v>
      </c>
      <c r="E31" t="str">
        <f>VLOOKUP(B31,[1]Nuclides!A:E,5,FALSE)</f>
        <v>Pb213</v>
      </c>
      <c r="F31" s="1">
        <f>VLOOKUP(B31,[1]Nuclides!A:E,4,FALSE)</f>
        <v>612</v>
      </c>
      <c r="G31" s="1" t="str">
        <f t="shared" si="2"/>
        <v>10.2min</v>
      </c>
      <c r="H31" s="1">
        <f t="shared" si="3"/>
        <v>1.1325934322874924E-3</v>
      </c>
      <c r="I31" s="12">
        <f t="shared" si="4"/>
        <v>5.4595956479999999E-12</v>
      </c>
      <c r="J31" s="13">
        <f t="shared" si="5"/>
        <v>1.4755663913513513E-22</v>
      </c>
      <c r="K31" s="14">
        <f t="shared" si="6"/>
        <v>4.8204373187766822E-9</v>
      </c>
      <c r="L31" s="1">
        <f>I31*EXP(-H31*24*10*3600)</f>
        <v>0</v>
      </c>
      <c r="M31" s="13">
        <f t="shared" si="7"/>
        <v>0</v>
      </c>
      <c r="N31" s="1">
        <f t="shared" si="8"/>
        <v>0</v>
      </c>
    </row>
    <row r="32" spans="2:14" x14ac:dyDescent="0.2">
      <c r="B32">
        <v>83215</v>
      </c>
      <c r="C32" s="1">
        <v>7.5531610000000004E-31</v>
      </c>
      <c r="D32">
        <f>0</f>
        <v>0</v>
      </c>
      <c r="E32" t="str">
        <f>VLOOKUP(B32,[1]Nuclides!A:E,5,FALSE)</f>
        <v>Bi215</v>
      </c>
      <c r="F32" s="1">
        <f>VLOOKUP(B32,[1]Nuclides!A:E,4,FALSE)</f>
        <v>456</v>
      </c>
      <c r="G32" s="1" t="str">
        <f t="shared" si="2"/>
        <v>7.6min</v>
      </c>
      <c r="H32" s="1">
        <f t="shared" si="3"/>
        <v>1.520059606491108E-3</v>
      </c>
      <c r="I32" s="12">
        <f t="shared" si="4"/>
        <v>3.7705379712000005E-15</v>
      </c>
      <c r="J32" s="13">
        <f t="shared" si="5"/>
        <v>1.0190643165405406E-25</v>
      </c>
      <c r="K32" s="14">
        <f t="shared" si="6"/>
        <v>2.480519813235401E-12</v>
      </c>
      <c r="L32" s="1">
        <f>I32*EXP(-H32*24*10*3600)</f>
        <v>0</v>
      </c>
      <c r="M32" s="13">
        <f t="shared" si="7"/>
        <v>0</v>
      </c>
      <c r="N32" s="1">
        <f t="shared" si="8"/>
        <v>0</v>
      </c>
    </row>
    <row r="33" spans="2:14" ht="15" thickBot="1" x14ac:dyDescent="0.25">
      <c r="B33">
        <v>83215</v>
      </c>
      <c r="C33" s="1">
        <v>1.094316E-36</v>
      </c>
      <c r="D33">
        <f>0</f>
        <v>0</v>
      </c>
      <c r="E33" t="str">
        <f>VLOOKUP(B33,[1]Nuclides!A:E,5,FALSE)</f>
        <v>Bi215</v>
      </c>
      <c r="F33" s="1">
        <f>VLOOKUP(B33,[1]Nuclides!A:E,4,FALSE)</f>
        <v>456</v>
      </c>
      <c r="G33" s="1" t="str">
        <f t="shared" si="2"/>
        <v>7.6min</v>
      </c>
      <c r="H33" s="1">
        <f t="shared" si="3"/>
        <v>1.520059606491108E-3</v>
      </c>
      <c r="I33" s="15">
        <f t="shared" si="4"/>
        <v>5.462825472E-21</v>
      </c>
      <c r="J33" s="16">
        <f t="shared" si="5"/>
        <v>1.4764393167567568E-31</v>
      </c>
      <c r="K33" s="17">
        <f t="shared" si="6"/>
        <v>3.5938231952695182E-18</v>
      </c>
      <c r="L33" s="1">
        <f>I33*EXP(-H33*24*10*3600)</f>
        <v>0</v>
      </c>
      <c r="M33" s="13">
        <f t="shared" si="7"/>
        <v>0</v>
      </c>
      <c r="N33" s="1">
        <f t="shared" si="8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2025-11-20T03:32:56Z</dcterms:modified>
</cp:coreProperties>
</file>