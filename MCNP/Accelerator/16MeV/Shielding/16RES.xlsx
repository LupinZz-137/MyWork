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CNP_INP\Git-Server\my_-work\MCNP\Accelerator\16MeV\Shielding\"/>
    </mc:Choice>
  </mc:AlternateContent>
  <xr:revisionPtr revIDLastSave="0" documentId="13_ncr:1_{2A626812-10F5-4404-8E87-72EC9119D2B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Nuclides" sheetId="1" r:id="rId1"/>
    <sheet name="Sheet1" sheetId="2" r:id="rId2"/>
    <sheet name="Fe" sheetId="4" r:id="rId3"/>
    <sheet name="1402" sheetId="3" r:id="rId4"/>
    <sheet name="data" sheetId="5" r:id="rId5"/>
  </sheets>
  <definedNames>
    <definedName name="_xlnm._FilterDatabase" localSheetId="3" hidden="1">'1402'!$I$1:$J$2208</definedName>
    <definedName name="_xlnm._FilterDatabase" localSheetId="2" hidden="1">Fe!$J$1:$J$19</definedName>
    <definedName name="_xlnm._FilterDatabase" localSheetId="1" hidden="1">Sheet1!$N$4:$N$2209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J44" i="3"/>
  <c r="J56" i="3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H10" i="3"/>
  <c r="I10" i="3"/>
  <c r="J10" i="3" s="1"/>
  <c r="L10" i="3" s="1" a="1"/>
  <c r="L10" i="3" s="1"/>
  <c r="F11" i="3"/>
  <c r="G11" i="3" s="1"/>
  <c r="F12" i="3"/>
  <c r="G12" i="3" s="1"/>
  <c r="F13" i="3"/>
  <c r="G13" i="3" s="1"/>
  <c r="F14" i="3"/>
  <c r="F15" i="3"/>
  <c r="G15" i="3" s="1"/>
  <c r="F16" i="3"/>
  <c r="G16" i="3"/>
  <c r="H16" i="3"/>
  <c r="I16" i="3" s="1"/>
  <c r="J16" i="3" s="1"/>
  <c r="L16" i="3" s="1" a="1"/>
  <c r="L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F31" i="3"/>
  <c r="G31" i="3" s="1"/>
  <c r="F32" i="3"/>
  <c r="G32" i="3" s="1"/>
  <c r="H32" i="3"/>
  <c r="I32" i="3" s="1"/>
  <c r="J32" i="3" s="1"/>
  <c r="L32" i="3" s="1" a="1"/>
  <c r="L32" i="3" s="1"/>
  <c r="F33" i="3"/>
  <c r="G33" i="3" s="1"/>
  <c r="F34" i="3"/>
  <c r="G34" i="3" s="1"/>
  <c r="F35" i="3"/>
  <c r="F36" i="3"/>
  <c r="G36" i="3" s="1"/>
  <c r="F37" i="3"/>
  <c r="G37" i="3" s="1"/>
  <c r="F38" i="3"/>
  <c r="F39" i="3"/>
  <c r="G39" i="3" s="1"/>
  <c r="F40" i="3"/>
  <c r="G40" i="3" s="1"/>
  <c r="H40" i="3"/>
  <c r="I40" i="3"/>
  <c r="J40" i="3" s="1"/>
  <c r="L40" i="3" s="1" a="1"/>
  <c r="L40" i="3" s="1"/>
  <c r="F41" i="3"/>
  <c r="G41" i="3" s="1"/>
  <c r="F42" i="3"/>
  <c r="G42" i="3" s="1"/>
  <c r="F43" i="3"/>
  <c r="H43" i="3" s="1"/>
  <c r="I43" i="3" s="1"/>
  <c r="J43" i="3" s="1"/>
  <c r="L43" i="3" s="1" a="1"/>
  <c r="L43" i="3" s="1"/>
  <c r="F44" i="3"/>
  <c r="F45" i="3"/>
  <c r="G45" i="3" s="1"/>
  <c r="F46" i="3"/>
  <c r="H46" i="3" s="1"/>
  <c r="I46" i="3" s="1"/>
  <c r="J46" i="3" s="1"/>
  <c r="L46" i="3" s="1" a="1"/>
  <c r="L46" i="3" s="1"/>
  <c r="F47" i="3"/>
  <c r="G47" i="3" s="1"/>
  <c r="F48" i="3"/>
  <c r="G48" i="3" s="1"/>
  <c r="F49" i="3"/>
  <c r="G49" i="3" s="1"/>
  <c r="F50" i="3"/>
  <c r="H50" i="3" s="1"/>
  <c r="I50" i="3" s="1"/>
  <c r="J50" i="3" s="1"/>
  <c r="L50" i="3" s="1" a="1"/>
  <c r="L50" i="3" s="1"/>
  <c r="G50" i="3"/>
  <c r="F51" i="3"/>
  <c r="G51" i="3" s="1"/>
  <c r="F52" i="3"/>
  <c r="F53" i="3"/>
  <c r="G53" i="3" s="1"/>
  <c r="F54" i="3"/>
  <c r="G54" i="3" s="1"/>
  <c r="F55" i="3"/>
  <c r="F56" i="3"/>
  <c r="G56" i="3" s="1"/>
  <c r="H56" i="3"/>
  <c r="I56" i="3" s="1"/>
  <c r="L56" i="3" s="1" a="1"/>
  <c r="L56" i="3" s="1"/>
  <c r="F57" i="3"/>
  <c r="F58" i="3"/>
  <c r="G58" i="3" s="1"/>
  <c r="F59" i="3"/>
  <c r="G59" i="3" s="1"/>
  <c r="H59" i="3"/>
  <c r="I59" i="3" s="1"/>
  <c r="J59" i="3" s="1"/>
  <c r="L59" i="3" s="1" a="1"/>
  <c r="L59" i="3" s="1"/>
  <c r="F60" i="3"/>
  <c r="F61" i="3"/>
  <c r="G61" i="3" s="1"/>
  <c r="F62" i="3"/>
  <c r="G62" i="3" s="1"/>
  <c r="F63" i="3"/>
  <c r="G63" i="3" s="1"/>
  <c r="H63" i="3"/>
  <c r="I63" i="3" s="1"/>
  <c r="J63" i="3" s="1"/>
  <c r="L63" i="3" s="1" a="1"/>
  <c r="L63" i="3" s="1"/>
  <c r="F64" i="3"/>
  <c r="G64" i="3" s="1"/>
  <c r="H64" i="3"/>
  <c r="I64" i="3"/>
  <c r="J64" i="3" s="1"/>
  <c r="L64" i="3" s="1" a="1"/>
  <c r="L64" i="3" s="1"/>
  <c r="F65" i="3"/>
  <c r="H65" i="3" s="1"/>
  <c r="G65" i="3"/>
  <c r="I65" i="3"/>
  <c r="J65" i="3" s="1"/>
  <c r="L65" i="3" s="1" a="1"/>
  <c r="L65" i="3" s="1"/>
  <c r="F66" i="3"/>
  <c r="G66" i="3" s="1"/>
  <c r="F67" i="3"/>
  <c r="G67" i="3" s="1"/>
  <c r="F68" i="3"/>
  <c r="F69" i="3"/>
  <c r="G69" i="3" s="1"/>
  <c r="F70" i="3"/>
  <c r="G70" i="3" s="1"/>
  <c r="H70" i="3"/>
  <c r="I70" i="3" s="1"/>
  <c r="J70" i="3" s="1"/>
  <c r="L70" i="3" s="1" a="1"/>
  <c r="L70" i="3" s="1"/>
  <c r="F71" i="3"/>
  <c r="G71" i="3" s="1"/>
  <c r="F72" i="3"/>
  <c r="G72" i="3" s="1"/>
  <c r="F73" i="3"/>
  <c r="G73" i="3" s="1"/>
  <c r="H73" i="3"/>
  <c r="I73" i="3" s="1"/>
  <c r="J73" i="3" s="1"/>
  <c r="L73" i="3" s="1" a="1"/>
  <c r="L73" i="3" s="1"/>
  <c r="F74" i="3"/>
  <c r="F75" i="3"/>
  <c r="H75" i="3" s="1"/>
  <c r="I75" i="3" s="1"/>
  <c r="J75" i="3" s="1"/>
  <c r="L75" i="3" s="1" a="1"/>
  <c r="L75" i="3" s="1"/>
  <c r="G75" i="3"/>
  <c r="F76" i="3"/>
  <c r="F77" i="3"/>
  <c r="G77" i="3" s="1"/>
  <c r="F78" i="3"/>
  <c r="G78" i="3" s="1"/>
  <c r="H78" i="3"/>
  <c r="I78" i="3" s="1"/>
  <c r="J78" i="3" s="1"/>
  <c r="L78" i="3" s="1" a="1"/>
  <c r="L78" i="3" s="1"/>
  <c r="F79" i="3"/>
  <c r="G79" i="3" s="1"/>
  <c r="F80" i="3"/>
  <c r="H80" i="3" s="1"/>
  <c r="I80" i="3" s="1"/>
  <c r="J80" i="3" s="1"/>
  <c r="L80" i="3" s="1" a="1"/>
  <c r="L80" i="3" s="1"/>
  <c r="G80" i="3"/>
  <c r="F81" i="3"/>
  <c r="G81" i="3" s="1"/>
  <c r="F82" i="3"/>
  <c r="F83" i="3"/>
  <c r="G83" i="3" s="1"/>
  <c r="F84" i="3"/>
  <c r="F85" i="3"/>
  <c r="G85" i="3" s="1"/>
  <c r="F86" i="3"/>
  <c r="F87" i="3"/>
  <c r="G87" i="3" s="1"/>
  <c r="F88" i="3"/>
  <c r="G88" i="3" s="1"/>
  <c r="H88" i="3"/>
  <c r="I88" i="3" s="1"/>
  <c r="J88" i="3" s="1"/>
  <c r="L88" i="3" s="1" a="1"/>
  <c r="L88" i="3" s="1"/>
  <c r="F89" i="3"/>
  <c r="H89" i="3" s="1"/>
  <c r="I89" i="3" s="1"/>
  <c r="J89" i="3" s="1"/>
  <c r="L89" i="3" s="1" a="1"/>
  <c r="L89" i="3" s="1"/>
  <c r="G89" i="3"/>
  <c r="F90" i="3"/>
  <c r="G90" i="3"/>
  <c r="H90" i="3"/>
  <c r="I90" i="3" s="1"/>
  <c r="J90" i="3" s="1"/>
  <c r="L90" i="3" s="1" a="1"/>
  <c r="L90" i="3" s="1"/>
  <c r="F91" i="3"/>
  <c r="F92" i="3"/>
  <c r="F93" i="3"/>
  <c r="G93" i="3" s="1"/>
  <c r="F94" i="3"/>
  <c r="G94" i="3" s="1"/>
  <c r="H94" i="3"/>
  <c r="I94" i="3" s="1"/>
  <c r="J94" i="3" s="1"/>
  <c r="L94" i="3" s="1" a="1"/>
  <c r="L94" i="3" s="1"/>
  <c r="F95" i="3"/>
  <c r="G95" i="3" s="1"/>
  <c r="F96" i="3"/>
  <c r="F97" i="3"/>
  <c r="G97" i="3" s="1"/>
  <c r="H97" i="3"/>
  <c r="I97" i="3" s="1"/>
  <c r="J97" i="3" s="1"/>
  <c r="L97" i="3" s="1" a="1"/>
  <c r="L97" i="3" s="1"/>
  <c r="F98" i="3"/>
  <c r="G98" i="3" s="1"/>
  <c r="F99" i="3"/>
  <c r="G99" i="3" s="1"/>
  <c r="H99" i="3"/>
  <c r="I99" i="3" s="1"/>
  <c r="J99" i="3" s="1"/>
  <c r="L99" i="3" s="1" a="1"/>
  <c r="L99" i="3" s="1"/>
  <c r="F100" i="3"/>
  <c r="F101" i="3"/>
  <c r="F102" i="3"/>
  <c r="G102" i="3" s="1"/>
  <c r="F103" i="3"/>
  <c r="F104" i="3"/>
  <c r="H104" i="3" s="1"/>
  <c r="I104" i="3" s="1"/>
  <c r="J104" i="3" s="1"/>
  <c r="L104" i="3" s="1" a="1"/>
  <c r="L104" i="3" s="1"/>
  <c r="G104" i="3"/>
  <c r="F105" i="3"/>
  <c r="G105" i="3"/>
  <c r="H105" i="3"/>
  <c r="I105" i="3" s="1"/>
  <c r="J105" i="3" s="1"/>
  <c r="L105" i="3" s="1" a="1"/>
  <c r="L105" i="3" s="1"/>
  <c r="F106" i="3"/>
  <c r="G106" i="3" s="1"/>
  <c r="H106" i="3"/>
  <c r="I106" i="3" s="1"/>
  <c r="J106" i="3" s="1"/>
  <c r="L106" i="3" s="1" a="1"/>
  <c r="L106" i="3" s="1"/>
  <c r="F107" i="3"/>
  <c r="G107" i="3" s="1"/>
  <c r="F108" i="3"/>
  <c r="F109" i="3"/>
  <c r="F110" i="3"/>
  <c r="G110" i="3" s="1"/>
  <c r="F111" i="3"/>
  <c r="G111" i="3"/>
  <c r="H111" i="3"/>
  <c r="I111" i="3" s="1"/>
  <c r="J111" i="3" s="1"/>
  <c r="L111" i="3" a="1"/>
  <c r="L111" i="3" s="1"/>
  <c r="F112" i="3"/>
  <c r="G112" i="3" s="1"/>
  <c r="H112" i="3"/>
  <c r="I112" i="3" s="1"/>
  <c r="J112" i="3" s="1"/>
  <c r="L112" i="3" s="1" a="1"/>
  <c r="L112" i="3" s="1"/>
  <c r="F113" i="3"/>
  <c r="G113" i="3" s="1"/>
  <c r="F114" i="3"/>
  <c r="G114" i="3" s="1"/>
  <c r="F115" i="3"/>
  <c r="F116" i="3"/>
  <c r="F117" i="3"/>
  <c r="F118" i="3"/>
  <c r="H118" i="3" s="1"/>
  <c r="I118" i="3" s="1"/>
  <c r="J118" i="3" s="1"/>
  <c r="L118" i="3" s="1" a="1"/>
  <c r="L118" i="3" s="1"/>
  <c r="G118" i="3"/>
  <c r="F119" i="3"/>
  <c r="G119" i="3" s="1"/>
  <c r="H119" i="3"/>
  <c r="I119" i="3" s="1"/>
  <c r="J119" i="3" s="1"/>
  <c r="L119" i="3" s="1" a="1"/>
  <c r="L119" i="3" s="1"/>
  <c r="F120" i="3"/>
  <c r="G120" i="3" s="1"/>
  <c r="F121" i="3"/>
  <c r="G121" i="3" s="1"/>
  <c r="F122" i="3"/>
  <c r="G122" i="3" s="1"/>
  <c r="F123" i="3"/>
  <c r="F124" i="3"/>
  <c r="F125" i="3"/>
  <c r="F126" i="3"/>
  <c r="G126" i="3"/>
  <c r="H126" i="3"/>
  <c r="I126" i="3" s="1"/>
  <c r="J126" i="3" s="1"/>
  <c r="L126" i="3" s="1" a="1"/>
  <c r="L126" i="3" s="1"/>
  <c r="F127" i="3"/>
  <c r="G127" i="3" s="1"/>
  <c r="H127" i="3"/>
  <c r="I127" i="3" s="1"/>
  <c r="J127" i="3" s="1"/>
  <c r="L127" i="3" s="1" a="1"/>
  <c r="L127" i="3" s="1"/>
  <c r="F128" i="3"/>
  <c r="G128" i="3" s="1"/>
  <c r="F129" i="3"/>
  <c r="H129" i="3" s="1"/>
  <c r="I129" i="3" s="1"/>
  <c r="J129" i="3" s="1"/>
  <c r="L129" i="3" s="1" a="1"/>
  <c r="L129" i="3" s="1"/>
  <c r="F130" i="3"/>
  <c r="G130" i="3" s="1"/>
  <c r="F131" i="3"/>
  <c r="G131" i="3" s="1"/>
  <c r="F132" i="3"/>
  <c r="F133" i="3"/>
  <c r="F134" i="3"/>
  <c r="H134" i="3" s="1"/>
  <c r="I134" i="3" s="1"/>
  <c r="J134" i="3" s="1"/>
  <c r="L134" i="3" s="1" a="1"/>
  <c r="L134" i="3" s="1"/>
  <c r="G134" i="3"/>
  <c r="F135" i="3"/>
  <c r="H135" i="3" s="1"/>
  <c r="I135" i="3" s="1"/>
  <c r="J135" i="3" s="1"/>
  <c r="L135" i="3" s="1" a="1"/>
  <c r="L135" i="3" s="1"/>
  <c r="G135" i="3"/>
  <c r="F136" i="3"/>
  <c r="G136" i="3" s="1"/>
  <c r="F137" i="3"/>
  <c r="H137" i="3" s="1"/>
  <c r="I137" i="3" s="1"/>
  <c r="J137" i="3" s="1"/>
  <c r="L137" i="3" s="1" a="1"/>
  <c r="L137" i="3" s="1"/>
  <c r="G137" i="3"/>
  <c r="F138" i="3"/>
  <c r="G138" i="3" s="1"/>
  <c r="F139" i="3"/>
  <c r="G139" i="3" s="1"/>
  <c r="H139" i="3"/>
  <c r="I139" i="3" s="1"/>
  <c r="J139" i="3" s="1"/>
  <c r="L139" i="3" s="1" a="1"/>
  <c r="L139" i="3" s="1"/>
  <c r="F140" i="3"/>
  <c r="F141" i="3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/>
  <c r="H147" i="3"/>
  <c r="I147" i="3" s="1"/>
  <c r="J147" i="3" s="1"/>
  <c r="L147" i="3" s="1" a="1"/>
  <c r="L147" i="3" s="1"/>
  <c r="F148" i="3"/>
  <c r="F149" i="3"/>
  <c r="F150" i="3"/>
  <c r="H150" i="3" s="1"/>
  <c r="I150" i="3"/>
  <c r="J150" i="3" s="1"/>
  <c r="L150" i="3" s="1" a="1"/>
  <c r="L150" i="3" s="1"/>
  <c r="F151" i="3"/>
  <c r="G151" i="3" s="1"/>
  <c r="F152" i="3"/>
  <c r="F153" i="3"/>
  <c r="F154" i="3"/>
  <c r="H154" i="3" s="1"/>
  <c r="I154" i="3" s="1"/>
  <c r="J154" i="3" s="1"/>
  <c r="L154" i="3" s="1" a="1"/>
  <c r="L154" i="3" s="1"/>
  <c r="F155" i="3"/>
  <c r="G155" i="3" s="1"/>
  <c r="H155" i="3"/>
  <c r="I155" i="3" s="1"/>
  <c r="J155" i="3" s="1"/>
  <c r="L155" i="3" s="1" a="1"/>
  <c r="L155" i="3" s="1"/>
  <c r="F156" i="3"/>
  <c r="F157" i="3"/>
  <c r="F158" i="3"/>
  <c r="G158" i="3" s="1"/>
  <c r="F159" i="3"/>
  <c r="H159" i="3" s="1"/>
  <c r="I159" i="3" s="1"/>
  <c r="J159" i="3" s="1"/>
  <c r="L159" i="3" s="1" a="1"/>
  <c r="L159" i="3" s="1"/>
  <c r="G159" i="3"/>
  <c r="F160" i="3"/>
  <c r="G160" i="3" s="1"/>
  <c r="H160" i="3"/>
  <c r="I160" i="3" s="1"/>
  <c r="J160" i="3" s="1"/>
  <c r="L160" i="3" s="1" a="1"/>
  <c r="L160" i="3" s="1"/>
  <c r="F161" i="3"/>
  <c r="G161" i="3" s="1"/>
  <c r="F162" i="3"/>
  <c r="G162" i="3" s="1"/>
  <c r="H162" i="3"/>
  <c r="I162" i="3" s="1"/>
  <c r="J162" i="3" s="1"/>
  <c r="L162" i="3" s="1" a="1"/>
  <c r="L162" i="3" s="1"/>
  <c r="F163" i="3"/>
  <c r="F164" i="3"/>
  <c r="F165" i="3"/>
  <c r="F166" i="3"/>
  <c r="G166" i="3" s="1"/>
  <c r="H166" i="3"/>
  <c r="I166" i="3" s="1"/>
  <c r="J166" i="3" s="1"/>
  <c r="L166" i="3" s="1" a="1"/>
  <c r="L166" i="3" s="1"/>
  <c r="F167" i="3"/>
  <c r="G167" i="3" s="1"/>
  <c r="F168" i="3"/>
  <c r="H168" i="3" s="1"/>
  <c r="I168" i="3" s="1"/>
  <c r="J168" i="3" s="1"/>
  <c r="L168" i="3" s="1" a="1"/>
  <c r="L168" i="3" s="1"/>
  <c r="G168" i="3"/>
  <c r="F169" i="3"/>
  <c r="F170" i="3"/>
  <c r="G170" i="3" s="1"/>
  <c r="F171" i="3"/>
  <c r="G171" i="3"/>
  <c r="H171" i="3"/>
  <c r="I171" i="3" s="1"/>
  <c r="J171" i="3"/>
  <c r="L171" i="3" s="1" a="1"/>
  <c r="L171" i="3" s="1"/>
  <c r="F172" i="3"/>
  <c r="F173" i="3"/>
  <c r="F174" i="3"/>
  <c r="G174" i="3" s="1"/>
  <c r="F175" i="3"/>
  <c r="H175" i="3" s="1"/>
  <c r="I175" i="3" s="1"/>
  <c r="J175" i="3" s="1"/>
  <c r="L175" i="3" s="1" a="1"/>
  <c r="L175" i="3" s="1"/>
  <c r="F176" i="3"/>
  <c r="G176" i="3" s="1"/>
  <c r="H176" i="3"/>
  <c r="I176" i="3" s="1"/>
  <c r="J176" i="3" s="1"/>
  <c r="L176" i="3" s="1" a="1"/>
  <c r="L176" i="3" s="1"/>
  <c r="F177" i="3"/>
  <c r="G177" i="3" s="1"/>
  <c r="H177" i="3"/>
  <c r="I177" i="3" s="1"/>
  <c r="J177" i="3" s="1"/>
  <c r="L177" i="3" s="1" a="1"/>
  <c r="L177" i="3" s="1"/>
  <c r="F178" i="3"/>
  <c r="G178" i="3" s="1"/>
  <c r="F179" i="3"/>
  <c r="G179" i="3" s="1"/>
  <c r="F180" i="3"/>
  <c r="F181" i="3"/>
  <c r="F182" i="3"/>
  <c r="F183" i="3"/>
  <c r="G183" i="3" s="1"/>
  <c r="F184" i="3"/>
  <c r="G184" i="3" s="1"/>
  <c r="H184" i="3"/>
  <c r="I184" i="3" s="1"/>
  <c r="J184" i="3" s="1"/>
  <c r="L184" i="3" s="1" a="1"/>
  <c r="L184" i="3" s="1"/>
  <c r="F185" i="3"/>
  <c r="F186" i="3"/>
  <c r="G186" i="3" s="1"/>
  <c r="F187" i="3"/>
  <c r="G187" i="3" s="1"/>
  <c r="F188" i="3"/>
  <c r="F189" i="3"/>
  <c r="F190" i="3"/>
  <c r="G190" i="3" s="1"/>
  <c r="F191" i="3"/>
  <c r="G191" i="3" s="1"/>
  <c r="F192" i="3"/>
  <c r="G192" i="3"/>
  <c r="H192" i="3"/>
  <c r="I192" i="3"/>
  <c r="J192" i="3" s="1"/>
  <c r="L192" i="3" s="1" a="1"/>
  <c r="L192" i="3" s="1"/>
  <c r="F193" i="3"/>
  <c r="G193" i="3" s="1"/>
  <c r="H193" i="3"/>
  <c r="I193" i="3" s="1"/>
  <c r="J193" i="3" s="1"/>
  <c r="L193" i="3" s="1" a="1"/>
  <c r="L193" i="3" s="1"/>
  <c r="F194" i="3"/>
  <c r="H194" i="3" s="1"/>
  <c r="I194" i="3" s="1"/>
  <c r="J194" i="3" s="1"/>
  <c r="L194" i="3" s="1" a="1"/>
  <c r="L194" i="3" s="1"/>
  <c r="F195" i="3"/>
  <c r="G195" i="3" s="1"/>
  <c r="F196" i="3"/>
  <c r="F197" i="3"/>
  <c r="F198" i="3"/>
  <c r="F199" i="3"/>
  <c r="H199" i="3" s="1"/>
  <c r="I199" i="3" s="1"/>
  <c r="G199" i="3"/>
  <c r="J199" i="3"/>
  <c r="L199" i="3" s="1" a="1"/>
  <c r="L199" i="3" s="1"/>
  <c r="F200" i="3"/>
  <c r="G200" i="3" s="1"/>
  <c r="F201" i="3"/>
  <c r="G201" i="3" s="1"/>
  <c r="H201" i="3"/>
  <c r="I201" i="3" s="1"/>
  <c r="J201" i="3" s="1"/>
  <c r="L201" i="3" s="1" a="1"/>
  <c r="L201" i="3" s="1"/>
  <c r="F202" i="3"/>
  <c r="G202" i="3" s="1"/>
  <c r="H202" i="3"/>
  <c r="I202" i="3" s="1"/>
  <c r="J202" i="3" s="1"/>
  <c r="L202" i="3" a="1"/>
  <c r="L202" i="3" s="1"/>
  <c r="F203" i="3"/>
  <c r="G203" i="3" s="1"/>
  <c r="H203" i="3"/>
  <c r="I203" i="3" s="1"/>
  <c r="J203" i="3" s="1"/>
  <c r="L203" i="3" s="1" a="1"/>
  <c r="L203" i="3" s="1"/>
  <c r="F204" i="3"/>
  <c r="F205" i="3"/>
  <c r="F206" i="3"/>
  <c r="G206" i="3"/>
  <c r="H206" i="3"/>
  <c r="I206" i="3" s="1"/>
  <c r="J206" i="3" s="1"/>
  <c r="L206" i="3" s="1" a="1"/>
  <c r="L206" i="3" s="1"/>
  <c r="F207" i="3"/>
  <c r="H207" i="3" s="1"/>
  <c r="I207" i="3" s="1"/>
  <c r="J207" i="3" s="1"/>
  <c r="L207" i="3" s="1" a="1"/>
  <c r="L207" i="3" s="1"/>
  <c r="G207" i="3"/>
  <c r="F208" i="3"/>
  <c r="G208" i="3" s="1"/>
  <c r="F209" i="3"/>
  <c r="G209" i="3" s="1"/>
  <c r="F210" i="3"/>
  <c r="H210" i="3" s="1"/>
  <c r="I210" i="3" s="1"/>
  <c r="J210" i="3" s="1"/>
  <c r="L210" i="3" s="1" a="1"/>
  <c r="L210" i="3" s="1"/>
  <c r="F211" i="3"/>
  <c r="G211" i="3" s="1"/>
  <c r="F212" i="3"/>
  <c r="F213" i="3"/>
  <c r="F214" i="3"/>
  <c r="G214" i="3"/>
  <c r="H214" i="3"/>
  <c r="I214" i="3" s="1"/>
  <c r="J214" i="3" s="1"/>
  <c r="L214" i="3" a="1"/>
  <c r="L214" i="3" s="1"/>
  <c r="F215" i="3"/>
  <c r="H215" i="3" s="1"/>
  <c r="I215" i="3" s="1"/>
  <c r="J215" i="3" s="1"/>
  <c r="L215" i="3" s="1" a="1"/>
  <c r="L215" i="3" s="1"/>
  <c r="G215" i="3"/>
  <c r="F216" i="3"/>
  <c r="G216" i="3" s="1"/>
  <c r="F217" i="3"/>
  <c r="G217" i="3" s="1"/>
  <c r="F218" i="3"/>
  <c r="F219" i="3"/>
  <c r="F220" i="3"/>
  <c r="F221" i="3"/>
  <c r="F222" i="3"/>
  <c r="H222" i="3" s="1"/>
  <c r="I222" i="3" s="1"/>
  <c r="J222" i="3" s="1"/>
  <c r="L222" i="3" s="1" a="1"/>
  <c r="L222" i="3" s="1"/>
  <c r="G222" i="3"/>
  <c r="F223" i="3"/>
  <c r="G223" i="3" s="1"/>
  <c r="F224" i="3"/>
  <c r="H224" i="3" s="1"/>
  <c r="I224" i="3" s="1"/>
  <c r="J224" i="3" s="1"/>
  <c r="L224" i="3" s="1" a="1"/>
  <c r="L224" i="3" s="1"/>
  <c r="G224" i="3"/>
  <c r="F225" i="3"/>
  <c r="F226" i="3"/>
  <c r="G226" i="3" s="1"/>
  <c r="H226" i="3"/>
  <c r="I226" i="3" s="1"/>
  <c r="J226" i="3" s="1"/>
  <c r="L226" i="3" s="1" a="1"/>
  <c r="L226" i="3" s="1"/>
  <c r="F227" i="3"/>
  <c r="G227" i="3" s="1"/>
  <c r="H227" i="3"/>
  <c r="I227" i="3" s="1"/>
  <c r="J227" i="3" s="1"/>
  <c r="L227" i="3" s="1" a="1"/>
  <c r="L227" i="3" s="1"/>
  <c r="F228" i="3"/>
  <c r="F229" i="3"/>
  <c r="F230" i="3"/>
  <c r="F231" i="3"/>
  <c r="G231" i="3" s="1"/>
  <c r="F232" i="3"/>
  <c r="G232" i="3" s="1"/>
  <c r="F233" i="3"/>
  <c r="F234" i="3"/>
  <c r="G234" i="3" s="1"/>
  <c r="H234" i="3"/>
  <c r="I234" i="3" s="1"/>
  <c r="J234" i="3" s="1"/>
  <c r="L234" i="3" s="1" a="1"/>
  <c r="L234" i="3" s="1"/>
  <c r="F235" i="3"/>
  <c r="F236" i="3"/>
  <c r="F237" i="3"/>
  <c r="F238" i="3"/>
  <c r="G238" i="3" s="1"/>
  <c r="F239" i="3"/>
  <c r="H239" i="3" s="1"/>
  <c r="I239" i="3" s="1"/>
  <c r="J239" i="3" s="1"/>
  <c r="L239" i="3" s="1" a="1"/>
  <c r="L239" i="3" s="1"/>
  <c r="G239" i="3"/>
  <c r="F240" i="3"/>
  <c r="G240" i="3" s="1"/>
  <c r="F241" i="3"/>
  <c r="G241" i="3" s="1"/>
  <c r="H241" i="3"/>
  <c r="I241" i="3" s="1"/>
  <c r="J241" i="3" s="1"/>
  <c r="L241" i="3" s="1" a="1"/>
  <c r="L241" i="3" s="1"/>
  <c r="F242" i="3"/>
  <c r="F243" i="3"/>
  <c r="H243" i="3" s="1"/>
  <c r="I243" i="3" s="1"/>
  <c r="J243" i="3" s="1"/>
  <c r="L243" i="3" s="1" a="1"/>
  <c r="L243" i="3" s="1"/>
  <c r="G243" i="3"/>
  <c r="F244" i="3"/>
  <c r="F245" i="3"/>
  <c r="F246" i="3"/>
  <c r="G246" i="3" s="1"/>
  <c r="F247" i="3"/>
  <c r="F248" i="3"/>
  <c r="G248" i="3" s="1"/>
  <c r="F249" i="3"/>
  <c r="F250" i="3"/>
  <c r="F251" i="3"/>
  <c r="G251" i="3" s="1"/>
  <c r="F252" i="3"/>
  <c r="F253" i="3"/>
  <c r="F254" i="3"/>
  <c r="F255" i="3"/>
  <c r="G255" i="3"/>
  <c r="H255" i="3"/>
  <c r="I255" i="3" s="1"/>
  <c r="J255" i="3" s="1"/>
  <c r="L255" i="3" s="1" a="1"/>
  <c r="L255" i="3" s="1"/>
  <c r="F256" i="3"/>
  <c r="G256" i="3" s="1"/>
  <c r="F257" i="3"/>
  <c r="G257" i="3" s="1"/>
  <c r="H257" i="3"/>
  <c r="I257" i="3" s="1"/>
  <c r="J257" i="3" s="1"/>
  <c r="L257" i="3" s="1" a="1"/>
  <c r="L257" i="3" s="1"/>
  <c r="F258" i="3"/>
  <c r="G258" i="3" s="1"/>
  <c r="F259" i="3"/>
  <c r="G259" i="3" s="1"/>
  <c r="H259" i="3"/>
  <c r="I259" i="3" s="1"/>
  <c r="J259" i="3" s="1"/>
  <c r="L259" i="3" s="1" a="1"/>
  <c r="L259" i="3" s="1"/>
  <c r="F260" i="3"/>
  <c r="F261" i="3"/>
  <c r="F262" i="3"/>
  <c r="H262" i="3" s="1"/>
  <c r="I262" i="3" s="1"/>
  <c r="J262" i="3" s="1"/>
  <c r="L262" i="3" s="1" a="1"/>
  <c r="L262" i="3" s="1"/>
  <c r="G262" i="3"/>
  <c r="F263" i="3"/>
  <c r="G263" i="3" s="1"/>
  <c r="H263" i="3"/>
  <c r="I263" i="3" s="1"/>
  <c r="J263" i="3" s="1"/>
  <c r="L263" i="3" s="1" a="1"/>
  <c r="L263" i="3" s="1"/>
  <c r="F264" i="3"/>
  <c r="F265" i="3"/>
  <c r="G265" i="3"/>
  <c r="H265" i="3"/>
  <c r="I265" i="3" s="1"/>
  <c r="J265" i="3" s="1"/>
  <c r="L265" i="3" s="1" a="1"/>
  <c r="L265" i="3" s="1"/>
  <c r="F266" i="3"/>
  <c r="H266" i="3" s="1"/>
  <c r="I266" i="3" s="1"/>
  <c r="J266" i="3" s="1"/>
  <c r="L266" i="3" s="1" a="1"/>
  <c r="L266" i="3" s="1"/>
  <c r="G266" i="3"/>
  <c r="F267" i="3"/>
  <c r="G267" i="3"/>
  <c r="H267" i="3"/>
  <c r="I267" i="3" s="1"/>
  <c r="J267" i="3" s="1"/>
  <c r="L267" i="3" s="1" a="1"/>
  <c r="L267" i="3" s="1"/>
  <c r="F268" i="3"/>
  <c r="F269" i="3"/>
  <c r="F270" i="3"/>
  <c r="G270" i="3" s="1"/>
  <c r="H270" i="3"/>
  <c r="I270" i="3" s="1"/>
  <c r="J270" i="3" s="1"/>
  <c r="L270" i="3" s="1" a="1"/>
  <c r="L270" i="3" s="1"/>
  <c r="F271" i="3"/>
  <c r="G271" i="3" s="1"/>
  <c r="F272" i="3"/>
  <c r="G272" i="3" s="1"/>
  <c r="F273" i="3"/>
  <c r="G273" i="3" s="1"/>
  <c r="H273" i="3"/>
  <c r="I273" i="3" s="1"/>
  <c r="J273" i="3" s="1"/>
  <c r="L273" i="3" s="1" a="1"/>
  <c r="L273" i="3" s="1"/>
  <c r="F274" i="3"/>
  <c r="G274" i="3" s="1"/>
  <c r="F275" i="3"/>
  <c r="G275" i="3" s="1"/>
  <c r="F276" i="3"/>
  <c r="F277" i="3"/>
  <c r="F278" i="3"/>
  <c r="F279" i="3"/>
  <c r="H279" i="3" s="1"/>
  <c r="I279" i="3" s="1"/>
  <c r="J279" i="3" s="1"/>
  <c r="L279" i="3" s="1" a="1"/>
  <c r="L279" i="3" s="1"/>
  <c r="G279" i="3"/>
  <c r="F280" i="3"/>
  <c r="H280" i="3" s="1"/>
  <c r="I280" i="3" s="1"/>
  <c r="J280" i="3" s="1"/>
  <c r="L280" i="3" s="1" a="1"/>
  <c r="L280" i="3" s="1"/>
  <c r="G280" i="3"/>
  <c r="F281" i="3"/>
  <c r="H281" i="3" s="1"/>
  <c r="I281" i="3" s="1"/>
  <c r="J281" i="3" s="1"/>
  <c r="L281" i="3" s="1" a="1"/>
  <c r="L281" i="3" s="1"/>
  <c r="G281" i="3"/>
  <c r="F282" i="3"/>
  <c r="H282" i="3" s="1"/>
  <c r="G282" i="3"/>
  <c r="I282" i="3"/>
  <c r="J282" i="3" s="1"/>
  <c r="L282" i="3" s="1" a="1"/>
  <c r="L282" i="3" s="1"/>
  <c r="F283" i="3"/>
  <c r="G283" i="3" s="1"/>
  <c r="F284" i="3"/>
  <c r="F285" i="3"/>
  <c r="F286" i="3"/>
  <c r="F287" i="3"/>
  <c r="G287" i="3" s="1"/>
  <c r="H287" i="3"/>
  <c r="I287" i="3" s="1"/>
  <c r="J287" i="3" s="1"/>
  <c r="L287" i="3" s="1" a="1"/>
  <c r="L287" i="3" s="1"/>
  <c r="F288" i="3"/>
  <c r="F289" i="3"/>
  <c r="H289" i="3" s="1"/>
  <c r="I289" i="3" s="1"/>
  <c r="J289" i="3" s="1"/>
  <c r="L289" i="3" s="1" a="1"/>
  <c r="L289" i="3" s="1"/>
  <c r="F290" i="3"/>
  <c r="G290" i="3" s="1"/>
  <c r="F291" i="3"/>
  <c r="G291" i="3" s="1"/>
  <c r="F292" i="3"/>
  <c r="F293" i="3"/>
  <c r="F294" i="3"/>
  <c r="G294" i="3" s="1"/>
  <c r="H294" i="3"/>
  <c r="I294" i="3" s="1"/>
  <c r="J294" i="3" s="1"/>
  <c r="L294" i="3" s="1" a="1"/>
  <c r="L294" i="3" s="1"/>
  <c r="F295" i="3"/>
  <c r="G295" i="3" s="1"/>
  <c r="F296" i="3"/>
  <c r="G296" i="3" s="1"/>
  <c r="H296" i="3"/>
  <c r="I296" i="3" s="1"/>
  <c r="J296" i="3" s="1"/>
  <c r="L296" i="3" s="1" a="1"/>
  <c r="L296" i="3" s="1"/>
  <c r="F297" i="3"/>
  <c r="G297" i="3" s="1"/>
  <c r="F298" i="3"/>
  <c r="F299" i="3"/>
  <c r="G299" i="3"/>
  <c r="H299" i="3"/>
  <c r="I299" i="3" s="1"/>
  <c r="J299" i="3" s="1"/>
  <c r="L299" i="3" s="1" a="1"/>
  <c r="L299" i="3" s="1"/>
  <c r="F300" i="3"/>
  <c r="F301" i="3"/>
  <c r="F302" i="3"/>
  <c r="G302" i="3" s="1"/>
  <c r="H302" i="3"/>
  <c r="I302" i="3" s="1"/>
  <c r="J302" i="3" s="1"/>
  <c r="L302" i="3" s="1" a="1"/>
  <c r="L302" i="3" s="1"/>
  <c r="F303" i="3"/>
  <c r="H303" i="3" s="1"/>
  <c r="I303" i="3" s="1"/>
  <c r="J303" i="3" s="1"/>
  <c r="L303" i="3" s="1" a="1"/>
  <c r="L303" i="3" s="1"/>
  <c r="G303" i="3"/>
  <c r="F304" i="3"/>
  <c r="F305" i="3"/>
  <c r="G305" i="3" s="1"/>
  <c r="F306" i="3"/>
  <c r="H306" i="3" s="1"/>
  <c r="I306" i="3" s="1"/>
  <c r="J306" i="3" s="1"/>
  <c r="L306" i="3" s="1" a="1"/>
  <c r="L306" i="3" s="1"/>
  <c r="G306" i="3"/>
  <c r="F307" i="3"/>
  <c r="H307" i="3" s="1"/>
  <c r="I307" i="3" s="1"/>
  <c r="J307" i="3" s="1"/>
  <c r="L307" i="3" s="1" a="1"/>
  <c r="L307" i="3" s="1"/>
  <c r="G307" i="3"/>
  <c r="F308" i="3"/>
  <c r="F309" i="3"/>
  <c r="F310" i="3"/>
  <c r="H310" i="3" s="1"/>
  <c r="I310" i="3" s="1"/>
  <c r="J310" i="3" s="1"/>
  <c r="L310" i="3" s="1" a="1"/>
  <c r="L310" i="3" s="1"/>
  <c r="F311" i="3"/>
  <c r="F312" i="3"/>
  <c r="H312" i="3" s="1"/>
  <c r="I312" i="3" s="1"/>
  <c r="J312" i="3" s="1"/>
  <c r="L312" i="3" s="1" a="1"/>
  <c r="L312" i="3" s="1"/>
  <c r="G312" i="3"/>
  <c r="F313" i="3"/>
  <c r="G313" i="3"/>
  <c r="H313" i="3"/>
  <c r="I313" i="3" s="1"/>
  <c r="J313" i="3" s="1"/>
  <c r="L313" i="3" s="1" a="1"/>
  <c r="L313" i="3" s="1"/>
  <c r="F314" i="3"/>
  <c r="G314" i="3" s="1"/>
  <c r="F315" i="3"/>
  <c r="G315" i="3" s="1"/>
  <c r="H315" i="3"/>
  <c r="I315" i="3" s="1"/>
  <c r="J315" i="3" s="1"/>
  <c r="L315" i="3" s="1" a="1"/>
  <c r="L315" i="3" s="1"/>
  <c r="F316" i="3"/>
  <c r="F317" i="3"/>
  <c r="F318" i="3"/>
  <c r="G318" i="3" s="1"/>
  <c r="F319" i="3"/>
  <c r="H319" i="3" s="1"/>
  <c r="I319" i="3" s="1"/>
  <c r="J319" i="3" s="1"/>
  <c r="L319" i="3" s="1" a="1"/>
  <c r="L319" i="3" s="1"/>
  <c r="G319" i="3"/>
  <c r="F320" i="3"/>
  <c r="H320" i="3" s="1"/>
  <c r="I320" i="3" s="1"/>
  <c r="J320" i="3" s="1"/>
  <c r="L320" i="3" s="1" a="1"/>
  <c r="L320" i="3" s="1"/>
  <c r="F321" i="3"/>
  <c r="G321" i="3" s="1"/>
  <c r="H321" i="3"/>
  <c r="I321" i="3" s="1"/>
  <c r="J321" i="3" s="1"/>
  <c r="L321" i="3" s="1" a="1"/>
  <c r="L321" i="3" s="1"/>
  <c r="F322" i="3"/>
  <c r="G322" i="3" s="1"/>
  <c r="H322" i="3"/>
  <c r="I322" i="3" s="1"/>
  <c r="J322" i="3" s="1"/>
  <c r="L322" i="3" s="1" a="1"/>
  <c r="L322" i="3" s="1"/>
  <c r="F323" i="3"/>
  <c r="H323" i="3" s="1"/>
  <c r="I323" i="3" s="1"/>
  <c r="J323" i="3" s="1"/>
  <c r="L323" i="3" s="1" a="1"/>
  <c r="L323" i="3" s="1"/>
  <c r="G323" i="3"/>
  <c r="F324" i="3"/>
  <c r="F325" i="3"/>
  <c r="F326" i="3"/>
  <c r="G326" i="3" s="1"/>
  <c r="F327" i="3"/>
  <c r="H327" i="3" s="1"/>
  <c r="I327" i="3" s="1"/>
  <c r="J327" i="3" s="1"/>
  <c r="L327" i="3" s="1" a="1"/>
  <c r="L327" i="3" s="1"/>
  <c r="F328" i="3"/>
  <c r="G328" i="3" s="1"/>
  <c r="F329" i="3"/>
  <c r="G329" i="3" s="1"/>
  <c r="H329" i="3"/>
  <c r="I329" i="3" s="1"/>
  <c r="J329" i="3" s="1"/>
  <c r="L329" i="3" s="1" a="1"/>
  <c r="L329" i="3" s="1"/>
  <c r="F330" i="3"/>
  <c r="G330" i="3" s="1"/>
  <c r="F331" i="3"/>
  <c r="G331" i="3" s="1"/>
  <c r="F332" i="3"/>
  <c r="F333" i="3"/>
  <c r="F334" i="3"/>
  <c r="H334" i="3" s="1"/>
  <c r="I334" i="3" s="1"/>
  <c r="J334" i="3" s="1"/>
  <c r="L334" i="3" s="1" a="1"/>
  <c r="L334" i="3" s="1"/>
  <c r="G334" i="3"/>
  <c r="F335" i="3"/>
  <c r="G335" i="3" s="1"/>
  <c r="F336" i="3"/>
  <c r="G336" i="3" s="1"/>
  <c r="F337" i="3"/>
  <c r="G337" i="3" s="1"/>
  <c r="F338" i="3"/>
  <c r="G338" i="3" s="1"/>
  <c r="F339" i="3"/>
  <c r="H339" i="3" s="1"/>
  <c r="I339" i="3" s="1"/>
  <c r="J339" i="3" s="1"/>
  <c r="L339" i="3" s="1" a="1"/>
  <c r="G339" i="3"/>
  <c r="L339" i="3"/>
  <c r="F340" i="3"/>
  <c r="F341" i="3"/>
  <c r="F342" i="3"/>
  <c r="G342" i="3" s="1"/>
  <c r="F343" i="3"/>
  <c r="G343" i="3" s="1"/>
  <c r="F344" i="3"/>
  <c r="F345" i="3"/>
  <c r="H345" i="3" s="1"/>
  <c r="I345" i="3" s="1"/>
  <c r="J345" i="3" s="1"/>
  <c r="L345" i="3" s="1" a="1"/>
  <c r="L345" i="3" s="1"/>
  <c r="G345" i="3"/>
  <c r="F346" i="3"/>
  <c r="G346" i="3" s="1"/>
  <c r="H346" i="3"/>
  <c r="I346" i="3" s="1"/>
  <c r="J346" i="3" s="1"/>
  <c r="L346" i="3" s="1" a="1"/>
  <c r="L346" i="3" s="1"/>
  <c r="F347" i="3"/>
  <c r="G347" i="3" s="1"/>
  <c r="F348" i="3"/>
  <c r="F349" i="3"/>
  <c r="F350" i="3"/>
  <c r="G350" i="3" s="1"/>
  <c r="F351" i="3"/>
  <c r="F352" i="3"/>
  <c r="G352" i="3" s="1"/>
  <c r="F353" i="3"/>
  <c r="F354" i="3"/>
  <c r="H354" i="3" s="1"/>
  <c r="I354" i="3" s="1"/>
  <c r="G354" i="3"/>
  <c r="J354" i="3"/>
  <c r="L354" i="3" s="1" a="1"/>
  <c r="L354" i="3" s="1"/>
  <c r="F355" i="3"/>
  <c r="F356" i="3"/>
  <c r="F357" i="3"/>
  <c r="F358" i="3"/>
  <c r="G358" i="3" s="1"/>
  <c r="F359" i="3"/>
  <c r="F360" i="3"/>
  <c r="G360" i="3"/>
  <c r="H360" i="3"/>
  <c r="I360" i="3"/>
  <c r="J360" i="3" s="1"/>
  <c r="L360" i="3" s="1" a="1"/>
  <c r="L360" i="3" s="1"/>
  <c r="F361" i="3"/>
  <c r="G361" i="3" s="1"/>
  <c r="H361" i="3"/>
  <c r="I361" i="3" s="1"/>
  <c r="J361" i="3" s="1"/>
  <c r="L361" i="3" s="1" a="1"/>
  <c r="L361" i="3" s="1"/>
  <c r="F362" i="3"/>
  <c r="G362" i="3" s="1"/>
  <c r="H362" i="3"/>
  <c r="I362" i="3" s="1"/>
  <c r="J362" i="3" s="1"/>
  <c r="L362" i="3" s="1" a="1"/>
  <c r="L362" i="3" s="1"/>
  <c r="F363" i="3"/>
  <c r="F364" i="3"/>
  <c r="F365" i="3"/>
  <c r="F366" i="3"/>
  <c r="G366" i="3" s="1"/>
  <c r="F367" i="3"/>
  <c r="G367" i="3" s="1"/>
  <c r="F368" i="3"/>
  <c r="G368" i="3" s="1"/>
  <c r="H368" i="3"/>
  <c r="I368" i="3" s="1"/>
  <c r="J368" i="3" s="1"/>
  <c r="L368" i="3" s="1" a="1"/>
  <c r="L368" i="3" s="1"/>
  <c r="F369" i="3"/>
  <c r="G369" i="3"/>
  <c r="H369" i="3"/>
  <c r="I369" i="3" s="1"/>
  <c r="J369" i="3" s="1"/>
  <c r="L369" i="3" s="1" a="1"/>
  <c r="L369" i="3" s="1"/>
  <c r="F370" i="3"/>
  <c r="F371" i="3"/>
  <c r="H371" i="3" s="1"/>
  <c r="I371" i="3" s="1"/>
  <c r="G371" i="3"/>
  <c r="J371" i="3"/>
  <c r="L371" i="3" s="1" a="1"/>
  <c r="L371" i="3" s="1"/>
  <c r="F372" i="3"/>
  <c r="F373" i="3"/>
  <c r="F374" i="3"/>
  <c r="G374" i="3" s="1"/>
  <c r="F375" i="3"/>
  <c r="G375" i="3"/>
  <c r="H375" i="3"/>
  <c r="I375" i="3" s="1"/>
  <c r="J375" i="3" s="1"/>
  <c r="L375" i="3" s="1" a="1"/>
  <c r="L375" i="3" s="1"/>
  <c r="F376" i="3"/>
  <c r="G376" i="3" s="1"/>
  <c r="F377" i="3"/>
  <c r="G377" i="3" s="1"/>
  <c r="H377" i="3"/>
  <c r="I377" i="3" s="1"/>
  <c r="J377" i="3" s="1"/>
  <c r="L377" i="3" a="1"/>
  <c r="L377" i="3" s="1"/>
  <c r="F378" i="3"/>
  <c r="H378" i="3" s="1"/>
  <c r="I378" i="3" s="1"/>
  <c r="J378" i="3" s="1"/>
  <c r="L378" i="3" s="1" a="1"/>
  <c r="L378" i="3" s="1"/>
  <c r="G378" i="3"/>
  <c r="F379" i="3"/>
  <c r="F380" i="3"/>
  <c r="F381" i="3"/>
  <c r="F382" i="3"/>
  <c r="G382" i="3" s="1"/>
  <c r="F383" i="3"/>
  <c r="H383" i="3" s="1"/>
  <c r="I383" i="3" s="1"/>
  <c r="J383" i="3" s="1"/>
  <c r="L383" i="3" s="1" a="1"/>
  <c r="L383" i="3" s="1"/>
  <c r="F384" i="3"/>
  <c r="G384" i="3" s="1"/>
  <c r="F385" i="3"/>
  <c r="G385" i="3" s="1"/>
  <c r="F386" i="3"/>
  <c r="G386" i="3" s="1"/>
  <c r="H386" i="3"/>
  <c r="I386" i="3" s="1"/>
  <c r="J386" i="3" s="1"/>
  <c r="L386" i="3" s="1" a="1"/>
  <c r="L386" i="3" s="1"/>
  <c r="F387" i="3"/>
  <c r="G387" i="3" s="1"/>
  <c r="F388" i="3"/>
  <c r="F389" i="3"/>
  <c r="F390" i="3"/>
  <c r="G390" i="3" s="1"/>
  <c r="H390" i="3"/>
  <c r="I390" i="3"/>
  <c r="J390" i="3" s="1"/>
  <c r="L390" i="3" s="1" a="1"/>
  <c r="L390" i="3" s="1"/>
  <c r="F391" i="3"/>
  <c r="F392" i="3"/>
  <c r="F393" i="3"/>
  <c r="F394" i="3"/>
  <c r="F395" i="3"/>
  <c r="G395" i="3" s="1"/>
  <c r="F396" i="3"/>
  <c r="F397" i="3"/>
  <c r="F398" i="3"/>
  <c r="G398" i="3" s="1"/>
  <c r="F399" i="3"/>
  <c r="F400" i="3"/>
  <c r="G400" i="3" s="1"/>
  <c r="H400" i="3"/>
  <c r="I400" i="3"/>
  <c r="J400" i="3" s="1"/>
  <c r="L400" i="3" s="1" a="1"/>
  <c r="L400" i="3" s="1"/>
  <c r="F401" i="3"/>
  <c r="G401" i="3" s="1"/>
  <c r="F402" i="3"/>
  <c r="H402" i="3" s="1"/>
  <c r="I402" i="3" s="1"/>
  <c r="J402" i="3" s="1"/>
  <c r="L402" i="3" s="1" a="1"/>
  <c r="L402" i="3" s="1"/>
  <c r="G402" i="3"/>
  <c r="F403" i="3"/>
  <c r="F404" i="3"/>
  <c r="F405" i="3"/>
  <c r="F406" i="3"/>
  <c r="F407" i="3"/>
  <c r="F408" i="3"/>
  <c r="H408" i="3" s="1"/>
  <c r="I408" i="3" s="1"/>
  <c r="J408" i="3" s="1"/>
  <c r="L408" i="3" s="1" a="1"/>
  <c r="L408" i="3" s="1"/>
  <c r="G408" i="3"/>
  <c r="F409" i="3"/>
  <c r="G409" i="3" s="1"/>
  <c r="H409" i="3"/>
  <c r="I409" i="3" s="1"/>
  <c r="J409" i="3" s="1"/>
  <c r="L409" i="3" s="1" a="1"/>
  <c r="L409" i="3" s="1"/>
  <c r="F410" i="3"/>
  <c r="F411" i="3"/>
  <c r="F412" i="3"/>
  <c r="F413" i="3"/>
  <c r="F414" i="3"/>
  <c r="F415" i="3"/>
  <c r="H415" i="3" s="1"/>
  <c r="I415" i="3" s="1"/>
  <c r="G415" i="3"/>
  <c r="J415" i="3"/>
  <c r="L415" i="3" s="1" a="1"/>
  <c r="L415" i="3" s="1"/>
  <c r="F416" i="3"/>
  <c r="H416" i="3" s="1"/>
  <c r="I416" i="3" s="1"/>
  <c r="G416" i="3"/>
  <c r="J416" i="3"/>
  <c r="L416" i="3" s="1" a="1"/>
  <c r="L416" i="3" s="1"/>
  <c r="F417" i="3"/>
  <c r="G417" i="3" s="1"/>
  <c r="F418" i="3"/>
  <c r="F419" i="3"/>
  <c r="H419" i="3" s="1"/>
  <c r="I419" i="3" s="1"/>
  <c r="J419" i="3" s="1"/>
  <c r="L419" i="3" s="1" a="1"/>
  <c r="L419" i="3" s="1"/>
  <c r="F420" i="3"/>
  <c r="F421" i="3"/>
  <c r="F422" i="3"/>
  <c r="F423" i="3"/>
  <c r="F424" i="3"/>
  <c r="G424" i="3" s="1"/>
  <c r="F425" i="3"/>
  <c r="H425" i="3" s="1"/>
  <c r="I425" i="3" s="1"/>
  <c r="G425" i="3"/>
  <c r="J425" i="3"/>
  <c r="L425" i="3" s="1" a="1"/>
  <c r="L425" i="3" s="1"/>
  <c r="F426" i="3"/>
  <c r="H426" i="3" s="1"/>
  <c r="I426" i="3" s="1"/>
  <c r="J426" i="3" s="1"/>
  <c r="L426" i="3" s="1" a="1"/>
  <c r="L426" i="3" s="1"/>
  <c r="G426" i="3"/>
  <c r="F427" i="3"/>
  <c r="H427" i="3" s="1"/>
  <c r="I427" i="3" s="1"/>
  <c r="J427" i="3" s="1"/>
  <c r="L427" i="3" s="1" a="1"/>
  <c r="L427" i="3" s="1"/>
  <c r="G427" i="3"/>
  <c r="F428" i="3"/>
  <c r="F429" i="3"/>
  <c r="F430" i="3"/>
  <c r="G430" i="3" s="1"/>
  <c r="H430" i="3"/>
  <c r="I430" i="3" s="1"/>
  <c r="J430" i="3" s="1"/>
  <c r="L430" i="3" s="1" a="1"/>
  <c r="L430" i="3" s="1"/>
  <c r="F431" i="3"/>
  <c r="F432" i="3"/>
  <c r="F433" i="3"/>
  <c r="F434" i="3"/>
  <c r="G434" i="3" s="1"/>
  <c r="F435" i="3"/>
  <c r="H435" i="3" s="1"/>
  <c r="I435" i="3" s="1"/>
  <c r="J435" i="3" s="1"/>
  <c r="L435" i="3" s="1" a="1"/>
  <c r="L435" i="3" s="1"/>
  <c r="F436" i="3"/>
  <c r="F437" i="3"/>
  <c r="F438" i="3"/>
  <c r="F439" i="3"/>
  <c r="F440" i="3"/>
  <c r="F441" i="3"/>
  <c r="F442" i="3"/>
  <c r="H442" i="3" s="1"/>
  <c r="I442" i="3" s="1"/>
  <c r="J442" i="3" s="1"/>
  <c r="L442" i="3" s="1" a="1"/>
  <c r="L442" i="3" s="1"/>
  <c r="F443" i="3"/>
  <c r="G443" i="3"/>
  <c r="H443" i="3"/>
  <c r="I443" i="3" s="1"/>
  <c r="J443" i="3" s="1"/>
  <c r="L443" i="3" s="1" a="1"/>
  <c r="L443" i="3" s="1"/>
  <c r="F444" i="3"/>
  <c r="F445" i="3"/>
  <c r="F446" i="3"/>
  <c r="G446" i="3" s="1"/>
  <c r="H446" i="3"/>
  <c r="I446" i="3" s="1"/>
  <c r="J446" i="3" s="1"/>
  <c r="L446" i="3" s="1" a="1"/>
  <c r="L446" i="3"/>
  <c r="F447" i="3"/>
  <c r="G447" i="3" s="1"/>
  <c r="F448" i="3"/>
  <c r="H448" i="3" s="1"/>
  <c r="I448" i="3" s="1"/>
  <c r="J448" i="3" s="1"/>
  <c r="L448" i="3" s="1" a="1"/>
  <c r="L448" i="3" s="1"/>
  <c r="G448" i="3"/>
  <c r="F449" i="3"/>
  <c r="F450" i="3"/>
  <c r="F451" i="3"/>
  <c r="G451" i="3" s="1"/>
  <c r="F452" i="3"/>
  <c r="F453" i="3"/>
  <c r="F454" i="3"/>
  <c r="G454" i="3" s="1"/>
  <c r="F455" i="3"/>
  <c r="F456" i="3"/>
  <c r="G456" i="3"/>
  <c r="H456" i="3"/>
  <c r="I456" i="3" s="1"/>
  <c r="J456" i="3" s="1"/>
  <c r="L456" i="3" s="1" a="1"/>
  <c r="L456" i="3" s="1"/>
  <c r="F457" i="3"/>
  <c r="H457" i="3" s="1"/>
  <c r="I457" i="3" s="1"/>
  <c r="J457" i="3" s="1"/>
  <c r="L457" i="3" s="1" a="1"/>
  <c r="L457" i="3" s="1"/>
  <c r="F458" i="3"/>
  <c r="F459" i="3"/>
  <c r="F460" i="3"/>
  <c r="F461" i="3"/>
  <c r="F462" i="3"/>
  <c r="H462" i="3" s="1"/>
  <c r="I462" i="3" s="1"/>
  <c r="J462" i="3" s="1"/>
  <c r="G462" i="3"/>
  <c r="L462" i="3" a="1"/>
  <c r="L462" i="3" s="1"/>
  <c r="F463" i="3"/>
  <c r="H463" i="3" s="1"/>
  <c r="I463" i="3" s="1"/>
  <c r="J463" i="3" s="1"/>
  <c r="L463" i="3" s="1" a="1"/>
  <c r="L463" i="3" s="1"/>
  <c r="G463" i="3"/>
  <c r="F464" i="3"/>
  <c r="H464" i="3" s="1"/>
  <c r="I464" i="3" s="1"/>
  <c r="J464" i="3" s="1"/>
  <c r="L464" i="3" s="1" a="1"/>
  <c r="L464" i="3" s="1"/>
  <c r="F465" i="3"/>
  <c r="F466" i="3"/>
  <c r="G466" i="3" s="1"/>
  <c r="H466" i="3"/>
  <c r="I466" i="3" s="1"/>
  <c r="J466" i="3" s="1"/>
  <c r="L466" i="3" s="1" a="1"/>
  <c r="L466" i="3" s="1"/>
  <c r="F467" i="3"/>
  <c r="F468" i="3"/>
  <c r="F469" i="3"/>
  <c r="F470" i="3"/>
  <c r="F471" i="3"/>
  <c r="G471" i="3" s="1"/>
  <c r="F472" i="3"/>
  <c r="G472" i="3" s="1"/>
  <c r="F473" i="3"/>
  <c r="F474" i="3"/>
  <c r="G474" i="3" s="1"/>
  <c r="H474" i="3"/>
  <c r="I474" i="3" s="1"/>
  <c r="J474" i="3" s="1"/>
  <c r="L474" i="3" s="1" a="1"/>
  <c r="L474" i="3" s="1"/>
  <c r="F475" i="3"/>
  <c r="F476" i="3"/>
  <c r="F477" i="3"/>
  <c r="F478" i="3"/>
  <c r="F479" i="3"/>
  <c r="G479" i="3" s="1"/>
  <c r="F480" i="3"/>
  <c r="H480" i="3" s="1"/>
  <c r="I480" i="3" s="1"/>
  <c r="J480" i="3" s="1"/>
  <c r="L480" i="3" s="1" a="1"/>
  <c r="L480" i="3" s="1"/>
  <c r="G480" i="3"/>
  <c r="F481" i="3"/>
  <c r="G481" i="3" s="1"/>
  <c r="H481" i="3"/>
  <c r="I481" i="3" s="1"/>
  <c r="J481" i="3" s="1"/>
  <c r="L481" i="3" s="1" a="1"/>
  <c r="L481" i="3" s="1"/>
  <c r="F482" i="3"/>
  <c r="G482" i="3"/>
  <c r="H482" i="3"/>
  <c r="I482" i="3" s="1"/>
  <c r="J482" i="3" s="1"/>
  <c r="L482" i="3" s="1" a="1"/>
  <c r="L482" i="3" s="1"/>
  <c r="F483" i="3"/>
  <c r="H483" i="3" s="1"/>
  <c r="I483" i="3" s="1"/>
  <c r="J483" i="3" s="1"/>
  <c r="L483" i="3" s="1" a="1"/>
  <c r="L483" i="3" s="1"/>
  <c r="G483" i="3"/>
  <c r="F484" i="3"/>
  <c r="F485" i="3"/>
  <c r="F486" i="3"/>
  <c r="G486" i="3" s="1"/>
  <c r="F487" i="3"/>
  <c r="G487" i="3" s="1"/>
  <c r="F488" i="3"/>
  <c r="H488" i="3" s="1"/>
  <c r="I488" i="3" s="1"/>
  <c r="J488" i="3" s="1"/>
  <c r="L488" i="3" s="1" a="1"/>
  <c r="L488" i="3" s="1"/>
  <c r="G488" i="3"/>
  <c r="F489" i="3"/>
  <c r="G489" i="3"/>
  <c r="H489" i="3"/>
  <c r="I489" i="3" s="1"/>
  <c r="J489" i="3" s="1"/>
  <c r="L489" i="3" s="1" a="1"/>
  <c r="L489" i="3" s="1"/>
  <c r="F490" i="3"/>
  <c r="G490" i="3" s="1"/>
  <c r="F491" i="3"/>
  <c r="F492" i="3"/>
  <c r="F493" i="3"/>
  <c r="F494" i="3"/>
  <c r="F495" i="3"/>
  <c r="G495" i="3" s="1"/>
  <c r="F496" i="3"/>
  <c r="G496" i="3" s="1"/>
  <c r="H496" i="3"/>
  <c r="I496" i="3" s="1"/>
  <c r="J496" i="3" s="1"/>
  <c r="L496" i="3" s="1" a="1"/>
  <c r="L496" i="3" s="1"/>
  <c r="F497" i="3"/>
  <c r="H497" i="3" s="1"/>
  <c r="I497" i="3" s="1"/>
  <c r="J497" i="3" s="1"/>
  <c r="L497" i="3" s="1" a="1"/>
  <c r="L497" i="3" s="1"/>
  <c r="G497" i="3"/>
  <c r="F498" i="3"/>
  <c r="F499" i="3"/>
  <c r="G499" i="3" s="1"/>
  <c r="F500" i="3"/>
  <c r="F501" i="3"/>
  <c r="F502" i="3"/>
  <c r="G502" i="3" s="1"/>
  <c r="F503" i="3"/>
  <c r="G503" i="3" s="1"/>
  <c r="F504" i="3"/>
  <c r="H504" i="3" s="1"/>
  <c r="I504" i="3" s="1"/>
  <c r="J504" i="3" s="1"/>
  <c r="L504" i="3" s="1" a="1"/>
  <c r="L504" i="3" s="1"/>
  <c r="G504" i="3"/>
  <c r="F505" i="3"/>
  <c r="F506" i="3"/>
  <c r="G506" i="3" s="1"/>
  <c r="F507" i="3"/>
  <c r="F508" i="3"/>
  <c r="F509" i="3"/>
  <c r="F510" i="3"/>
  <c r="H510" i="3" s="1"/>
  <c r="I510" i="3" s="1"/>
  <c r="J510" i="3" s="1"/>
  <c r="L510" i="3" s="1" a="1"/>
  <c r="L510" i="3" s="1"/>
  <c r="G510" i="3"/>
  <c r="F511" i="3"/>
  <c r="G511" i="3" s="1"/>
  <c r="F512" i="3"/>
  <c r="G512" i="3"/>
  <c r="H512" i="3"/>
  <c r="I512" i="3" s="1"/>
  <c r="J512" i="3" s="1"/>
  <c r="L512" i="3" s="1" a="1"/>
  <c r="L512" i="3" s="1"/>
  <c r="F513" i="3"/>
  <c r="F514" i="3"/>
  <c r="G514" i="3" s="1"/>
  <c r="F515" i="3"/>
  <c r="H515" i="3" s="1"/>
  <c r="I515" i="3" s="1"/>
  <c r="J515" i="3" s="1"/>
  <c r="L515" i="3" s="1" a="1"/>
  <c r="L515" i="3" s="1"/>
  <c r="F516" i="3"/>
  <c r="F517" i="3"/>
  <c r="F518" i="3"/>
  <c r="G518" i="3" s="1"/>
  <c r="H518" i="3"/>
  <c r="I518" i="3" s="1"/>
  <c r="J518" i="3" s="1"/>
  <c r="L518" i="3" s="1" a="1"/>
  <c r="L518" i="3" s="1"/>
  <c r="F519" i="3"/>
  <c r="F520" i="3"/>
  <c r="F521" i="3"/>
  <c r="G521" i="3" s="1"/>
  <c r="H521" i="3"/>
  <c r="I521" i="3" s="1"/>
  <c r="J521" i="3" s="1"/>
  <c r="L521" i="3" s="1" a="1"/>
  <c r="L521" i="3" s="1"/>
  <c r="F522" i="3"/>
  <c r="G522" i="3"/>
  <c r="H522" i="3"/>
  <c r="I522" i="3"/>
  <c r="J522" i="3" s="1"/>
  <c r="L522" i="3" s="1" a="1"/>
  <c r="L522" i="3" s="1"/>
  <c r="F523" i="3"/>
  <c r="G523" i="3" s="1"/>
  <c r="F524" i="3"/>
  <c r="F525" i="3"/>
  <c r="F526" i="3"/>
  <c r="G526" i="3" s="1"/>
  <c r="H526" i="3"/>
  <c r="I526" i="3" s="1"/>
  <c r="J526" i="3" s="1"/>
  <c r="L526" i="3" s="1" a="1"/>
  <c r="L526" i="3" s="1"/>
  <c r="F527" i="3"/>
  <c r="G527" i="3"/>
  <c r="H527" i="3"/>
  <c r="I527" i="3" s="1"/>
  <c r="J527" i="3" s="1"/>
  <c r="L527" i="3" s="1" a="1"/>
  <c r="L527" i="3" s="1"/>
  <c r="F528" i="3"/>
  <c r="G528" i="3" s="1"/>
  <c r="F529" i="3"/>
  <c r="F530" i="3"/>
  <c r="F531" i="3"/>
  <c r="G531" i="3" s="1"/>
  <c r="H531" i="3"/>
  <c r="I531" i="3" s="1"/>
  <c r="J531" i="3" s="1"/>
  <c r="L531" i="3" s="1" a="1"/>
  <c r="L531" i="3" s="1"/>
  <c r="F532" i="3"/>
  <c r="F533" i="3"/>
  <c r="F534" i="3"/>
  <c r="F535" i="3"/>
  <c r="F536" i="3"/>
  <c r="G536" i="3" s="1"/>
  <c r="F537" i="3"/>
  <c r="G537" i="3" s="1"/>
  <c r="H537" i="3"/>
  <c r="I537" i="3" s="1"/>
  <c r="J537" i="3" s="1"/>
  <c r="L537" i="3" s="1" a="1"/>
  <c r="L537" i="3" s="1"/>
  <c r="F538" i="3"/>
  <c r="F539" i="3"/>
  <c r="F540" i="3"/>
  <c r="F541" i="3"/>
  <c r="F542" i="3"/>
  <c r="G542" i="3"/>
  <c r="H542" i="3"/>
  <c r="I542" i="3"/>
  <c r="J542" i="3" s="1"/>
  <c r="L542" i="3" s="1" a="1"/>
  <c r="L542" i="3" s="1"/>
  <c r="F543" i="3"/>
  <c r="F544" i="3"/>
  <c r="F545" i="3"/>
  <c r="G545" i="3" s="1"/>
  <c r="H545" i="3"/>
  <c r="I545" i="3" s="1"/>
  <c r="J545" i="3" s="1"/>
  <c r="L545" i="3" s="1" a="1"/>
  <c r="L545" i="3" s="1"/>
  <c r="F546" i="3"/>
  <c r="H546" i="3" s="1"/>
  <c r="I546" i="3" s="1"/>
  <c r="G546" i="3"/>
  <c r="J546" i="3"/>
  <c r="L546" i="3" s="1" a="1"/>
  <c r="L546" i="3" s="1"/>
  <c r="F547" i="3"/>
  <c r="H547" i="3" s="1"/>
  <c r="I547" i="3" s="1"/>
  <c r="J547" i="3" s="1"/>
  <c r="L547" i="3" s="1" a="1"/>
  <c r="L547" i="3" s="1"/>
  <c r="F548" i="3"/>
  <c r="F549" i="3"/>
  <c r="G549" i="3" s="1"/>
  <c r="F550" i="3"/>
  <c r="F551" i="3"/>
  <c r="F552" i="3"/>
  <c r="H552" i="3" s="1"/>
  <c r="I552" i="3" s="1"/>
  <c r="J552" i="3" s="1"/>
  <c r="L552" i="3" s="1" a="1"/>
  <c r="L552" i="3" s="1"/>
  <c r="G552" i="3"/>
  <c r="F553" i="3"/>
  <c r="G553" i="3" s="1"/>
  <c r="H553" i="3"/>
  <c r="I553" i="3" s="1"/>
  <c r="J553" i="3" s="1"/>
  <c r="L553" i="3" s="1" a="1"/>
  <c r="L553" i="3" s="1"/>
  <c r="F554" i="3"/>
  <c r="F555" i="3"/>
  <c r="G555" i="3" s="1"/>
  <c r="F556" i="3"/>
  <c r="F557" i="3"/>
  <c r="G557" i="3" s="1"/>
  <c r="H557" i="3"/>
  <c r="I557" i="3" s="1"/>
  <c r="J557" i="3" s="1"/>
  <c r="L557" i="3" s="1" a="1"/>
  <c r="L557" i="3" s="1"/>
  <c r="F558" i="3"/>
  <c r="H558" i="3" s="1"/>
  <c r="I558" i="3" s="1"/>
  <c r="J558" i="3" s="1"/>
  <c r="L558" i="3" s="1" a="1"/>
  <c r="L558" i="3" s="1"/>
  <c r="G558" i="3"/>
  <c r="F559" i="3"/>
  <c r="G559" i="3" s="1"/>
  <c r="F560" i="3"/>
  <c r="H560" i="3" s="1"/>
  <c r="I560" i="3" s="1"/>
  <c r="J560" i="3" s="1"/>
  <c r="L560" i="3" s="1" a="1"/>
  <c r="L560" i="3" s="1"/>
  <c r="G560" i="3"/>
  <c r="F561" i="3"/>
  <c r="G561" i="3" s="1"/>
  <c r="F562" i="3"/>
  <c r="H562" i="3" s="1"/>
  <c r="I562" i="3" s="1"/>
  <c r="J562" i="3" s="1"/>
  <c r="L562" i="3" s="1" a="1"/>
  <c r="L562" i="3" s="1"/>
  <c r="G562" i="3"/>
  <c r="F563" i="3"/>
  <c r="F564" i="3"/>
  <c r="F565" i="3"/>
  <c r="G565" i="3" s="1"/>
  <c r="F566" i="3"/>
  <c r="F567" i="3"/>
  <c r="G567" i="3" s="1"/>
  <c r="F568" i="3"/>
  <c r="G568" i="3" s="1"/>
  <c r="H568" i="3"/>
  <c r="I568" i="3" s="1"/>
  <c r="J568" i="3" s="1"/>
  <c r="L568" i="3" s="1" a="1"/>
  <c r="L568" i="3" s="1"/>
  <c r="F569" i="3"/>
  <c r="F570" i="3"/>
  <c r="F571" i="3"/>
  <c r="G571" i="3"/>
  <c r="H571" i="3"/>
  <c r="I571" i="3" s="1"/>
  <c r="J571" i="3" s="1"/>
  <c r="L571" i="3" s="1" a="1"/>
  <c r="L571" i="3" s="1"/>
  <c r="F572" i="3"/>
  <c r="F573" i="3"/>
  <c r="F574" i="3"/>
  <c r="G574" i="3"/>
  <c r="H574" i="3"/>
  <c r="I574" i="3" s="1"/>
  <c r="J574" i="3" s="1"/>
  <c r="L574" i="3" s="1" a="1"/>
  <c r="L574" i="3" s="1"/>
  <c r="F575" i="3"/>
  <c r="F576" i="3"/>
  <c r="H576" i="3" s="1"/>
  <c r="I576" i="3" s="1"/>
  <c r="J576" i="3" s="1"/>
  <c r="L576" i="3" s="1" a="1"/>
  <c r="L576" i="3" s="1"/>
  <c r="F577" i="3"/>
  <c r="H577" i="3" s="1"/>
  <c r="I577" i="3" s="1"/>
  <c r="J577" i="3" s="1"/>
  <c r="L577" i="3" s="1" a="1"/>
  <c r="L577" i="3"/>
  <c r="F578" i="3"/>
  <c r="H578" i="3" s="1"/>
  <c r="I578" i="3" s="1"/>
  <c r="J578" i="3" s="1"/>
  <c r="L578" i="3" s="1" a="1"/>
  <c r="L578" i="3" s="1"/>
  <c r="G578" i="3"/>
  <c r="F579" i="3"/>
  <c r="F580" i="3"/>
  <c r="F581" i="3"/>
  <c r="G581" i="3" s="1"/>
  <c r="H581" i="3"/>
  <c r="I581" i="3" s="1"/>
  <c r="J581" i="3" s="1"/>
  <c r="L581" i="3" s="1" a="1"/>
  <c r="L581" i="3" s="1"/>
  <c r="F582" i="3"/>
  <c r="G582" i="3" s="1"/>
  <c r="H582" i="3"/>
  <c r="I582" i="3" s="1"/>
  <c r="J582" i="3" s="1"/>
  <c r="L582" i="3" s="1" a="1"/>
  <c r="L582" i="3" s="1"/>
  <c r="F583" i="3"/>
  <c r="G583" i="3" s="1"/>
  <c r="F584" i="3"/>
  <c r="G584" i="3" s="1"/>
  <c r="F585" i="3"/>
  <c r="H585" i="3" s="1"/>
  <c r="I585" i="3" s="1"/>
  <c r="J585" i="3" s="1"/>
  <c r="L585" i="3" s="1" a="1"/>
  <c r="L585" i="3" s="1"/>
  <c r="G585" i="3"/>
  <c r="F586" i="3"/>
  <c r="F587" i="3"/>
  <c r="F588" i="3"/>
  <c r="F589" i="3"/>
  <c r="F590" i="3"/>
  <c r="F591" i="3"/>
  <c r="G591" i="3"/>
  <c r="H591" i="3"/>
  <c r="I591" i="3" s="1"/>
  <c r="J591" i="3" s="1"/>
  <c r="L591" i="3" a="1"/>
  <c r="L591" i="3" s="1"/>
  <c r="F592" i="3"/>
  <c r="G592" i="3"/>
  <c r="H592" i="3"/>
  <c r="I592" i="3" s="1"/>
  <c r="J592" i="3" s="1"/>
  <c r="L592" i="3" s="1" a="1"/>
  <c r="L592" i="3"/>
  <c r="F593" i="3"/>
  <c r="H593" i="3" s="1"/>
  <c r="I593" i="3" s="1"/>
  <c r="J593" i="3" s="1"/>
  <c r="L593" i="3" s="1" a="1"/>
  <c r="L593" i="3" s="1"/>
  <c r="G593" i="3"/>
  <c r="F594" i="3"/>
  <c r="G594" i="3" s="1"/>
  <c r="F595" i="3"/>
  <c r="G595" i="3" s="1"/>
  <c r="H595" i="3"/>
  <c r="I595" i="3" s="1"/>
  <c r="J595" i="3" s="1"/>
  <c r="L595" i="3" s="1" a="1"/>
  <c r="L595" i="3" s="1"/>
  <c r="F596" i="3"/>
  <c r="F597" i="3"/>
  <c r="F598" i="3"/>
  <c r="F599" i="3"/>
  <c r="G599" i="3" s="1"/>
  <c r="F600" i="3"/>
  <c r="H600" i="3" s="1"/>
  <c r="G600" i="3"/>
  <c r="I600" i="3"/>
  <c r="J600" i="3" s="1"/>
  <c r="L600" i="3" s="1" a="1"/>
  <c r="L600" i="3" s="1"/>
  <c r="F601" i="3"/>
  <c r="G601" i="3" s="1"/>
  <c r="H601" i="3"/>
  <c r="I601" i="3" s="1"/>
  <c r="J601" i="3" s="1"/>
  <c r="L601" i="3" s="1" a="1"/>
  <c r="L601" i="3" s="1"/>
  <c r="F602" i="3"/>
  <c r="F603" i="3"/>
  <c r="G603" i="3"/>
  <c r="H603" i="3"/>
  <c r="I603" i="3" s="1"/>
  <c r="J603" i="3" s="1"/>
  <c r="L603" i="3" s="1" a="1"/>
  <c r="L603" i="3" s="1"/>
  <c r="F604" i="3"/>
  <c r="F605" i="3"/>
  <c r="G605" i="3" s="1"/>
  <c r="F606" i="3"/>
  <c r="F607" i="3"/>
  <c r="F608" i="3"/>
  <c r="H608" i="3" s="1"/>
  <c r="I608" i="3" s="1"/>
  <c r="J608" i="3" s="1"/>
  <c r="L608" i="3" s="1" a="1"/>
  <c r="L608" i="3" s="1"/>
  <c r="G608" i="3"/>
  <c r="F609" i="3"/>
  <c r="G609" i="3" s="1"/>
  <c r="F610" i="3"/>
  <c r="F611" i="3"/>
  <c r="F612" i="3"/>
  <c r="F613" i="3"/>
  <c r="G613" i="3" s="1"/>
  <c r="H613" i="3"/>
  <c r="I613" i="3" s="1"/>
  <c r="J613" i="3" s="1"/>
  <c r="L613" i="3" s="1" a="1"/>
  <c r="L613" i="3" s="1"/>
  <c r="F614" i="3"/>
  <c r="H614" i="3" s="1"/>
  <c r="I614" i="3" s="1"/>
  <c r="J614" i="3" s="1"/>
  <c r="L614" i="3" s="1" a="1"/>
  <c r="L614" i="3" s="1"/>
  <c r="G614" i="3"/>
  <c r="F615" i="3"/>
  <c r="G615" i="3" s="1"/>
  <c r="H615" i="3"/>
  <c r="I615" i="3" s="1"/>
  <c r="J615" i="3" s="1"/>
  <c r="L615" i="3" s="1" a="1"/>
  <c r="L615" i="3" s="1"/>
  <c r="F616" i="3"/>
  <c r="F617" i="3"/>
  <c r="H617" i="3" s="1"/>
  <c r="I617" i="3" s="1"/>
  <c r="J617" i="3" s="1"/>
  <c r="G617" i="3"/>
  <c r="L617" i="3" a="1"/>
  <c r="L617" i="3" s="1"/>
  <c r="F618" i="3"/>
  <c r="F619" i="3"/>
  <c r="G619" i="3" s="1"/>
  <c r="F620" i="3"/>
  <c r="F621" i="3"/>
  <c r="F622" i="3"/>
  <c r="H622" i="3" s="1"/>
  <c r="I622" i="3" s="1"/>
  <c r="J622" i="3" s="1"/>
  <c r="L622" i="3" s="1" a="1"/>
  <c r="L622" i="3" s="1"/>
  <c r="F623" i="3"/>
  <c r="G623" i="3" s="1"/>
  <c r="F624" i="3"/>
  <c r="F625" i="3"/>
  <c r="G625" i="3"/>
  <c r="H625" i="3"/>
  <c r="I625" i="3" s="1"/>
  <c r="J625" i="3" s="1"/>
  <c r="L625" i="3" s="1" a="1"/>
  <c r="L625" i="3" s="1"/>
  <c r="F626" i="3"/>
  <c r="H626" i="3" s="1"/>
  <c r="I626" i="3" s="1"/>
  <c r="J626" i="3" s="1"/>
  <c r="L626" i="3" s="1" a="1"/>
  <c r="G626" i="3"/>
  <c r="L626" i="3"/>
  <c r="F627" i="3"/>
  <c r="H627" i="3" s="1"/>
  <c r="I627" i="3" s="1"/>
  <c r="J627" i="3" s="1"/>
  <c r="L627" i="3" s="1" a="1"/>
  <c r="L627" i="3" s="1"/>
  <c r="G627" i="3"/>
  <c r="F628" i="3"/>
  <c r="F629" i="3"/>
  <c r="F630" i="3"/>
  <c r="G630" i="3" s="1"/>
  <c r="H630" i="3"/>
  <c r="I630" i="3" s="1"/>
  <c r="J630" i="3" s="1"/>
  <c r="L630" i="3" s="1" a="1"/>
  <c r="L630" i="3" s="1"/>
  <c r="F631" i="3"/>
  <c r="F632" i="3"/>
  <c r="H632" i="3" s="1"/>
  <c r="I632" i="3" s="1"/>
  <c r="G632" i="3"/>
  <c r="J632" i="3"/>
  <c r="L632" i="3" s="1" a="1"/>
  <c r="L632" i="3" s="1"/>
  <c r="F633" i="3"/>
  <c r="G633" i="3" s="1"/>
  <c r="F634" i="3"/>
  <c r="F635" i="3"/>
  <c r="G635" i="3"/>
  <c r="H635" i="3"/>
  <c r="I635" i="3" s="1"/>
  <c r="J635" i="3" s="1"/>
  <c r="L635" i="3" s="1" a="1"/>
  <c r="L635" i="3" s="1"/>
  <c r="F636" i="3"/>
  <c r="F637" i="3"/>
  <c r="G637" i="3" s="1"/>
  <c r="F638" i="3"/>
  <c r="G638" i="3" s="1"/>
  <c r="F639" i="3"/>
  <c r="F640" i="3"/>
  <c r="G640" i="3" s="1"/>
  <c r="H640" i="3"/>
  <c r="I640" i="3" s="1"/>
  <c r="J640" i="3" s="1"/>
  <c r="L640" i="3" s="1" a="1"/>
  <c r="L640" i="3" s="1"/>
  <c r="F641" i="3"/>
  <c r="F642" i="3"/>
  <c r="G642" i="3"/>
  <c r="H642" i="3"/>
  <c r="I642" i="3" s="1"/>
  <c r="J642" i="3" s="1"/>
  <c r="L642" i="3" s="1" a="1"/>
  <c r="L642" i="3" s="1"/>
  <c r="F643" i="3"/>
  <c r="G643" i="3"/>
  <c r="H643" i="3"/>
  <c r="I643" i="3" s="1"/>
  <c r="J643" i="3" s="1"/>
  <c r="L643" i="3" s="1" a="1"/>
  <c r="L643" i="3" s="1"/>
  <c r="F644" i="3"/>
  <c r="F645" i="3"/>
  <c r="F646" i="3"/>
  <c r="F647" i="3"/>
  <c r="H647" i="3" s="1"/>
  <c r="I647" i="3" s="1"/>
  <c r="J647" i="3" s="1"/>
  <c r="L647" i="3" s="1" a="1"/>
  <c r="L647" i="3" s="1"/>
  <c r="F648" i="3"/>
  <c r="H648" i="3" s="1"/>
  <c r="I648" i="3" s="1"/>
  <c r="J648" i="3" s="1"/>
  <c r="L648" i="3" s="1" a="1"/>
  <c r="L648" i="3" s="1"/>
  <c r="G648" i="3"/>
  <c r="F649" i="3"/>
  <c r="H649" i="3" s="1"/>
  <c r="I649" i="3" s="1"/>
  <c r="J649" i="3" s="1"/>
  <c r="L649" i="3" s="1" a="1"/>
  <c r="L649" i="3" s="1"/>
  <c r="F650" i="3"/>
  <c r="G650" i="3" s="1"/>
  <c r="F651" i="3"/>
  <c r="G651" i="3" s="1"/>
  <c r="H651" i="3"/>
  <c r="I651" i="3" s="1"/>
  <c r="J651" i="3" s="1"/>
  <c r="L651" i="3" s="1" a="1"/>
  <c r="L651" i="3" s="1"/>
  <c r="F652" i="3"/>
  <c r="F653" i="3"/>
  <c r="F654" i="3"/>
  <c r="G654" i="3" s="1"/>
  <c r="H654" i="3"/>
  <c r="I654" i="3" s="1"/>
  <c r="J654" i="3" s="1"/>
  <c r="L654" i="3" s="1" a="1"/>
  <c r="L654" i="3" s="1"/>
  <c r="F655" i="3"/>
  <c r="H655" i="3" s="1"/>
  <c r="I655" i="3" s="1"/>
  <c r="J655" i="3" s="1"/>
  <c r="L655" i="3" s="1" a="1"/>
  <c r="L655" i="3" s="1"/>
  <c r="F656" i="3"/>
  <c r="G656" i="3" s="1"/>
  <c r="H656" i="3"/>
  <c r="I656" i="3" s="1"/>
  <c r="J656" i="3" s="1"/>
  <c r="L656" i="3" s="1" a="1"/>
  <c r="L656" i="3" s="1"/>
  <c r="F657" i="3"/>
  <c r="F658" i="3"/>
  <c r="F659" i="3"/>
  <c r="G659" i="3"/>
  <c r="H659" i="3"/>
  <c r="I659" i="3" s="1"/>
  <c r="J659" i="3" s="1"/>
  <c r="L659" i="3" s="1" a="1"/>
  <c r="L659" i="3" s="1"/>
  <c r="F660" i="3"/>
  <c r="F661" i="3"/>
  <c r="F662" i="3"/>
  <c r="F663" i="3"/>
  <c r="F664" i="3"/>
  <c r="F665" i="3"/>
  <c r="H665" i="3" s="1"/>
  <c r="I665" i="3" s="1"/>
  <c r="J665" i="3"/>
  <c r="L665" i="3" s="1" a="1"/>
  <c r="L665" i="3" s="1"/>
  <c r="F666" i="3"/>
  <c r="F667" i="3"/>
  <c r="F668" i="3"/>
  <c r="F669" i="3"/>
  <c r="G669" i="3" s="1"/>
  <c r="H669" i="3"/>
  <c r="I669" i="3" s="1"/>
  <c r="J669" i="3" s="1"/>
  <c r="L669" i="3" s="1" a="1"/>
  <c r="L669" i="3" s="1"/>
  <c r="F670" i="3"/>
  <c r="F671" i="3"/>
  <c r="F672" i="3"/>
  <c r="G672" i="3"/>
  <c r="H672" i="3"/>
  <c r="I672" i="3" s="1"/>
  <c r="J672" i="3" s="1"/>
  <c r="L672" i="3" s="1" a="1"/>
  <c r="L672" i="3" s="1"/>
  <c r="F673" i="3"/>
  <c r="H673" i="3" s="1"/>
  <c r="I673" i="3"/>
  <c r="J673" i="3" s="1"/>
  <c r="L673" i="3" s="1" a="1"/>
  <c r="L673" i="3" s="1"/>
  <c r="F674" i="3"/>
  <c r="H674" i="3" s="1"/>
  <c r="I674" i="3" s="1"/>
  <c r="J674" i="3" s="1"/>
  <c r="L674" i="3" s="1" a="1"/>
  <c r="L674" i="3" s="1"/>
  <c r="G674" i="3"/>
  <c r="F675" i="3"/>
  <c r="F676" i="3"/>
  <c r="F677" i="3"/>
  <c r="G677" i="3" s="1"/>
  <c r="H677" i="3"/>
  <c r="I677" i="3" s="1"/>
  <c r="J677" i="3" s="1"/>
  <c r="L677" i="3" s="1" a="1"/>
  <c r="L677" i="3" s="1"/>
  <c r="F678" i="3"/>
  <c r="G678" i="3" s="1"/>
  <c r="H678" i="3"/>
  <c r="I678" i="3" s="1"/>
  <c r="J678" i="3" s="1"/>
  <c r="L678" i="3" s="1" a="1"/>
  <c r="L678" i="3" s="1"/>
  <c r="F679" i="3"/>
  <c r="F680" i="3"/>
  <c r="H680" i="3" s="1"/>
  <c r="I680" i="3" s="1"/>
  <c r="J680" i="3" s="1"/>
  <c r="L680" i="3" s="1" a="1"/>
  <c r="L680" i="3" s="1"/>
  <c r="G680" i="3"/>
  <c r="F681" i="3"/>
  <c r="G681" i="3" s="1"/>
  <c r="F682" i="3"/>
  <c r="H682" i="3" s="1"/>
  <c r="I682" i="3" s="1"/>
  <c r="J682" i="3" s="1"/>
  <c r="L682" i="3" s="1" a="1"/>
  <c r="L682" i="3" s="1"/>
  <c r="G682" i="3"/>
  <c r="F683" i="3"/>
  <c r="G683" i="3" s="1"/>
  <c r="H683" i="3"/>
  <c r="I683" i="3" s="1"/>
  <c r="J683" i="3" s="1"/>
  <c r="L683" i="3" s="1" a="1"/>
  <c r="L683" i="3" s="1"/>
  <c r="F684" i="3"/>
  <c r="G684" i="3" s="1"/>
  <c r="H684" i="3"/>
  <c r="I684" i="3" s="1"/>
  <c r="J684" i="3" s="1"/>
  <c r="L684" i="3" s="1" a="1"/>
  <c r="L684" i="3" s="1"/>
  <c r="F685" i="3"/>
  <c r="G685" i="3" s="1"/>
  <c r="F686" i="3"/>
  <c r="H686" i="3" s="1"/>
  <c r="I686" i="3" s="1"/>
  <c r="J686" i="3" s="1"/>
  <c r="L686" i="3" s="1" a="1"/>
  <c r="L686" i="3" s="1"/>
  <c r="G686" i="3"/>
  <c r="F687" i="3"/>
  <c r="G687" i="3" s="1"/>
  <c r="F688" i="3"/>
  <c r="G688" i="3" s="1"/>
  <c r="F689" i="3"/>
  <c r="G689" i="3" s="1"/>
  <c r="H689" i="3"/>
  <c r="I689" i="3" s="1"/>
  <c r="J689" i="3" s="1"/>
  <c r="L689" i="3" s="1" a="1"/>
  <c r="L689" i="3" s="1"/>
  <c r="F690" i="3"/>
  <c r="F691" i="3"/>
  <c r="H691" i="3" s="1"/>
  <c r="I691" i="3" s="1"/>
  <c r="J691" i="3" s="1"/>
  <c r="L691" i="3" s="1" a="1"/>
  <c r="L691" i="3" s="1"/>
  <c r="F692" i="3"/>
  <c r="G692" i="3" s="1"/>
  <c r="F693" i="3"/>
  <c r="G693" i="3" s="1"/>
  <c r="H693" i="3"/>
  <c r="I693" i="3"/>
  <c r="J693" i="3" s="1"/>
  <c r="L693" i="3" s="1" a="1"/>
  <c r="L693" i="3" s="1"/>
  <c r="F694" i="3"/>
  <c r="H694" i="3" s="1"/>
  <c r="I694" i="3" s="1"/>
  <c r="J694" i="3" s="1"/>
  <c r="L694" i="3" s="1" a="1"/>
  <c r="L694" i="3" s="1"/>
  <c r="F695" i="3"/>
  <c r="F696" i="3"/>
  <c r="F697" i="3"/>
  <c r="F698" i="3"/>
  <c r="H698" i="3" s="1"/>
  <c r="I698" i="3" s="1"/>
  <c r="J698" i="3" s="1"/>
  <c r="L698" i="3" s="1" a="1"/>
  <c r="L698" i="3" s="1"/>
  <c r="G698" i="3"/>
  <c r="F699" i="3"/>
  <c r="F700" i="3"/>
  <c r="F701" i="3"/>
  <c r="G701" i="3" s="1"/>
  <c r="F702" i="3"/>
  <c r="G702" i="3" s="1"/>
  <c r="F703" i="3"/>
  <c r="H703" i="3" s="1"/>
  <c r="I703" i="3" s="1"/>
  <c r="J703" i="3" s="1"/>
  <c r="L703" i="3" s="1" a="1"/>
  <c r="L703" i="3" s="1"/>
  <c r="G703" i="3"/>
  <c r="F704" i="3"/>
  <c r="G704" i="3" s="1"/>
  <c r="F705" i="3"/>
  <c r="G705" i="3"/>
  <c r="H705" i="3"/>
  <c r="I705" i="3" s="1"/>
  <c r="J705" i="3" s="1"/>
  <c r="L705" i="3" s="1" a="1"/>
  <c r="L705" i="3" s="1"/>
  <c r="F706" i="3"/>
  <c r="G706" i="3"/>
  <c r="H706" i="3"/>
  <c r="I706" i="3" s="1"/>
  <c r="J706" i="3" s="1"/>
  <c r="L706" i="3" s="1" a="1"/>
  <c r="L706" i="3" s="1"/>
  <c r="F707" i="3"/>
  <c r="H707" i="3" s="1"/>
  <c r="I707" i="3" s="1"/>
  <c r="J707" i="3" s="1"/>
  <c r="L707" i="3" s="1" a="1"/>
  <c r="L707" i="3" s="1"/>
  <c r="G707" i="3"/>
  <c r="F708" i="3"/>
  <c r="G708" i="3" s="1"/>
  <c r="H708" i="3"/>
  <c r="I708" i="3" s="1"/>
  <c r="J708" i="3"/>
  <c r="L708" i="3" s="1" a="1"/>
  <c r="L708" i="3" s="1"/>
  <c r="F709" i="3"/>
  <c r="F710" i="3"/>
  <c r="F711" i="3"/>
  <c r="F712" i="3"/>
  <c r="G712" i="3" s="1"/>
  <c r="F713" i="3"/>
  <c r="F714" i="3"/>
  <c r="F715" i="3"/>
  <c r="H715" i="3" s="1"/>
  <c r="I715" i="3" s="1"/>
  <c r="G715" i="3"/>
  <c r="J715" i="3"/>
  <c r="L715" i="3" s="1" a="1"/>
  <c r="L715" i="3" s="1"/>
  <c r="F716" i="3"/>
  <c r="F717" i="3"/>
  <c r="G717" i="3"/>
  <c r="H717" i="3"/>
  <c r="I717" i="3" s="1"/>
  <c r="J717" i="3" s="1"/>
  <c r="L717" i="3" s="1" a="1"/>
  <c r="L717" i="3" s="1"/>
  <c r="F718" i="3"/>
  <c r="H718" i="3" s="1"/>
  <c r="I718" i="3" s="1"/>
  <c r="J718" i="3" s="1"/>
  <c r="L718" i="3" s="1" a="1"/>
  <c r="L718" i="3" s="1"/>
  <c r="G718" i="3"/>
  <c r="K718" i="3"/>
  <c r="F719" i="3"/>
  <c r="H719" i="3" s="1"/>
  <c r="I719" i="3" s="1"/>
  <c r="J719" i="3" s="1"/>
  <c r="L719" i="3" s="1" a="1"/>
  <c r="L719" i="3" s="1"/>
  <c r="G719" i="3"/>
  <c r="F720" i="3"/>
  <c r="F721" i="3"/>
  <c r="H721" i="3" s="1"/>
  <c r="I721" i="3" s="1"/>
  <c r="J721" i="3" s="1"/>
  <c r="L721" i="3" s="1" a="1"/>
  <c r="L721" i="3" s="1"/>
  <c r="F722" i="3"/>
  <c r="G722" i="3" s="1"/>
  <c r="F723" i="3"/>
  <c r="G723" i="3" s="1"/>
  <c r="H723" i="3"/>
  <c r="I723" i="3" s="1"/>
  <c r="J723" i="3" s="1"/>
  <c r="L723" i="3" s="1" a="1"/>
  <c r="L723" i="3" s="1"/>
  <c r="F724" i="3"/>
  <c r="F725" i="3"/>
  <c r="F726" i="3"/>
  <c r="G726" i="3" s="1"/>
  <c r="H726" i="3"/>
  <c r="I726" i="3" s="1"/>
  <c r="J726" i="3" s="1"/>
  <c r="L726" i="3" s="1" a="1"/>
  <c r="L726" i="3" s="1"/>
  <c r="F727" i="3"/>
  <c r="G727" i="3"/>
  <c r="H727" i="3"/>
  <c r="I727" i="3" s="1"/>
  <c r="J727" i="3" s="1"/>
  <c r="L727" i="3" s="1" a="1"/>
  <c r="L727" i="3" s="1"/>
  <c r="F728" i="3"/>
  <c r="G728" i="3" s="1"/>
  <c r="H728" i="3"/>
  <c r="I728" i="3" s="1"/>
  <c r="J728" i="3" s="1"/>
  <c r="L728" i="3" s="1" a="1"/>
  <c r="L728" i="3" s="1"/>
  <c r="F729" i="3"/>
  <c r="F730" i="3"/>
  <c r="G730" i="3" s="1"/>
  <c r="F731" i="3"/>
  <c r="G731" i="3" s="1"/>
  <c r="F732" i="3"/>
  <c r="F733" i="3"/>
  <c r="F734" i="3"/>
  <c r="H734" i="3" s="1"/>
  <c r="I734" i="3" s="1"/>
  <c r="J734" i="3" s="1"/>
  <c r="L734" i="3" s="1" a="1"/>
  <c r="L734" i="3" s="1"/>
  <c r="F735" i="3"/>
  <c r="F736" i="3"/>
  <c r="F737" i="3"/>
  <c r="G737" i="3"/>
  <c r="H737" i="3"/>
  <c r="I737" i="3" s="1"/>
  <c r="J737" i="3" s="1"/>
  <c r="L737" i="3" s="1" a="1"/>
  <c r="L737" i="3" s="1"/>
  <c r="F738" i="3"/>
  <c r="H738" i="3" s="1"/>
  <c r="I738" i="3" s="1"/>
  <c r="G738" i="3"/>
  <c r="J738" i="3"/>
  <c r="L738" i="3" s="1" a="1"/>
  <c r="L738" i="3" s="1"/>
  <c r="F739" i="3"/>
  <c r="G739" i="3" s="1"/>
  <c r="F740" i="3"/>
  <c r="G740" i="3" s="1"/>
  <c r="H740" i="3"/>
  <c r="I740" i="3" s="1"/>
  <c r="J740" i="3" s="1"/>
  <c r="L740" i="3" s="1" a="1"/>
  <c r="L740" i="3" s="1"/>
  <c r="F741" i="3"/>
  <c r="G741" i="3"/>
  <c r="H741" i="3"/>
  <c r="I741" i="3" s="1"/>
  <c r="J741" i="3" s="1"/>
  <c r="L741" i="3" s="1" a="1"/>
  <c r="L741" i="3" s="1"/>
  <c r="F742" i="3"/>
  <c r="F743" i="3"/>
  <c r="H743" i="3" s="1"/>
  <c r="I743" i="3" s="1"/>
  <c r="J743" i="3" s="1"/>
  <c r="L743" i="3" s="1" a="1"/>
  <c r="L743" i="3" s="1"/>
  <c r="G743" i="3"/>
  <c r="F744" i="3"/>
  <c r="G744" i="3" s="1"/>
  <c r="F745" i="3"/>
  <c r="F746" i="3"/>
  <c r="G746" i="3"/>
  <c r="H746" i="3"/>
  <c r="I746" i="3" s="1"/>
  <c r="J746" i="3" s="1"/>
  <c r="L746" i="3" s="1" a="1"/>
  <c r="L746" i="3" s="1"/>
  <c r="F747" i="3"/>
  <c r="F748" i="3"/>
  <c r="F749" i="3"/>
  <c r="F750" i="3"/>
  <c r="G750" i="3" s="1"/>
  <c r="F751" i="3"/>
  <c r="G751" i="3" s="1"/>
  <c r="F752" i="3"/>
  <c r="H752" i="3" s="1"/>
  <c r="I752" i="3" s="1"/>
  <c r="J752" i="3" s="1"/>
  <c r="L752" i="3" s="1" a="1"/>
  <c r="L752" i="3" s="1"/>
  <c r="G752" i="3"/>
  <c r="F753" i="3"/>
  <c r="G753" i="3" s="1"/>
  <c r="H753" i="3"/>
  <c r="I753" i="3" s="1"/>
  <c r="J753" i="3" s="1"/>
  <c r="L753" i="3" s="1" a="1"/>
  <c r="L753" i="3" s="1"/>
  <c r="F754" i="3"/>
  <c r="G754" i="3" s="1"/>
  <c r="H754" i="3"/>
  <c r="I754" i="3" s="1"/>
  <c r="J754" i="3" s="1"/>
  <c r="L754" i="3" s="1" a="1"/>
  <c r="L754" i="3" s="1"/>
  <c r="F755" i="3"/>
  <c r="F756" i="3"/>
  <c r="G756" i="3" s="1"/>
  <c r="F757" i="3"/>
  <c r="H757" i="3" s="1"/>
  <c r="I757" i="3" s="1"/>
  <c r="J757" i="3" s="1"/>
  <c r="L757" i="3" s="1" a="1"/>
  <c r="L757" i="3" s="1"/>
  <c r="G757" i="3"/>
  <c r="F758" i="3"/>
  <c r="F759" i="3"/>
  <c r="G759" i="3" s="1"/>
  <c r="H759" i="3"/>
  <c r="I759" i="3" s="1"/>
  <c r="J759" i="3" s="1"/>
  <c r="L759" i="3" s="1" a="1"/>
  <c r="L759" i="3" s="1"/>
  <c r="F760" i="3"/>
  <c r="F761" i="3"/>
  <c r="F762" i="3"/>
  <c r="F763" i="3"/>
  <c r="G763" i="3" s="1"/>
  <c r="H763" i="3"/>
  <c r="I763" i="3" s="1"/>
  <c r="J763" i="3" s="1"/>
  <c r="L763" i="3" s="1" a="1"/>
  <c r="L763" i="3" s="1"/>
  <c r="F764" i="3"/>
  <c r="G764" i="3" s="1"/>
  <c r="H764" i="3"/>
  <c r="I764" i="3" s="1"/>
  <c r="J764" i="3" s="1"/>
  <c r="L764" i="3" s="1" a="1"/>
  <c r="L764" i="3" s="1"/>
  <c r="F765" i="3"/>
  <c r="F766" i="3"/>
  <c r="H766" i="3" s="1"/>
  <c r="I766" i="3" s="1"/>
  <c r="J766" i="3" s="1"/>
  <c r="L766" i="3" s="1" a="1"/>
  <c r="L766" i="3" s="1"/>
  <c r="F767" i="3"/>
  <c r="F768" i="3"/>
  <c r="H768" i="3" s="1"/>
  <c r="I768" i="3" s="1"/>
  <c r="J768" i="3" s="1"/>
  <c r="L768" i="3" s="1" a="1"/>
  <c r="L768" i="3" s="1"/>
  <c r="F769" i="3"/>
  <c r="G769" i="3" s="1"/>
  <c r="H769" i="3"/>
  <c r="I769" i="3"/>
  <c r="J769" i="3" s="1"/>
  <c r="L769" i="3" s="1" a="1"/>
  <c r="L769" i="3" s="1"/>
  <c r="F770" i="3"/>
  <c r="F771" i="3"/>
  <c r="F772" i="3"/>
  <c r="G772" i="3" s="1"/>
  <c r="F773" i="3"/>
  <c r="H773" i="3" s="1"/>
  <c r="I773" i="3" s="1"/>
  <c r="J773" i="3" s="1"/>
  <c r="L773" i="3" s="1" a="1"/>
  <c r="L773" i="3" s="1"/>
  <c r="F774" i="3"/>
  <c r="H774" i="3" s="1"/>
  <c r="I774" i="3" s="1"/>
  <c r="J774" i="3"/>
  <c r="L774" i="3" s="1" a="1"/>
  <c r="L774" i="3"/>
  <c r="F775" i="3"/>
  <c r="F776" i="3"/>
  <c r="F777" i="3"/>
  <c r="G777" i="3" s="1"/>
  <c r="F778" i="3"/>
  <c r="H778" i="3" s="1"/>
  <c r="I778" i="3" s="1"/>
  <c r="J778" i="3" s="1"/>
  <c r="L778" i="3" s="1" a="1"/>
  <c r="L778" i="3" s="1"/>
  <c r="F779" i="3"/>
  <c r="F780" i="3"/>
  <c r="F781" i="3"/>
  <c r="H781" i="3" s="1"/>
  <c r="I781" i="3" s="1"/>
  <c r="G781" i="3"/>
  <c r="J781" i="3"/>
  <c r="L781" i="3" a="1"/>
  <c r="L781" i="3" s="1"/>
  <c r="F782" i="3"/>
  <c r="K782" i="3"/>
  <c r="F783" i="3"/>
  <c r="G783" i="3" s="1"/>
  <c r="H783" i="3"/>
  <c r="I783" i="3"/>
  <c r="J783" i="3" s="1"/>
  <c r="L783" i="3" s="1" a="1"/>
  <c r="L783" i="3" s="1"/>
  <c r="F784" i="3"/>
  <c r="H784" i="3" s="1"/>
  <c r="I784" i="3" s="1"/>
  <c r="J784" i="3" s="1"/>
  <c r="L784" i="3" s="1" a="1"/>
  <c r="L784" i="3" s="1"/>
  <c r="G784" i="3"/>
  <c r="K784" i="3"/>
  <c r="F785" i="3"/>
  <c r="G785" i="3"/>
  <c r="H785" i="3"/>
  <c r="I785" i="3" s="1"/>
  <c r="J785" i="3" s="1"/>
  <c r="L785" i="3" s="1" a="1"/>
  <c r="L785" i="3" s="1"/>
  <c r="F786" i="3"/>
  <c r="F787" i="3"/>
  <c r="G787" i="3" s="1"/>
  <c r="F788" i="3"/>
  <c r="G788" i="3" s="1"/>
  <c r="F789" i="3"/>
  <c r="F790" i="3"/>
  <c r="F791" i="3"/>
  <c r="H791" i="3" s="1"/>
  <c r="I791" i="3" s="1"/>
  <c r="J791" i="3" s="1"/>
  <c r="L791" i="3" s="1" a="1"/>
  <c r="L791" i="3" s="1"/>
  <c r="G791" i="3"/>
  <c r="F792" i="3"/>
  <c r="F793" i="3"/>
  <c r="G793" i="3"/>
  <c r="H793" i="3"/>
  <c r="I793" i="3" s="1"/>
  <c r="J793" i="3" s="1"/>
  <c r="L793" i="3" a="1"/>
  <c r="L793" i="3" s="1"/>
  <c r="F794" i="3"/>
  <c r="F795" i="3"/>
  <c r="G795" i="3"/>
  <c r="H795" i="3"/>
  <c r="I795" i="3" s="1"/>
  <c r="J795" i="3" s="1"/>
  <c r="L795" i="3" s="1" a="1"/>
  <c r="L795" i="3" s="1"/>
  <c r="F796" i="3"/>
  <c r="G796" i="3" s="1"/>
  <c r="F797" i="3"/>
  <c r="G797" i="3"/>
  <c r="H797" i="3"/>
  <c r="I797" i="3" s="1"/>
  <c r="J797" i="3" s="1"/>
  <c r="L797" i="3" s="1" a="1"/>
  <c r="L797" i="3" s="1"/>
  <c r="F798" i="3"/>
  <c r="G798" i="3" s="1"/>
  <c r="F799" i="3"/>
  <c r="G799" i="3" s="1"/>
  <c r="F800" i="3"/>
  <c r="G800" i="3" s="1"/>
  <c r="F801" i="3"/>
  <c r="F802" i="3"/>
  <c r="H802" i="3" s="1"/>
  <c r="G802" i="3"/>
  <c r="I802" i="3"/>
  <c r="J802" i="3" s="1"/>
  <c r="L802" i="3" s="1" a="1"/>
  <c r="L802" i="3" s="1"/>
  <c r="F803" i="3"/>
  <c r="G803" i="3" s="1"/>
  <c r="F804" i="3"/>
  <c r="F805" i="3"/>
  <c r="G805" i="3" s="1"/>
  <c r="F806" i="3"/>
  <c r="G806" i="3" s="1"/>
  <c r="F807" i="3"/>
  <c r="G807" i="3" s="1"/>
  <c r="F808" i="3"/>
  <c r="F809" i="3"/>
  <c r="G809" i="3" s="1"/>
  <c r="F810" i="3"/>
  <c r="G810" i="3" s="1"/>
  <c r="F811" i="3"/>
  <c r="G811" i="3" s="1"/>
  <c r="F812" i="3"/>
  <c r="G812" i="3"/>
  <c r="H812" i="3"/>
  <c r="I812" i="3" s="1"/>
  <c r="J812" i="3" s="1"/>
  <c r="L812" i="3" a="1"/>
  <c r="L812" i="3" s="1"/>
  <c r="F813" i="3"/>
  <c r="F814" i="3"/>
  <c r="F815" i="3"/>
  <c r="H815" i="3" s="1"/>
  <c r="I815" i="3" s="1"/>
  <c r="J815" i="3" s="1"/>
  <c r="L815" i="3" s="1" a="1"/>
  <c r="L815" i="3" s="1"/>
  <c r="F816" i="3"/>
  <c r="G816" i="3" s="1"/>
  <c r="F817" i="3"/>
  <c r="G817" i="3" s="1"/>
  <c r="F818" i="3"/>
  <c r="G818" i="3" s="1"/>
  <c r="F819" i="3"/>
  <c r="H819" i="3" s="1"/>
  <c r="I819" i="3" s="1"/>
  <c r="J819" i="3" s="1"/>
  <c r="L819" i="3" s="1" a="1"/>
  <c r="L819" i="3" s="1"/>
  <c r="F820" i="3"/>
  <c r="G820" i="3" s="1"/>
  <c r="F821" i="3"/>
  <c r="G821" i="3" s="1"/>
  <c r="F822" i="3"/>
  <c r="G822" i="3" s="1"/>
  <c r="H822" i="3"/>
  <c r="I822" i="3" s="1"/>
  <c r="J822" i="3" s="1"/>
  <c r="L822" i="3" s="1" a="1"/>
  <c r="L822" i="3" s="1"/>
  <c r="F823" i="3"/>
  <c r="F824" i="3"/>
  <c r="F825" i="3"/>
  <c r="G825" i="3"/>
  <c r="H825" i="3"/>
  <c r="I825" i="3" s="1"/>
  <c r="J825" i="3" s="1"/>
  <c r="L825" i="3" s="1" a="1"/>
  <c r="L825" i="3" s="1"/>
  <c r="F826" i="3"/>
  <c r="F827" i="3"/>
  <c r="G827" i="3"/>
  <c r="H827" i="3"/>
  <c r="I827" i="3" s="1"/>
  <c r="J827" i="3" s="1"/>
  <c r="L827" i="3" s="1" a="1"/>
  <c r="L827" i="3" s="1"/>
  <c r="F828" i="3"/>
  <c r="G828" i="3" s="1"/>
  <c r="F829" i="3"/>
  <c r="F830" i="3"/>
  <c r="H830" i="3" s="1"/>
  <c r="I830" i="3" s="1"/>
  <c r="J830" i="3" s="1"/>
  <c r="L830" i="3" s="1" a="1"/>
  <c r="L830" i="3" s="1"/>
  <c r="F831" i="3"/>
  <c r="G831" i="3" s="1"/>
  <c r="H831" i="3"/>
  <c r="I831" i="3" s="1"/>
  <c r="J831" i="3" s="1"/>
  <c r="L831" i="3" s="1" a="1"/>
  <c r="L831" i="3" s="1"/>
  <c r="F832" i="3"/>
  <c r="G832" i="3"/>
  <c r="H832" i="3"/>
  <c r="I832" i="3" s="1"/>
  <c r="J832" i="3"/>
  <c r="L832" i="3" s="1" a="1"/>
  <c r="L832" i="3" s="1"/>
  <c r="F833" i="3"/>
  <c r="F834" i="3"/>
  <c r="F835" i="3"/>
  <c r="F836" i="3"/>
  <c r="H836" i="3" s="1"/>
  <c r="I836" i="3" s="1"/>
  <c r="J836" i="3" s="1"/>
  <c r="G836" i="3"/>
  <c r="L836" i="3" a="1"/>
  <c r="L836" i="3" s="1"/>
  <c r="F837" i="3"/>
  <c r="F838" i="3"/>
  <c r="G838" i="3" s="1"/>
  <c r="F839" i="3"/>
  <c r="F840" i="3"/>
  <c r="F841" i="3"/>
  <c r="F842" i="3"/>
  <c r="G842" i="3"/>
  <c r="H842" i="3"/>
  <c r="I842" i="3" s="1"/>
  <c r="J842" i="3" s="1"/>
  <c r="L842" i="3" s="1" a="1"/>
  <c r="L842" i="3" s="1"/>
  <c r="F843" i="3"/>
  <c r="F844" i="3"/>
  <c r="G844" i="3" s="1"/>
  <c r="H844" i="3"/>
  <c r="I844" i="3" s="1"/>
  <c r="J844" i="3" s="1"/>
  <c r="L844" i="3" s="1" a="1"/>
  <c r="L844" i="3" s="1"/>
  <c r="F845" i="3"/>
  <c r="H845" i="3" s="1"/>
  <c r="G845" i="3"/>
  <c r="I845" i="3"/>
  <c r="J845" i="3" s="1"/>
  <c r="L845" i="3" a="1"/>
  <c r="L845" i="3" s="1"/>
  <c r="F846" i="3"/>
  <c r="G846" i="3" s="1"/>
  <c r="H846" i="3"/>
  <c r="I846" i="3" s="1"/>
  <c r="J846" i="3" s="1"/>
  <c r="L846" i="3" s="1" a="1"/>
  <c r="L846" i="3" s="1"/>
  <c r="F847" i="3"/>
  <c r="G847" i="3" s="1"/>
  <c r="F848" i="3"/>
  <c r="F849" i="3"/>
  <c r="G849" i="3" s="1"/>
  <c r="H849" i="3"/>
  <c r="I849" i="3"/>
  <c r="J849" i="3" s="1"/>
  <c r="L849" i="3" s="1" a="1"/>
  <c r="L849" i="3" s="1"/>
  <c r="F850" i="3"/>
  <c r="G850" i="3" s="1"/>
  <c r="H850" i="3"/>
  <c r="I850" i="3" s="1"/>
  <c r="J850" i="3" s="1"/>
  <c r="L850" i="3" s="1" a="1"/>
  <c r="L850" i="3" s="1"/>
  <c r="K850" i="3"/>
  <c r="F851" i="3"/>
  <c r="F852" i="3"/>
  <c r="F853" i="3"/>
  <c r="F854" i="3"/>
  <c r="H854" i="3" s="1"/>
  <c r="I854" i="3" s="1"/>
  <c r="G854" i="3"/>
  <c r="J854" i="3"/>
  <c r="L854" i="3" s="1" a="1"/>
  <c r="L854" i="3" s="1"/>
  <c r="F855" i="3"/>
  <c r="G855" i="3" s="1"/>
  <c r="F856" i="3"/>
  <c r="H856" i="3" s="1"/>
  <c r="I856" i="3" s="1"/>
  <c r="J856" i="3" s="1"/>
  <c r="L856" i="3" s="1" a="1"/>
  <c r="L856" i="3" s="1"/>
  <c r="F857" i="3"/>
  <c r="F858" i="3"/>
  <c r="G858" i="3" s="1"/>
  <c r="F859" i="3"/>
  <c r="H859" i="3" s="1"/>
  <c r="I859" i="3" s="1"/>
  <c r="J859" i="3" s="1"/>
  <c r="L859" i="3" s="1" a="1"/>
  <c r="L859" i="3" s="1"/>
  <c r="F860" i="3"/>
  <c r="F861" i="3"/>
  <c r="G861" i="3"/>
  <c r="H861" i="3"/>
  <c r="I861" i="3" s="1"/>
  <c r="J861" i="3" s="1"/>
  <c r="L861" i="3" s="1" a="1"/>
  <c r="L861" i="3" s="1"/>
  <c r="F862" i="3"/>
  <c r="G862" i="3"/>
  <c r="H862" i="3"/>
  <c r="I862" i="3" s="1"/>
  <c r="J862" i="3" s="1"/>
  <c r="L862" i="3" s="1" a="1"/>
  <c r="L862" i="3" s="1"/>
  <c r="F863" i="3"/>
  <c r="G863" i="3" s="1"/>
  <c r="F864" i="3"/>
  <c r="H864" i="3" s="1"/>
  <c r="I864" i="3"/>
  <c r="J864" i="3" s="1"/>
  <c r="L864" i="3" s="1" a="1"/>
  <c r="L864" i="3" s="1"/>
  <c r="F865" i="3"/>
  <c r="H865" i="3" s="1"/>
  <c r="I865" i="3" s="1"/>
  <c r="J865" i="3" s="1"/>
  <c r="L865" i="3" s="1" a="1"/>
  <c r="L865" i="3" s="1"/>
  <c r="F866" i="3"/>
  <c r="G866" i="3" s="1"/>
  <c r="F867" i="3"/>
  <c r="F868" i="3"/>
  <c r="H868" i="3" s="1"/>
  <c r="I868" i="3" s="1"/>
  <c r="J868" i="3" s="1"/>
  <c r="L868" i="3" s="1" a="1"/>
  <c r="L868" i="3" s="1"/>
  <c r="G868" i="3"/>
  <c r="F869" i="3"/>
  <c r="F870" i="3"/>
  <c r="G870" i="3" s="1"/>
  <c r="H870" i="3"/>
  <c r="I870" i="3" s="1"/>
  <c r="J870" i="3" s="1"/>
  <c r="L870" i="3" s="1" a="1"/>
  <c r="L870" i="3" s="1"/>
  <c r="F871" i="3"/>
  <c r="H871" i="3" s="1"/>
  <c r="I871" i="3" s="1"/>
  <c r="J871" i="3" s="1"/>
  <c r="L871" i="3" s="1" a="1"/>
  <c r="L871" i="3" s="1"/>
  <c r="F872" i="3"/>
  <c r="F873" i="3"/>
  <c r="H873" i="3" s="1"/>
  <c r="I873" i="3" s="1"/>
  <c r="J873" i="3" s="1"/>
  <c r="L873" i="3" s="1" a="1"/>
  <c r="L873" i="3" s="1"/>
  <c r="G873" i="3"/>
  <c r="F874" i="3"/>
  <c r="F875" i="3"/>
  <c r="G875" i="3"/>
  <c r="H875" i="3"/>
  <c r="I875" i="3" s="1"/>
  <c r="J875" i="3" s="1"/>
  <c r="L875" i="3" s="1" a="1"/>
  <c r="L875" i="3" s="1"/>
  <c r="F876" i="3"/>
  <c r="H876" i="3" s="1"/>
  <c r="I876" i="3" s="1"/>
  <c r="J876" i="3" s="1"/>
  <c r="L876" i="3" s="1" a="1"/>
  <c r="L876" i="3" s="1"/>
  <c r="F877" i="3"/>
  <c r="G877" i="3" s="1"/>
  <c r="H877" i="3"/>
  <c r="I877" i="3" s="1"/>
  <c r="J877" i="3" s="1"/>
  <c r="L877" i="3" s="1" a="1"/>
  <c r="L877" i="3" s="1"/>
  <c r="F878" i="3"/>
  <c r="F879" i="3"/>
  <c r="H879" i="3" s="1"/>
  <c r="I879" i="3" s="1"/>
  <c r="J879" i="3" s="1"/>
  <c r="L879" i="3" s="1" a="1"/>
  <c r="L879" i="3" s="1"/>
  <c r="G879" i="3"/>
  <c r="F880" i="3"/>
  <c r="F881" i="3"/>
  <c r="H881" i="3" s="1"/>
  <c r="I881" i="3" s="1"/>
  <c r="J881" i="3" s="1"/>
  <c r="L881" i="3" s="1" a="1"/>
  <c r="L881" i="3" s="1"/>
  <c r="F882" i="3"/>
  <c r="H882" i="3" s="1"/>
  <c r="I882" i="3" s="1"/>
  <c r="J882" i="3" s="1"/>
  <c r="L882" i="3" a="1"/>
  <c r="L882" i="3" s="1"/>
  <c r="F883" i="3"/>
  <c r="G883" i="3" s="1"/>
  <c r="F884" i="3"/>
  <c r="H884" i="3" s="1"/>
  <c r="I884" i="3" s="1"/>
  <c r="J884" i="3" s="1"/>
  <c r="L884" i="3" s="1" a="1"/>
  <c r="L884" i="3" s="1"/>
  <c r="G884" i="3"/>
  <c r="F885" i="3"/>
  <c r="F886" i="3"/>
  <c r="H886" i="3" s="1"/>
  <c r="I886" i="3" s="1"/>
  <c r="J886" i="3" s="1"/>
  <c r="L886" i="3" s="1" a="1"/>
  <c r="L886" i="3" s="1"/>
  <c r="F887" i="3"/>
  <c r="G887" i="3" s="1"/>
  <c r="F888" i="3"/>
  <c r="F889" i="3"/>
  <c r="H889" i="3" s="1"/>
  <c r="G889" i="3"/>
  <c r="I889" i="3"/>
  <c r="J889" i="3" s="1"/>
  <c r="L889" i="3" s="1" a="1"/>
  <c r="L889" i="3" s="1"/>
  <c r="F890" i="3"/>
  <c r="H890" i="3" s="1"/>
  <c r="I890" i="3" s="1"/>
  <c r="J890" i="3" s="1"/>
  <c r="L890" i="3" s="1" a="1"/>
  <c r="L890" i="3" s="1"/>
  <c r="F891" i="3"/>
  <c r="F892" i="3"/>
  <c r="H892" i="3" s="1"/>
  <c r="I892" i="3" s="1"/>
  <c r="J892" i="3" s="1"/>
  <c r="L892" i="3" s="1" a="1"/>
  <c r="L892" i="3" s="1"/>
  <c r="F893" i="3"/>
  <c r="G893" i="3" s="1"/>
  <c r="H893" i="3"/>
  <c r="I893" i="3" s="1"/>
  <c r="J893" i="3" s="1"/>
  <c r="L893" i="3" s="1" a="1"/>
  <c r="L893" i="3" s="1"/>
  <c r="F894" i="3"/>
  <c r="F895" i="3"/>
  <c r="G895" i="3"/>
  <c r="H895" i="3"/>
  <c r="I895" i="3" s="1"/>
  <c r="J895" i="3" s="1"/>
  <c r="L895" i="3" s="1" a="1"/>
  <c r="L895" i="3" s="1"/>
  <c r="F896" i="3"/>
  <c r="G896" i="3" s="1"/>
  <c r="F897" i="3"/>
  <c r="G897" i="3" s="1"/>
  <c r="H897" i="3"/>
  <c r="I897" i="3" s="1"/>
  <c r="J897" i="3" s="1"/>
  <c r="L897" i="3" s="1" a="1"/>
  <c r="L897" i="3" s="1"/>
  <c r="F898" i="3"/>
  <c r="G898" i="3" s="1"/>
  <c r="F899" i="3"/>
  <c r="F900" i="3"/>
  <c r="H900" i="3" s="1"/>
  <c r="I900" i="3" s="1"/>
  <c r="J900" i="3" s="1"/>
  <c r="L900" i="3" s="1" a="1"/>
  <c r="L900" i="3" s="1"/>
  <c r="G900" i="3"/>
  <c r="F901" i="3"/>
  <c r="F902" i="3"/>
  <c r="G902" i="3" s="1"/>
  <c r="H902" i="3"/>
  <c r="I902" i="3" s="1"/>
  <c r="J902" i="3" s="1"/>
  <c r="L902" i="3" s="1" a="1"/>
  <c r="L902" i="3" s="1"/>
  <c r="F903" i="3"/>
  <c r="H903" i="3" s="1"/>
  <c r="I903" i="3" s="1"/>
  <c r="J903" i="3" s="1"/>
  <c r="L903" i="3" s="1" a="1"/>
  <c r="L903" i="3" s="1"/>
  <c r="F904" i="3"/>
  <c r="F905" i="3"/>
  <c r="F906" i="3"/>
  <c r="H906" i="3" s="1"/>
  <c r="I906" i="3" s="1"/>
  <c r="J906" i="3" s="1"/>
  <c r="L906" i="3" s="1" a="1"/>
  <c r="L906" i="3" s="1"/>
  <c r="F907" i="3"/>
  <c r="F908" i="3"/>
  <c r="F909" i="3"/>
  <c r="G909" i="3" s="1"/>
  <c r="F910" i="3"/>
  <c r="G910" i="3"/>
  <c r="H910" i="3"/>
  <c r="I910" i="3" s="1"/>
  <c r="J910" i="3" s="1"/>
  <c r="L910" i="3" s="1" a="1"/>
  <c r="L910" i="3" s="1"/>
  <c r="F911" i="3"/>
  <c r="H911" i="3" s="1"/>
  <c r="I911" i="3" s="1"/>
  <c r="J911" i="3" s="1"/>
  <c r="L911" i="3" s="1" a="1"/>
  <c r="L911" i="3" s="1"/>
  <c r="F912" i="3"/>
  <c r="H912" i="3" s="1"/>
  <c r="I912" i="3" s="1"/>
  <c r="J912" i="3" s="1"/>
  <c r="L912" i="3" s="1" a="1"/>
  <c r="L912" i="3" s="1"/>
  <c r="G912" i="3"/>
  <c r="F913" i="3"/>
  <c r="G913" i="3"/>
  <c r="H913" i="3"/>
  <c r="I913" i="3" s="1"/>
  <c r="J913" i="3" s="1"/>
  <c r="L913" i="3" s="1" a="1"/>
  <c r="L913" i="3" s="1"/>
  <c r="F914" i="3"/>
  <c r="H914" i="3" s="1"/>
  <c r="I914" i="3"/>
  <c r="J914" i="3" s="1"/>
  <c r="L914" i="3" s="1" a="1"/>
  <c r="L914" i="3" s="1"/>
  <c r="F915" i="3"/>
  <c r="F916" i="3"/>
  <c r="F917" i="3"/>
  <c r="H917" i="3" s="1"/>
  <c r="I917" i="3" s="1"/>
  <c r="J917" i="3" s="1"/>
  <c r="L917" i="3" s="1" a="1"/>
  <c r="L917" i="3" s="1"/>
  <c r="F918" i="3"/>
  <c r="F919" i="3"/>
  <c r="G919" i="3"/>
  <c r="H919" i="3"/>
  <c r="I919" i="3"/>
  <c r="J919" i="3" s="1"/>
  <c r="L919" i="3" s="1" a="1"/>
  <c r="L919" i="3" s="1"/>
  <c r="F920" i="3"/>
  <c r="H920" i="3" s="1"/>
  <c r="I920" i="3" s="1"/>
  <c r="J920" i="3" s="1"/>
  <c r="L920" i="3" s="1" a="1"/>
  <c r="L920" i="3" s="1"/>
  <c r="G920" i="3"/>
  <c r="F921" i="3"/>
  <c r="F922" i="3"/>
  <c r="F923" i="3"/>
  <c r="G923" i="3" s="1"/>
  <c r="H923" i="3"/>
  <c r="I923" i="3" s="1"/>
  <c r="J923" i="3" s="1"/>
  <c r="L923" i="3" s="1" a="1"/>
  <c r="L923" i="3" s="1"/>
  <c r="F924" i="3"/>
  <c r="F925" i="3"/>
  <c r="H925" i="3" s="1"/>
  <c r="I925" i="3" s="1"/>
  <c r="G925" i="3"/>
  <c r="J925" i="3"/>
  <c r="L925" i="3" s="1" a="1"/>
  <c r="L925" i="3" s="1"/>
  <c r="F926" i="3"/>
  <c r="G926" i="3" s="1"/>
  <c r="H926" i="3"/>
  <c r="I926" i="3" s="1"/>
  <c r="J926" i="3" s="1"/>
  <c r="L926" i="3" s="1" a="1"/>
  <c r="L926" i="3" s="1"/>
  <c r="F927" i="3"/>
  <c r="H927" i="3" s="1"/>
  <c r="I927" i="3" s="1"/>
  <c r="G927" i="3"/>
  <c r="J927" i="3"/>
  <c r="L927" i="3" s="1" a="1"/>
  <c r="K927" i="3"/>
  <c r="L927" i="3"/>
  <c r="F928" i="3"/>
  <c r="K928" i="3"/>
  <c r="F929" i="3"/>
  <c r="F930" i="3"/>
  <c r="F931" i="3"/>
  <c r="G931" i="3" s="1"/>
  <c r="F932" i="3"/>
  <c r="G932" i="3" s="1"/>
  <c r="F933" i="3"/>
  <c r="F934" i="3"/>
  <c r="G934" i="3" s="1"/>
  <c r="F935" i="3"/>
  <c r="F936" i="3"/>
  <c r="H936" i="3" s="1"/>
  <c r="I936" i="3" s="1"/>
  <c r="J936" i="3" s="1"/>
  <c r="L936" i="3" s="1" a="1"/>
  <c r="L936" i="3" s="1"/>
  <c r="G936" i="3"/>
  <c r="F937" i="3"/>
  <c r="H937" i="3" s="1"/>
  <c r="I937" i="3" s="1"/>
  <c r="J937" i="3" s="1"/>
  <c r="L937" i="3" s="1" a="1"/>
  <c r="L937" i="3" s="1"/>
  <c r="F938" i="3"/>
  <c r="F939" i="3"/>
  <c r="G939" i="3" s="1"/>
  <c r="F940" i="3"/>
  <c r="G940" i="3" s="1"/>
  <c r="H940" i="3"/>
  <c r="I940" i="3" s="1"/>
  <c r="J940" i="3" s="1"/>
  <c r="L940" i="3" s="1" a="1"/>
  <c r="L940" i="3" s="1"/>
  <c r="F941" i="3"/>
  <c r="H941" i="3" s="1"/>
  <c r="I941" i="3" s="1"/>
  <c r="J941" i="3" s="1"/>
  <c r="L941" i="3" s="1" a="1"/>
  <c r="L941" i="3" s="1"/>
  <c r="G941" i="3"/>
  <c r="F942" i="3"/>
  <c r="H942" i="3" s="1"/>
  <c r="I942" i="3"/>
  <c r="J942" i="3" s="1"/>
  <c r="L942" i="3" s="1" a="1"/>
  <c r="L942" i="3" s="1"/>
  <c r="F943" i="3"/>
  <c r="G943" i="3" s="1"/>
  <c r="H943" i="3"/>
  <c r="I943" i="3" s="1"/>
  <c r="J943" i="3" s="1"/>
  <c r="L943" i="3" s="1" a="1"/>
  <c r="L943" i="3" s="1"/>
  <c r="F944" i="3"/>
  <c r="H944" i="3" s="1"/>
  <c r="I944" i="3" s="1"/>
  <c r="J944" i="3" s="1"/>
  <c r="L944" i="3" s="1" a="1"/>
  <c r="L944" i="3" s="1"/>
  <c r="F945" i="3"/>
  <c r="G945" i="3" s="1"/>
  <c r="F946" i="3"/>
  <c r="F947" i="3"/>
  <c r="F948" i="3"/>
  <c r="G948" i="3" s="1"/>
  <c r="H948" i="3"/>
  <c r="I948" i="3" s="1"/>
  <c r="J948" i="3" s="1"/>
  <c r="L948" i="3" s="1" a="1"/>
  <c r="L948" i="3" s="1"/>
  <c r="F949" i="3"/>
  <c r="G949" i="3" s="1"/>
  <c r="H949" i="3"/>
  <c r="I949" i="3" s="1"/>
  <c r="J949" i="3" s="1"/>
  <c r="L949" i="3" s="1" a="1"/>
  <c r="L949" i="3" s="1"/>
  <c r="F950" i="3"/>
  <c r="G950" i="3" s="1"/>
  <c r="F951" i="3"/>
  <c r="F952" i="3"/>
  <c r="F953" i="3"/>
  <c r="H953" i="3" s="1"/>
  <c r="I953" i="3" s="1"/>
  <c r="J953" i="3" s="1"/>
  <c r="L953" i="3" s="1" a="1"/>
  <c r="L953" i="3" s="1"/>
  <c r="F954" i="3"/>
  <c r="H954" i="3" s="1"/>
  <c r="I954" i="3" s="1"/>
  <c r="J954" i="3" s="1"/>
  <c r="L954" i="3" s="1" a="1"/>
  <c r="L954" i="3" s="1"/>
  <c r="G954" i="3"/>
  <c r="F955" i="3"/>
  <c r="F956" i="3"/>
  <c r="H956" i="3" s="1"/>
  <c r="I956" i="3" s="1"/>
  <c r="J956" i="3" s="1"/>
  <c r="L956" i="3" s="1" a="1"/>
  <c r="L956" i="3" s="1"/>
  <c r="F957" i="3"/>
  <c r="F958" i="3"/>
  <c r="G958" i="3" s="1"/>
  <c r="F959" i="3"/>
  <c r="F960" i="3"/>
  <c r="F961" i="3"/>
  <c r="G961" i="3" s="1"/>
  <c r="H961" i="3"/>
  <c r="I961" i="3" s="1"/>
  <c r="J961" i="3" s="1"/>
  <c r="L961" i="3" s="1" a="1"/>
  <c r="L961" i="3" s="1"/>
  <c r="F962" i="3"/>
  <c r="G962" i="3" s="1"/>
  <c r="F963" i="3"/>
  <c r="G963" i="3" s="1"/>
  <c r="F964" i="3"/>
  <c r="F965" i="3"/>
  <c r="G965" i="3" s="1"/>
  <c r="H965" i="3"/>
  <c r="I965" i="3" s="1"/>
  <c r="J965" i="3" s="1"/>
  <c r="L965" i="3" s="1" a="1"/>
  <c r="L965" i="3" s="1"/>
  <c r="F966" i="3"/>
  <c r="G966" i="3" s="1"/>
  <c r="H966" i="3"/>
  <c r="I966" i="3" s="1"/>
  <c r="J966" i="3" s="1"/>
  <c r="L966" i="3" s="1" a="1"/>
  <c r="L966" i="3" s="1"/>
  <c r="F967" i="3"/>
  <c r="G967" i="3" s="1"/>
  <c r="F968" i="3"/>
  <c r="F969" i="3"/>
  <c r="G969" i="3" s="1"/>
  <c r="H969" i="3"/>
  <c r="I969" i="3" s="1"/>
  <c r="J969" i="3" s="1"/>
  <c r="L969" i="3" s="1" a="1"/>
  <c r="L969" i="3" s="1"/>
  <c r="F970" i="3"/>
  <c r="H970" i="3" s="1"/>
  <c r="I970" i="3" s="1"/>
  <c r="J970" i="3" s="1"/>
  <c r="L970" i="3" s="1" a="1"/>
  <c r="L970" i="3" s="1"/>
  <c r="F971" i="3"/>
  <c r="F972" i="3"/>
  <c r="H972" i="3" s="1"/>
  <c r="I972" i="3" s="1"/>
  <c r="J972" i="3" s="1"/>
  <c r="L972" i="3" s="1" a="1"/>
  <c r="L972" i="3" s="1"/>
  <c r="F973" i="3"/>
  <c r="F974" i="3"/>
  <c r="G974" i="3" s="1"/>
  <c r="H974" i="3"/>
  <c r="I974" i="3" s="1"/>
  <c r="J974" i="3" s="1"/>
  <c r="L974" i="3" s="1" a="1"/>
  <c r="L974" i="3" s="1"/>
  <c r="K974" i="3"/>
  <c r="F975" i="3"/>
  <c r="G975" i="3"/>
  <c r="H975" i="3"/>
  <c r="I975" i="3" s="1"/>
  <c r="J975" i="3" s="1"/>
  <c r="L975" i="3" s="1" a="1"/>
  <c r="L975" i="3" s="1"/>
  <c r="F976" i="3"/>
  <c r="G976" i="3" s="1"/>
  <c r="K976" i="3"/>
  <c r="F977" i="3"/>
  <c r="H977" i="3" s="1"/>
  <c r="I977" i="3" s="1"/>
  <c r="J977" i="3" s="1"/>
  <c r="L977" i="3" s="1" a="1"/>
  <c r="L977" i="3" s="1"/>
  <c r="G977" i="3"/>
  <c r="F978" i="3"/>
  <c r="G978" i="3"/>
  <c r="H978" i="3"/>
  <c r="I978" i="3" s="1"/>
  <c r="J978" i="3"/>
  <c r="L978" i="3" s="1" a="1"/>
  <c r="L978" i="3" s="1"/>
  <c r="F979" i="3"/>
  <c r="G979" i="3" s="1"/>
  <c r="F980" i="3"/>
  <c r="G980" i="3" s="1"/>
  <c r="K980" i="3"/>
  <c r="F981" i="3"/>
  <c r="H981" i="3" s="1"/>
  <c r="I981" i="3" s="1"/>
  <c r="J981" i="3" s="1"/>
  <c r="L981" i="3" s="1" a="1"/>
  <c r="L981" i="3" s="1"/>
  <c r="F982" i="3"/>
  <c r="F983" i="3"/>
  <c r="F984" i="3"/>
  <c r="F985" i="3"/>
  <c r="G985" i="3" s="1"/>
  <c r="F986" i="3"/>
  <c r="F987" i="3"/>
  <c r="G987" i="3" s="1"/>
  <c r="H987" i="3"/>
  <c r="I987" i="3"/>
  <c r="J987" i="3" s="1"/>
  <c r="L987" i="3" s="1" a="1"/>
  <c r="L987" i="3" s="1"/>
  <c r="F988" i="3"/>
  <c r="F989" i="3"/>
  <c r="F990" i="3"/>
  <c r="G990" i="3" s="1"/>
  <c r="F991" i="3"/>
  <c r="H991" i="3" s="1"/>
  <c r="I991" i="3" s="1"/>
  <c r="J991" i="3" s="1"/>
  <c r="L991" i="3" s="1" a="1"/>
  <c r="L991" i="3" s="1"/>
  <c r="G991" i="3"/>
  <c r="K991" i="3"/>
  <c r="F992" i="3"/>
  <c r="G992" i="3" s="1"/>
  <c r="F993" i="3"/>
  <c r="F994" i="3"/>
  <c r="F995" i="3"/>
  <c r="G995" i="3" s="1"/>
  <c r="F996" i="3"/>
  <c r="G996" i="3" s="1"/>
  <c r="F997" i="3"/>
  <c r="G997" i="3" s="1"/>
  <c r="H997" i="3"/>
  <c r="I997" i="3" s="1"/>
  <c r="J997" i="3" s="1"/>
  <c r="L997" i="3" s="1" a="1"/>
  <c r="L997" i="3" s="1"/>
  <c r="F998" i="3"/>
  <c r="G998" i="3" s="1"/>
  <c r="H998" i="3"/>
  <c r="I998" i="3" s="1"/>
  <c r="J998" i="3" s="1"/>
  <c r="L998" i="3" s="1" a="1"/>
  <c r="L998" i="3" s="1"/>
  <c r="F999" i="3"/>
  <c r="G999" i="3"/>
  <c r="H999" i="3"/>
  <c r="I999" i="3" s="1"/>
  <c r="J999" i="3" s="1"/>
  <c r="L999" i="3" s="1" a="1"/>
  <c r="L999" i="3" s="1"/>
  <c r="K999" i="3"/>
  <c r="F1000" i="3"/>
  <c r="H1000" i="3" s="1"/>
  <c r="I1000" i="3" s="1"/>
  <c r="J1000" i="3" s="1"/>
  <c r="L1000" i="3" s="1" a="1"/>
  <c r="L1000" i="3" s="1"/>
  <c r="G1000" i="3"/>
  <c r="F1001" i="3"/>
  <c r="F1002" i="3"/>
  <c r="F1003" i="3"/>
  <c r="G1003" i="3" s="1"/>
  <c r="F1004" i="3"/>
  <c r="H1004" i="3" s="1"/>
  <c r="I1004" i="3" s="1"/>
  <c r="J1004" i="3" s="1"/>
  <c r="L1004" i="3" s="1" a="1"/>
  <c r="L1004" i="3" s="1"/>
  <c r="F1005" i="3"/>
  <c r="F1006" i="3"/>
  <c r="F1007" i="3"/>
  <c r="G1007" i="3" s="1"/>
  <c r="F1008" i="3"/>
  <c r="F1009" i="3"/>
  <c r="G1009" i="3" s="1"/>
  <c r="F1010" i="3"/>
  <c r="F1011" i="3"/>
  <c r="H1011" i="3" s="1"/>
  <c r="I1011" i="3" s="1"/>
  <c r="J1011" i="3" s="1"/>
  <c r="L1011" i="3" s="1" a="1"/>
  <c r="L1011" i="3" s="1"/>
  <c r="F1012" i="3"/>
  <c r="F1013" i="3"/>
  <c r="F1014" i="3"/>
  <c r="H1014" i="3" s="1"/>
  <c r="I1014" i="3" s="1"/>
  <c r="J1014" i="3" s="1"/>
  <c r="L1014" i="3" s="1" a="1"/>
  <c r="L1014" i="3" s="1"/>
  <c r="F1015" i="3"/>
  <c r="F1016" i="3"/>
  <c r="G1016" i="3" s="1"/>
  <c r="F1017" i="3"/>
  <c r="F1018" i="3"/>
  <c r="H1018" i="3" s="1"/>
  <c r="I1018" i="3"/>
  <c r="J1018" i="3" s="1"/>
  <c r="L1018" i="3" s="1" a="1"/>
  <c r="L1018" i="3" s="1"/>
  <c r="F1019" i="3"/>
  <c r="H1019" i="3" s="1"/>
  <c r="I1019" i="3"/>
  <c r="J1019" i="3" s="1"/>
  <c r="L1019" i="3" s="1" a="1"/>
  <c r="L1019" i="3" s="1"/>
  <c r="F1020" i="3"/>
  <c r="G1020" i="3" s="1"/>
  <c r="F1021" i="3"/>
  <c r="G1021" i="3" s="1"/>
  <c r="H1021" i="3"/>
  <c r="I1021" i="3" s="1"/>
  <c r="J1021" i="3" s="1"/>
  <c r="L1021" i="3" s="1" a="1"/>
  <c r="L1021" i="3" s="1"/>
  <c r="F1022" i="3"/>
  <c r="H1022" i="3" s="1"/>
  <c r="I1022" i="3" s="1"/>
  <c r="J1022" i="3" s="1"/>
  <c r="L1022" i="3" s="1" a="1"/>
  <c r="L1022" i="3" s="1"/>
  <c r="G1022" i="3"/>
  <c r="F1023" i="3"/>
  <c r="F1024" i="3"/>
  <c r="H1024" i="3" s="1"/>
  <c r="I1024" i="3" s="1"/>
  <c r="J1024" i="3" s="1"/>
  <c r="L1024" i="3" s="1" a="1"/>
  <c r="L1024" i="3" s="1"/>
  <c r="F1025" i="3"/>
  <c r="G1025" i="3" s="1"/>
  <c r="F1026" i="3"/>
  <c r="G1026" i="3" s="1"/>
  <c r="F1027" i="3"/>
  <c r="G1027" i="3" s="1"/>
  <c r="H1027" i="3"/>
  <c r="I1027" i="3" s="1"/>
  <c r="J1027" i="3" s="1"/>
  <c r="L1027" i="3" s="1" a="1"/>
  <c r="L1027" i="3" s="1"/>
  <c r="F1028" i="3"/>
  <c r="G1028" i="3" s="1"/>
  <c r="H1028" i="3"/>
  <c r="I1028" i="3" s="1"/>
  <c r="J1028" i="3" s="1"/>
  <c r="L1028" i="3" s="1" a="1"/>
  <c r="L1028" i="3" s="1"/>
  <c r="F1029" i="3"/>
  <c r="F1030" i="3"/>
  <c r="F1031" i="3"/>
  <c r="F1032" i="3"/>
  <c r="G1032" i="3" s="1"/>
  <c r="F1033" i="3"/>
  <c r="H1033" i="3" s="1"/>
  <c r="I1033" i="3" s="1"/>
  <c r="J1033" i="3" s="1"/>
  <c r="L1033" i="3" s="1" a="1"/>
  <c r="L1033" i="3" s="1"/>
  <c r="F1034" i="3"/>
  <c r="F1035" i="3"/>
  <c r="G1035" i="3"/>
  <c r="H1035" i="3"/>
  <c r="I1035" i="3"/>
  <c r="J1035" i="3" s="1"/>
  <c r="L1035" i="3" s="1" a="1"/>
  <c r="L1035" i="3" s="1"/>
  <c r="F1036" i="3"/>
  <c r="G1036" i="3"/>
  <c r="H1036" i="3"/>
  <c r="I1036" i="3" s="1"/>
  <c r="J1036" i="3" s="1"/>
  <c r="L1036" i="3" s="1" a="1"/>
  <c r="L1036" i="3" s="1"/>
  <c r="F1037" i="3"/>
  <c r="G1037" i="3" s="1"/>
  <c r="H1037" i="3"/>
  <c r="I1037" i="3" s="1"/>
  <c r="J1037" i="3" s="1"/>
  <c r="L1037" i="3" s="1" a="1"/>
  <c r="L1037" i="3" s="1"/>
  <c r="F1038" i="3"/>
  <c r="K1038" i="3"/>
  <c r="F1039" i="3"/>
  <c r="G1039" i="3" s="1"/>
  <c r="F1040" i="3"/>
  <c r="G1040" i="3"/>
  <c r="H1040" i="3"/>
  <c r="I1040" i="3" s="1"/>
  <c r="J1040" i="3" s="1"/>
  <c r="L1040" i="3" s="1" a="1"/>
  <c r="L1040" i="3" s="1"/>
  <c r="K1040" i="3"/>
  <c r="F1041" i="3"/>
  <c r="G1041" i="3" s="1"/>
  <c r="H1041" i="3"/>
  <c r="I1041" i="3" s="1"/>
  <c r="J1041" i="3" s="1"/>
  <c r="L1041" i="3" s="1" a="1"/>
  <c r="L1041" i="3" s="1"/>
  <c r="F1042" i="3"/>
  <c r="K1042" i="3"/>
  <c r="F1043" i="3"/>
  <c r="G1043" i="3"/>
  <c r="H1043" i="3"/>
  <c r="I1043" i="3" s="1"/>
  <c r="J1043" i="3" s="1"/>
  <c r="L1043" i="3" s="1" a="1"/>
  <c r="L1043" i="3" s="1"/>
  <c r="F1044" i="3"/>
  <c r="F1045" i="3"/>
  <c r="F1046" i="3"/>
  <c r="F1047" i="3"/>
  <c r="F1048" i="3"/>
  <c r="G1048" i="3" s="1"/>
  <c r="F1049" i="3"/>
  <c r="G1049" i="3" s="1"/>
  <c r="F1050" i="3"/>
  <c r="H1050" i="3" s="1"/>
  <c r="I1050" i="3" s="1"/>
  <c r="J1050" i="3" s="1"/>
  <c r="L1050" i="3" s="1" a="1"/>
  <c r="L1050" i="3" s="1"/>
  <c r="G1050" i="3"/>
  <c r="F1051" i="3"/>
  <c r="F1052" i="3"/>
  <c r="G1052" i="3" s="1"/>
  <c r="H1052" i="3"/>
  <c r="I1052" i="3"/>
  <c r="J1052" i="3" s="1"/>
  <c r="L1052" i="3" s="1" a="1"/>
  <c r="L1052" i="3" s="1"/>
  <c r="F1053" i="3"/>
  <c r="G1053" i="3" s="1"/>
  <c r="H1053" i="3"/>
  <c r="I1053" i="3" s="1"/>
  <c r="J1053" i="3" s="1"/>
  <c r="L1053" i="3" s="1" a="1"/>
  <c r="L1053" i="3" s="1"/>
  <c r="F1054" i="3"/>
  <c r="G1054" i="3" s="1"/>
  <c r="F1055" i="3"/>
  <c r="G1055" i="3" s="1"/>
  <c r="K1055" i="3"/>
  <c r="F1056" i="3"/>
  <c r="G1056" i="3" s="1"/>
  <c r="H1056" i="3"/>
  <c r="I1056" i="3" s="1"/>
  <c r="J1056" i="3" s="1"/>
  <c r="L1056" i="3" s="1" a="1"/>
  <c r="L1056" i="3" s="1"/>
  <c r="F1057" i="3"/>
  <c r="G1057" i="3" s="1"/>
  <c r="H1057" i="3"/>
  <c r="I1057" i="3" s="1"/>
  <c r="J1057" i="3" s="1"/>
  <c r="L1057" i="3" s="1" a="1"/>
  <c r="L1057" i="3" s="1"/>
  <c r="F1058" i="3"/>
  <c r="G1058" i="3" s="1"/>
  <c r="F1059" i="3"/>
  <c r="G1059" i="3" s="1"/>
  <c r="H1059" i="3"/>
  <c r="I1059" i="3"/>
  <c r="J1059" i="3" s="1"/>
  <c r="L1059" i="3" s="1" a="1"/>
  <c r="L1059" i="3" s="1"/>
  <c r="F1060" i="3"/>
  <c r="G1060" i="3" s="1"/>
  <c r="H1060" i="3"/>
  <c r="I1060" i="3" s="1"/>
  <c r="J1060" i="3"/>
  <c r="L1060" i="3" s="1" a="1"/>
  <c r="L1060" i="3" s="1"/>
  <c r="F1061" i="3"/>
  <c r="F1062" i="3"/>
  <c r="H1062" i="3" s="1"/>
  <c r="I1062" i="3" s="1"/>
  <c r="J1062" i="3" s="1"/>
  <c r="L1062" i="3" s="1" a="1"/>
  <c r="L1062" i="3" s="1"/>
  <c r="F1063" i="3"/>
  <c r="G1063" i="3" s="1"/>
  <c r="H1063" i="3"/>
  <c r="I1063" i="3" s="1"/>
  <c r="J1063" i="3" s="1"/>
  <c r="L1063" i="3" s="1" a="1"/>
  <c r="L1063" i="3" s="1"/>
  <c r="K1063" i="3"/>
  <c r="F1064" i="3"/>
  <c r="G1064" i="3"/>
  <c r="H1064" i="3"/>
  <c r="I1064" i="3" s="1"/>
  <c r="J1064" i="3" s="1"/>
  <c r="L1064" i="3" s="1" a="1"/>
  <c r="L1064" i="3" s="1"/>
  <c r="F1065" i="3"/>
  <c r="G1065" i="3" s="1"/>
  <c r="F1066" i="3"/>
  <c r="F1067" i="3"/>
  <c r="G1067" i="3" s="1"/>
  <c r="F1068" i="3"/>
  <c r="F1069" i="3"/>
  <c r="G1069" i="3" s="1"/>
  <c r="F1070" i="3"/>
  <c r="G1070" i="3" s="1"/>
  <c r="H1070" i="3"/>
  <c r="I1070" i="3" s="1"/>
  <c r="J1070" i="3" s="1"/>
  <c r="L1070" i="3" s="1" a="1"/>
  <c r="L1070" i="3" s="1"/>
  <c r="F1071" i="3"/>
  <c r="G1071" i="3" s="1"/>
  <c r="H1071" i="3"/>
  <c r="I1071" i="3"/>
  <c r="J1071" i="3" s="1"/>
  <c r="L1071" i="3" s="1" a="1"/>
  <c r="L1071" i="3" s="1"/>
  <c r="F1072" i="3"/>
  <c r="G1072" i="3" s="1"/>
  <c r="H1072" i="3"/>
  <c r="I1072" i="3"/>
  <c r="J1072" i="3" s="1"/>
  <c r="L1072" i="3" s="1" a="1"/>
  <c r="L1072" i="3" s="1"/>
  <c r="F1073" i="3"/>
  <c r="G1073" i="3" s="1"/>
  <c r="H1073" i="3"/>
  <c r="I1073" i="3" s="1"/>
  <c r="J1073" i="3" s="1"/>
  <c r="L1073" i="3" s="1" a="1"/>
  <c r="L1073" i="3" s="1"/>
  <c r="F1074" i="3"/>
  <c r="G1074" i="3" s="1"/>
  <c r="F1075" i="3"/>
  <c r="F1076" i="3"/>
  <c r="F1077" i="3"/>
  <c r="G1077" i="3"/>
  <c r="H1077" i="3"/>
  <c r="I1077" i="3" s="1"/>
  <c r="J1077" i="3" s="1"/>
  <c r="L1077" i="3" s="1" a="1"/>
  <c r="L1077" i="3" s="1"/>
  <c r="F1078" i="3"/>
  <c r="F1079" i="3"/>
  <c r="G1079" i="3"/>
  <c r="H1079" i="3"/>
  <c r="I1079" i="3" s="1"/>
  <c r="J1079" i="3" s="1"/>
  <c r="L1079" i="3" s="1" a="1"/>
  <c r="L1079" i="3" s="1"/>
  <c r="F1080" i="3"/>
  <c r="H1080" i="3" s="1"/>
  <c r="G1080" i="3"/>
  <c r="I1080" i="3"/>
  <c r="J1080" i="3" s="1"/>
  <c r="L1080" i="3" s="1" a="1"/>
  <c r="L1080" i="3" s="1"/>
  <c r="F1081" i="3"/>
  <c r="G1081" i="3" s="1"/>
  <c r="H1081" i="3"/>
  <c r="I1081" i="3" s="1"/>
  <c r="J1081" i="3" s="1"/>
  <c r="L1081" i="3" s="1" a="1"/>
  <c r="L1081" i="3" s="1"/>
  <c r="F1082" i="3"/>
  <c r="H1082" i="3" s="1"/>
  <c r="I1082" i="3" s="1"/>
  <c r="J1082" i="3" s="1"/>
  <c r="L1082" i="3" s="1" a="1"/>
  <c r="L1082" i="3" s="1"/>
  <c r="G1082" i="3"/>
  <c r="F1083" i="3"/>
  <c r="G1083" i="3" s="1"/>
  <c r="F1084" i="3"/>
  <c r="F1085" i="3"/>
  <c r="F1086" i="3"/>
  <c r="G1086" i="3" s="1"/>
  <c r="H1086" i="3"/>
  <c r="I1086" i="3" s="1"/>
  <c r="J1086" i="3" s="1"/>
  <c r="L1086" i="3" s="1" a="1"/>
  <c r="L1086" i="3" s="1"/>
  <c r="F1087" i="3"/>
  <c r="F1088" i="3"/>
  <c r="H1088" i="3" s="1"/>
  <c r="I1088" i="3" s="1"/>
  <c r="J1088" i="3" s="1"/>
  <c r="L1088" i="3" s="1" a="1"/>
  <c r="L1088" i="3" s="1"/>
  <c r="F1089" i="3"/>
  <c r="G1089" i="3" s="1"/>
  <c r="H1089" i="3"/>
  <c r="I1089" i="3" s="1"/>
  <c r="J1089" i="3" s="1"/>
  <c r="L1089" i="3" s="1" a="1"/>
  <c r="L1089" i="3" s="1"/>
  <c r="F1090" i="3"/>
  <c r="F1091" i="3"/>
  <c r="G1091" i="3" s="1"/>
  <c r="H1091" i="3"/>
  <c r="I1091" i="3" s="1"/>
  <c r="J1091" i="3" s="1"/>
  <c r="L1091" i="3" s="1" a="1"/>
  <c r="L1091" i="3" s="1"/>
  <c r="F1092" i="3"/>
  <c r="G1092" i="3" s="1"/>
  <c r="H1092" i="3"/>
  <c r="I1092" i="3" s="1"/>
  <c r="J1092" i="3" s="1"/>
  <c r="L1092" i="3" s="1" a="1"/>
  <c r="L1092" i="3" s="1"/>
  <c r="F1093" i="3"/>
  <c r="G1093" i="3" s="1"/>
  <c r="F1094" i="3"/>
  <c r="F1095" i="3"/>
  <c r="G1095" i="3" s="1"/>
  <c r="F1096" i="3"/>
  <c r="G1096" i="3" s="1"/>
  <c r="F1097" i="3"/>
  <c r="F1098" i="3"/>
  <c r="H1098" i="3" s="1"/>
  <c r="I1098" i="3" s="1"/>
  <c r="J1098" i="3" s="1"/>
  <c r="L1098" i="3" s="1" a="1"/>
  <c r="L1098" i="3" s="1"/>
  <c r="G1098" i="3"/>
  <c r="F1099" i="3"/>
  <c r="F1100" i="3"/>
  <c r="G1100" i="3" s="1"/>
  <c r="H1100" i="3"/>
  <c r="I1100" i="3" s="1"/>
  <c r="J1100" i="3" s="1"/>
  <c r="L1100" i="3" s="1" a="1"/>
  <c r="L1100" i="3" s="1"/>
  <c r="F1101" i="3"/>
  <c r="G1101" i="3" s="1"/>
  <c r="F1102" i="3"/>
  <c r="G1102" i="3" s="1"/>
  <c r="K1102" i="3"/>
  <c r="F1103" i="3"/>
  <c r="K1103" i="3"/>
  <c r="F1104" i="3"/>
  <c r="K1104" i="3"/>
  <c r="F1105" i="3"/>
  <c r="F1106" i="3"/>
  <c r="G1106" i="3" s="1"/>
  <c r="F1107" i="3"/>
  <c r="F1108" i="3"/>
  <c r="F1109" i="3"/>
  <c r="F1110" i="3"/>
  <c r="G1110" i="3" s="1"/>
  <c r="H1110" i="3"/>
  <c r="I1110" i="3" s="1"/>
  <c r="J1110" i="3" s="1"/>
  <c r="L1110" i="3" s="1" a="1"/>
  <c r="L1110" i="3" s="1"/>
  <c r="F1111" i="3"/>
  <c r="G1111" i="3" s="1"/>
  <c r="F1112" i="3"/>
  <c r="G1112" i="3"/>
  <c r="H1112" i="3"/>
  <c r="I1112" i="3" s="1"/>
  <c r="J1112" i="3" s="1"/>
  <c r="L1112" i="3" s="1" a="1"/>
  <c r="L1112" i="3" s="1"/>
  <c r="F1113" i="3"/>
  <c r="G1113" i="3" s="1"/>
  <c r="F1114" i="3"/>
  <c r="H1114" i="3" s="1"/>
  <c r="I1114" i="3" s="1"/>
  <c r="G1114" i="3"/>
  <c r="J1114" i="3"/>
  <c r="L1114" i="3" s="1" a="1"/>
  <c r="L1114" i="3" s="1"/>
  <c r="F1115" i="3"/>
  <c r="F1116" i="3"/>
  <c r="G1116" i="3" s="1"/>
  <c r="H1116" i="3"/>
  <c r="I1116" i="3" s="1"/>
  <c r="J1116" i="3"/>
  <c r="L1116" i="3" s="1" a="1"/>
  <c r="L1116" i="3" s="1"/>
  <c r="F1117" i="3"/>
  <c r="H1117" i="3" s="1"/>
  <c r="I1117" i="3" s="1"/>
  <c r="J1117" i="3" s="1"/>
  <c r="L1117" i="3" s="1" a="1"/>
  <c r="L1117" i="3" s="1"/>
  <c r="F1118" i="3"/>
  <c r="H1118" i="3" s="1"/>
  <c r="I1118" i="3" s="1"/>
  <c r="J1118" i="3" s="1"/>
  <c r="L1118" i="3" s="1" a="1"/>
  <c r="L1118" i="3" s="1"/>
  <c r="F1119" i="3"/>
  <c r="G1119" i="3" s="1"/>
  <c r="K1119" i="3"/>
  <c r="F1120" i="3"/>
  <c r="F1121" i="3"/>
  <c r="G1121" i="3" s="1"/>
  <c r="H1121" i="3"/>
  <c r="I1121" i="3" s="1"/>
  <c r="J1121" i="3" s="1"/>
  <c r="L1121" i="3" s="1" a="1"/>
  <c r="L1121" i="3" s="1"/>
  <c r="F1122" i="3"/>
  <c r="H1122" i="3" s="1"/>
  <c r="G1122" i="3"/>
  <c r="I1122" i="3"/>
  <c r="J1122" i="3" s="1"/>
  <c r="L1122" i="3" s="1" a="1"/>
  <c r="L1122" i="3" s="1"/>
  <c r="F1123" i="3"/>
  <c r="F1124" i="3"/>
  <c r="G1124" i="3" s="1"/>
  <c r="H1124" i="3"/>
  <c r="I1124" i="3" s="1"/>
  <c r="J1124" i="3" s="1"/>
  <c r="L1124" i="3" s="1" a="1"/>
  <c r="L1124" i="3" s="1"/>
  <c r="F1125" i="3"/>
  <c r="G1125" i="3" s="1"/>
  <c r="F1126" i="3"/>
  <c r="G1126" i="3"/>
  <c r="H1126" i="3"/>
  <c r="I1126" i="3" s="1"/>
  <c r="J1126" i="3" s="1"/>
  <c r="L1126" i="3" s="1" a="1"/>
  <c r="L1126" i="3" s="1"/>
  <c r="F1127" i="3"/>
  <c r="K1127" i="3"/>
  <c r="F1128" i="3"/>
  <c r="G1128" i="3" s="1"/>
  <c r="F1129" i="3"/>
  <c r="G1129" i="3" s="1"/>
  <c r="F1130" i="3"/>
  <c r="G1130" i="3" s="1"/>
  <c r="F1131" i="3"/>
  <c r="G1131" i="3" s="1"/>
  <c r="F1132" i="3"/>
  <c r="F1133" i="3"/>
  <c r="F1134" i="3"/>
  <c r="H1134" i="3" s="1"/>
  <c r="I1134" i="3"/>
  <c r="J1134" i="3" s="1"/>
  <c r="L1134" i="3" s="1" a="1"/>
  <c r="L1134" i="3" s="1"/>
  <c r="F1135" i="3"/>
  <c r="F1136" i="3"/>
  <c r="H1136" i="3" s="1"/>
  <c r="I1136" i="3" s="1"/>
  <c r="J1136" i="3" s="1"/>
  <c r="L1136" i="3" s="1" a="1"/>
  <c r="L1136" i="3" s="1"/>
  <c r="F1137" i="3"/>
  <c r="H1137" i="3" s="1"/>
  <c r="I1137" i="3" s="1"/>
  <c r="J1137" i="3" s="1"/>
  <c r="L1137" i="3" s="1" a="1"/>
  <c r="L1137" i="3" s="1"/>
  <c r="F1138" i="3"/>
  <c r="H1138" i="3" s="1"/>
  <c r="I1138" i="3" s="1"/>
  <c r="J1138" i="3" s="1"/>
  <c r="L1138" i="3" s="1" a="1"/>
  <c r="L1138" i="3" s="1"/>
  <c r="F1139" i="3"/>
  <c r="F1140" i="3"/>
  <c r="F1141" i="3"/>
  <c r="G1141" i="3"/>
  <c r="H1141" i="3"/>
  <c r="I1141" i="3" s="1"/>
  <c r="J1141" i="3" s="1"/>
  <c r="L1141" i="3" s="1" a="1"/>
  <c r="L1141" i="3" s="1"/>
  <c r="F1142" i="3"/>
  <c r="G1142" i="3" s="1"/>
  <c r="F1143" i="3"/>
  <c r="F1144" i="3"/>
  <c r="H1144" i="3" s="1"/>
  <c r="I1144" i="3" s="1"/>
  <c r="J1144" i="3" s="1"/>
  <c r="L1144" i="3" s="1" a="1"/>
  <c r="L1144" i="3" s="1"/>
  <c r="F1145" i="3"/>
  <c r="G1145" i="3"/>
  <c r="H1145" i="3"/>
  <c r="I1145" i="3" s="1"/>
  <c r="J1145" i="3" s="1"/>
  <c r="L1145" i="3" s="1" a="1"/>
  <c r="L1145" i="3" s="1"/>
  <c r="F1146" i="3"/>
  <c r="G1146" i="3"/>
  <c r="H1146" i="3"/>
  <c r="I1146" i="3" s="1"/>
  <c r="J1146" i="3" s="1"/>
  <c r="L1146" i="3" s="1" a="1"/>
  <c r="L1146" i="3" s="1"/>
  <c r="F1147" i="3"/>
  <c r="F1148" i="3"/>
  <c r="G1148" i="3"/>
  <c r="H1148" i="3"/>
  <c r="I1148" i="3"/>
  <c r="J1148" i="3" s="1"/>
  <c r="L1148" i="3" s="1" a="1"/>
  <c r="L1148" i="3" s="1"/>
  <c r="F1149" i="3"/>
  <c r="F1150" i="3"/>
  <c r="H1150" i="3" s="1"/>
  <c r="I1150" i="3" s="1"/>
  <c r="J1150" i="3" s="1"/>
  <c r="L1150" i="3" s="1" a="1"/>
  <c r="L1150" i="3" s="1"/>
  <c r="G1150" i="3"/>
  <c r="F1151" i="3"/>
  <c r="F1152" i="3"/>
  <c r="G1152" i="3" s="1"/>
  <c r="F1153" i="3"/>
  <c r="F1154" i="3"/>
  <c r="F1155" i="3"/>
  <c r="F1156" i="3"/>
  <c r="H1156" i="3" s="1"/>
  <c r="I1156" i="3" s="1"/>
  <c r="J1156" i="3" s="1"/>
  <c r="L1156" i="3" s="1" a="1"/>
  <c r="L1156" i="3" s="1"/>
  <c r="F1157" i="3"/>
  <c r="F1158" i="3"/>
  <c r="G1158" i="3" s="1"/>
  <c r="F1159" i="3"/>
  <c r="F1160" i="3"/>
  <c r="F1161" i="3"/>
  <c r="H1161" i="3" s="1"/>
  <c r="I1161" i="3" s="1"/>
  <c r="J1161" i="3" s="1"/>
  <c r="L1161" i="3" s="1" a="1"/>
  <c r="L1161" i="3" s="1"/>
  <c r="F1162" i="3"/>
  <c r="G1162" i="3" s="1"/>
  <c r="F1163" i="3"/>
  <c r="G1163" i="3"/>
  <c r="H1163" i="3"/>
  <c r="I1163" i="3"/>
  <c r="J1163" i="3" s="1"/>
  <c r="L1163" i="3" s="1" a="1"/>
  <c r="L1163" i="3" s="1"/>
  <c r="F1164" i="3"/>
  <c r="G1164" i="3"/>
  <c r="H1164" i="3"/>
  <c r="I1164" i="3" s="1"/>
  <c r="J1164" i="3" s="1"/>
  <c r="L1164" i="3" s="1" a="1"/>
  <c r="L1164" i="3" s="1"/>
  <c r="F1165" i="3"/>
  <c r="K1165" i="3"/>
  <c r="F1166" i="3"/>
  <c r="H1166" i="3" s="1"/>
  <c r="I1166" i="3" s="1"/>
  <c r="J1166" i="3" s="1"/>
  <c r="L1166" i="3" s="1" a="1"/>
  <c r="L1166" i="3" s="1"/>
  <c r="G1166" i="3"/>
  <c r="K1166" i="3"/>
  <c r="F1167" i="3"/>
  <c r="H1167" i="3" s="1"/>
  <c r="I1167" i="3" s="1"/>
  <c r="J1167" i="3" s="1"/>
  <c r="L1167" i="3" a="1"/>
  <c r="L1167" i="3" s="1"/>
  <c r="F1168" i="3"/>
  <c r="G1168" i="3"/>
  <c r="H1168" i="3"/>
  <c r="I1168" i="3" s="1"/>
  <c r="J1168" i="3" s="1"/>
  <c r="L1168" i="3" s="1" a="1"/>
  <c r="L1168" i="3" s="1"/>
  <c r="K1168" i="3"/>
  <c r="F1169" i="3"/>
  <c r="H1169" i="3" s="1"/>
  <c r="I1169" i="3" s="1"/>
  <c r="J1169" i="3" s="1"/>
  <c r="L1169" i="3" s="1" a="1"/>
  <c r="L1169" i="3" s="1"/>
  <c r="F1170" i="3"/>
  <c r="H1170" i="3" s="1"/>
  <c r="I1170" i="3" s="1"/>
  <c r="J1170" i="3" s="1"/>
  <c r="L1170" i="3" s="1" a="1"/>
  <c r="L1170" i="3" s="1"/>
  <c r="F1171" i="3"/>
  <c r="F1172" i="3"/>
  <c r="G1172" i="3" s="1"/>
  <c r="K1172" i="3"/>
  <c r="F1173" i="3"/>
  <c r="H1173" i="3" s="1"/>
  <c r="G1173" i="3"/>
  <c r="I1173" i="3"/>
  <c r="J1173" i="3" s="1"/>
  <c r="L1173" i="3" s="1" a="1"/>
  <c r="L1173" i="3" s="1"/>
  <c r="F1174" i="3"/>
  <c r="H1174" i="3" s="1"/>
  <c r="I1174" i="3" s="1"/>
  <c r="J1174" i="3" s="1"/>
  <c r="L1174" i="3" s="1" a="1"/>
  <c r="L1174" i="3" s="1"/>
  <c r="G1174" i="3"/>
  <c r="F1175" i="3"/>
  <c r="F1176" i="3"/>
  <c r="H1176" i="3" s="1"/>
  <c r="G1176" i="3"/>
  <c r="I1176" i="3"/>
  <c r="J1176" i="3" s="1"/>
  <c r="L1176" i="3" s="1" a="1"/>
  <c r="L1176" i="3" s="1"/>
  <c r="F1177" i="3"/>
  <c r="F1178" i="3"/>
  <c r="G1178" i="3" s="1"/>
  <c r="F1179" i="3"/>
  <c r="G1179" i="3" s="1"/>
  <c r="F1180" i="3"/>
  <c r="G1180" i="3" s="1"/>
  <c r="F1181" i="3"/>
  <c r="G1181" i="3" s="1"/>
  <c r="F1182" i="3"/>
  <c r="G1182" i="3" s="1"/>
  <c r="F1183" i="3"/>
  <c r="G1183" i="3"/>
  <c r="H1183" i="3"/>
  <c r="I1183" i="3" s="1"/>
  <c r="J1183" i="3" s="1"/>
  <c r="L1183" i="3" s="1" a="1"/>
  <c r="L1183" i="3" s="1"/>
  <c r="F1184" i="3"/>
  <c r="G1184" i="3"/>
  <c r="H1184" i="3"/>
  <c r="I1184" i="3" s="1"/>
  <c r="J1184" i="3" s="1"/>
  <c r="L1184" i="3" s="1" a="1"/>
  <c r="L1184" i="3" s="1"/>
  <c r="F1185" i="3"/>
  <c r="G1185" i="3" s="1"/>
  <c r="F1186" i="3"/>
  <c r="G1186" i="3" s="1"/>
  <c r="H1186" i="3"/>
  <c r="I1186" i="3" s="1"/>
  <c r="J1186" i="3" s="1"/>
  <c r="L1186" i="3" s="1" a="1"/>
  <c r="L1186" i="3" s="1"/>
  <c r="F1187" i="3"/>
  <c r="G1187" i="3" s="1"/>
  <c r="F1188" i="3"/>
  <c r="G1188" i="3"/>
  <c r="H1188" i="3"/>
  <c r="I1188" i="3" s="1"/>
  <c r="J1188" i="3" s="1"/>
  <c r="L1188" i="3" s="1" a="1"/>
  <c r="L1188" i="3" s="1"/>
  <c r="F1189" i="3"/>
  <c r="H1189" i="3" s="1"/>
  <c r="I1189" i="3" s="1"/>
  <c r="J1189" i="3" s="1"/>
  <c r="L1189" i="3" s="1" a="1"/>
  <c r="L1189" i="3" s="1"/>
  <c r="G1189" i="3"/>
  <c r="F1190" i="3"/>
  <c r="F1191" i="3"/>
  <c r="G1191" i="3" s="1"/>
  <c r="K1191" i="3"/>
  <c r="F1192" i="3"/>
  <c r="H1192" i="3" s="1"/>
  <c r="I1192" i="3" s="1"/>
  <c r="J1192" i="3" s="1"/>
  <c r="L1192" i="3" s="1" a="1"/>
  <c r="L1192" i="3" s="1"/>
  <c r="F1193" i="3"/>
  <c r="H1193" i="3" s="1"/>
  <c r="I1193" i="3" s="1"/>
  <c r="J1193" i="3" s="1"/>
  <c r="L1193" i="3" s="1" a="1"/>
  <c r="L1193" i="3" s="1"/>
  <c r="G1193" i="3"/>
  <c r="F1194" i="3"/>
  <c r="H1194" i="3" s="1"/>
  <c r="I1194" i="3" s="1"/>
  <c r="G1194" i="3"/>
  <c r="J1194" i="3"/>
  <c r="L1194" i="3" a="1"/>
  <c r="L1194" i="3" s="1"/>
  <c r="F1195" i="3"/>
  <c r="F1196" i="3"/>
  <c r="G1196" i="3" s="1"/>
  <c r="F1197" i="3"/>
  <c r="F1198" i="3"/>
  <c r="G1198" i="3" s="1"/>
  <c r="F1199" i="3"/>
  <c r="H1199" i="3" s="1"/>
  <c r="I1199" i="3" s="1"/>
  <c r="J1199" i="3" s="1"/>
  <c r="L1199" i="3" s="1" a="1"/>
  <c r="L1199" i="3" s="1"/>
  <c r="F1200" i="3"/>
  <c r="F1201" i="3"/>
  <c r="F1202" i="3"/>
  <c r="G1202" i="3" s="1"/>
  <c r="H1202" i="3"/>
  <c r="I1202" i="3" s="1"/>
  <c r="J1202" i="3" s="1"/>
  <c r="L1202" i="3" s="1" a="1"/>
  <c r="L1202" i="3" s="1"/>
  <c r="F1203" i="3"/>
  <c r="H1203" i="3" s="1"/>
  <c r="I1203" i="3" s="1"/>
  <c r="J1203" i="3" s="1"/>
  <c r="L1203" i="3" s="1" a="1"/>
  <c r="L1203" i="3" s="1"/>
  <c r="F1204" i="3"/>
  <c r="G1204" i="3"/>
  <c r="H1204" i="3"/>
  <c r="I1204" i="3" s="1"/>
  <c r="J1204" i="3" s="1"/>
  <c r="L1204" i="3" s="1" a="1"/>
  <c r="L1204" i="3" s="1"/>
  <c r="F1205" i="3"/>
  <c r="F1206" i="3"/>
  <c r="F1207" i="3"/>
  <c r="H1207" i="3" s="1"/>
  <c r="I1207" i="3" s="1"/>
  <c r="J1207" i="3" s="1"/>
  <c r="L1207" i="3" s="1" a="1"/>
  <c r="L1207" i="3" s="1"/>
  <c r="G1207" i="3"/>
  <c r="F1208" i="3"/>
  <c r="G1208" i="3" s="1"/>
  <c r="H1208" i="3"/>
  <c r="I1208" i="3" s="1"/>
  <c r="J1208" i="3" s="1"/>
  <c r="L1208" i="3" s="1" a="1"/>
  <c r="L1208" i="3" s="1"/>
  <c r="F1209" i="3"/>
  <c r="H1209" i="3" s="1"/>
  <c r="I1209" i="3" s="1"/>
  <c r="J1209" i="3" s="1"/>
  <c r="L1209" i="3" s="1" a="1"/>
  <c r="L1209" i="3" s="1"/>
  <c r="G1209" i="3"/>
  <c r="F1210" i="3"/>
  <c r="G1210" i="3" s="1"/>
  <c r="F1211" i="3"/>
  <c r="G1211" i="3" s="1"/>
  <c r="H1211" i="3"/>
  <c r="I1211" i="3" s="1"/>
  <c r="J1211" i="3" s="1"/>
  <c r="L1211" i="3" s="1" a="1"/>
  <c r="L1211" i="3" s="1"/>
  <c r="F1212" i="3"/>
  <c r="F1213" i="3"/>
  <c r="G1213" i="3"/>
  <c r="H1213" i="3"/>
  <c r="I1213" i="3" s="1"/>
  <c r="J1213" i="3" s="1"/>
  <c r="L1213" i="3" s="1" a="1"/>
  <c r="L1213" i="3" s="1"/>
  <c r="F1214" i="3"/>
  <c r="H1214" i="3" s="1"/>
  <c r="I1214" i="3" s="1"/>
  <c r="J1214" i="3" s="1"/>
  <c r="L1214" i="3" s="1" a="1"/>
  <c r="L1214" i="3" s="1"/>
  <c r="F1215" i="3"/>
  <c r="G1215" i="3" s="1"/>
  <c r="H1215" i="3"/>
  <c r="I1215" i="3" s="1"/>
  <c r="J1215" i="3" s="1"/>
  <c r="L1215" i="3" s="1" a="1"/>
  <c r="L1215" i="3" s="1"/>
  <c r="F1216" i="3"/>
  <c r="F1217" i="3"/>
  <c r="H1217" i="3" s="1"/>
  <c r="I1217" i="3" s="1"/>
  <c r="J1217" i="3" s="1"/>
  <c r="L1217" i="3" s="1" a="1"/>
  <c r="L1217" i="3" s="1"/>
  <c r="G1217" i="3"/>
  <c r="F1218" i="3"/>
  <c r="G1218" i="3"/>
  <c r="H1218" i="3"/>
  <c r="I1218" i="3" s="1"/>
  <c r="J1218" i="3" s="1"/>
  <c r="L1218" i="3" s="1" a="1"/>
  <c r="L1218" i="3" s="1"/>
  <c r="F1219" i="3"/>
  <c r="G1219" i="3" s="1"/>
  <c r="F1220" i="3"/>
  <c r="G1220" i="3" s="1"/>
  <c r="H1220" i="3"/>
  <c r="I1220" i="3" s="1"/>
  <c r="J1220" i="3" s="1"/>
  <c r="L1220" i="3" s="1" a="1"/>
  <c r="L1220" i="3" s="1"/>
  <c r="F1221" i="3"/>
  <c r="H1221" i="3" s="1"/>
  <c r="G1221" i="3"/>
  <c r="I1221" i="3"/>
  <c r="J1221" i="3" s="1"/>
  <c r="L1221" i="3" s="1" a="1"/>
  <c r="L1221" i="3" s="1"/>
  <c r="F1222" i="3"/>
  <c r="F1223" i="3"/>
  <c r="F1224" i="3"/>
  <c r="G1224" i="3" s="1"/>
  <c r="F1225" i="3"/>
  <c r="H1225" i="3" s="1"/>
  <c r="G1225" i="3"/>
  <c r="I1225" i="3"/>
  <c r="J1225" i="3" s="1"/>
  <c r="L1225" i="3" s="1" a="1"/>
  <c r="L1225" i="3" s="1"/>
  <c r="F1226" i="3"/>
  <c r="F1227" i="3"/>
  <c r="G1227" i="3"/>
  <c r="H1227" i="3"/>
  <c r="I1227" i="3" s="1"/>
  <c r="J1227" i="3" s="1"/>
  <c r="L1227" i="3" s="1" a="1"/>
  <c r="L1227" i="3" s="1"/>
  <c r="F1228" i="3"/>
  <c r="G1228" i="3" s="1"/>
  <c r="H1228" i="3"/>
  <c r="I1228" i="3" s="1"/>
  <c r="J1228" i="3" s="1"/>
  <c r="L1228" i="3" s="1" a="1"/>
  <c r="L1228" i="3" s="1"/>
  <c r="F1229" i="3"/>
  <c r="G1229" i="3" s="1"/>
  <c r="F1230" i="3"/>
  <c r="H1230" i="3" s="1"/>
  <c r="I1230" i="3" s="1"/>
  <c r="G1230" i="3"/>
  <c r="J1230" i="3"/>
  <c r="L1230" i="3" s="1" a="1"/>
  <c r="L1230" i="3" s="1"/>
  <c r="K1230" i="3"/>
  <c r="F1231" i="3"/>
  <c r="G1231" i="3" s="1"/>
  <c r="F1232" i="3"/>
  <c r="K1232" i="3"/>
  <c r="F1233" i="3"/>
  <c r="G1233" i="3"/>
  <c r="H1233" i="3"/>
  <c r="I1233" i="3"/>
  <c r="J1233" i="3" s="1"/>
  <c r="L1233" i="3" s="1" a="1"/>
  <c r="L1233" i="3" s="1"/>
  <c r="F1234" i="3"/>
  <c r="G1234" i="3" s="1"/>
  <c r="H1234" i="3"/>
  <c r="I1234" i="3" s="1"/>
  <c r="J1234" i="3" s="1"/>
  <c r="L1234" i="3" s="1" a="1"/>
  <c r="L1234" i="3" s="1"/>
  <c r="K1234" i="3"/>
  <c r="F1235" i="3"/>
  <c r="H1235" i="3" s="1"/>
  <c r="I1235" i="3" s="1"/>
  <c r="J1235" i="3" s="1"/>
  <c r="L1235" i="3" s="1" a="1"/>
  <c r="L1235" i="3" s="1"/>
  <c r="F1236" i="3"/>
  <c r="G1236" i="3" s="1"/>
  <c r="H1236" i="3"/>
  <c r="I1236" i="3" s="1"/>
  <c r="J1236" i="3" s="1"/>
  <c r="L1236" i="3" s="1" a="1"/>
  <c r="L1236" i="3" s="1"/>
  <c r="F1237" i="3"/>
  <c r="G1237" i="3" s="1"/>
  <c r="F1238" i="3"/>
  <c r="F1239" i="3"/>
  <c r="G1239" i="3" s="1"/>
  <c r="F1240" i="3"/>
  <c r="G1240" i="3" s="1"/>
  <c r="H1240" i="3"/>
  <c r="I1240" i="3" s="1"/>
  <c r="J1240" i="3" s="1"/>
  <c r="L1240" i="3" s="1" a="1"/>
  <c r="L1240" i="3" s="1"/>
  <c r="F1241" i="3"/>
  <c r="F1242" i="3"/>
  <c r="F1243" i="3"/>
  <c r="H1243" i="3" s="1"/>
  <c r="I1243" i="3" s="1"/>
  <c r="J1243" i="3" s="1"/>
  <c r="L1243" i="3" s="1" a="1"/>
  <c r="L1243" i="3" s="1"/>
  <c r="F1244" i="3"/>
  <c r="F1245" i="3"/>
  <c r="F1246" i="3"/>
  <c r="G1246" i="3" s="1"/>
  <c r="H1246" i="3"/>
  <c r="I1246" i="3" s="1"/>
  <c r="J1246" i="3" s="1"/>
  <c r="L1246" i="3" s="1" a="1"/>
  <c r="L1246" i="3" s="1"/>
  <c r="F1247" i="3"/>
  <c r="K1247" i="3"/>
  <c r="F1248" i="3"/>
  <c r="G1248" i="3" s="1"/>
  <c r="K1248" i="3"/>
  <c r="F1249" i="3"/>
  <c r="H1249" i="3" s="1"/>
  <c r="I1249" i="3" s="1"/>
  <c r="J1249" i="3" s="1"/>
  <c r="L1249" i="3" s="1" a="1"/>
  <c r="L1249" i="3" s="1"/>
  <c r="F1250" i="3"/>
  <c r="F1251" i="3"/>
  <c r="H1251" i="3" s="1"/>
  <c r="G1251" i="3"/>
  <c r="I1251" i="3"/>
  <c r="J1251" i="3" s="1"/>
  <c r="L1251" i="3" s="1" a="1"/>
  <c r="L1251" i="3" s="1"/>
  <c r="F1252" i="3"/>
  <c r="G1252" i="3" s="1"/>
  <c r="F1253" i="3"/>
  <c r="F1254" i="3"/>
  <c r="G1254" i="3" s="1"/>
  <c r="F1255" i="3"/>
  <c r="G1255" i="3" s="1"/>
  <c r="K1255" i="3"/>
  <c r="F1256" i="3"/>
  <c r="G1256" i="3" s="1"/>
  <c r="H1256" i="3"/>
  <c r="I1256" i="3" s="1"/>
  <c r="J1256" i="3" s="1"/>
  <c r="L1256" i="3" s="1" a="1"/>
  <c r="L1256" i="3" s="1"/>
  <c r="F1257" i="3"/>
  <c r="G1257" i="3" s="1"/>
  <c r="F1258" i="3"/>
  <c r="G1258" i="3" s="1"/>
  <c r="H1258" i="3"/>
  <c r="I1258" i="3" s="1"/>
  <c r="J1258" i="3"/>
  <c r="L1258" i="3" s="1" a="1"/>
  <c r="L1258" i="3" s="1"/>
  <c r="F1259" i="3"/>
  <c r="G1259" i="3" s="1"/>
  <c r="F1260" i="3"/>
  <c r="H1260" i="3" s="1"/>
  <c r="I1260" i="3" s="1"/>
  <c r="J1260" i="3" s="1"/>
  <c r="L1260" i="3" s="1" a="1"/>
  <c r="L1260" i="3" s="1"/>
  <c r="F1261" i="3"/>
  <c r="F1262" i="3"/>
  <c r="G1262" i="3" s="1"/>
  <c r="F1263" i="3"/>
  <c r="G1263" i="3" s="1"/>
  <c r="H1263" i="3"/>
  <c r="I1263" i="3" s="1"/>
  <c r="J1263" i="3" s="1"/>
  <c r="L1263" i="3" s="1" a="1"/>
  <c r="L1263" i="3" s="1"/>
  <c r="F1264" i="3"/>
  <c r="F1265" i="3"/>
  <c r="G1265" i="3" s="1"/>
  <c r="H1265" i="3"/>
  <c r="I1265" i="3" s="1"/>
  <c r="J1265" i="3" s="1"/>
  <c r="L1265" i="3" s="1" a="1"/>
  <c r="L1265" i="3" s="1"/>
  <c r="F1266" i="3"/>
  <c r="F1267" i="3"/>
  <c r="G1267" i="3" s="1"/>
  <c r="F1268" i="3"/>
  <c r="G1268" i="3" s="1"/>
  <c r="H1268" i="3"/>
  <c r="I1268" i="3"/>
  <c r="J1268" i="3" s="1"/>
  <c r="L1268" i="3" s="1" a="1"/>
  <c r="L1268" i="3" s="1"/>
  <c r="F1269" i="3"/>
  <c r="H1269" i="3" s="1"/>
  <c r="I1269" i="3"/>
  <c r="J1269" i="3" s="1"/>
  <c r="L1269" i="3" s="1" a="1"/>
  <c r="L1269" i="3" s="1"/>
  <c r="F1270" i="3"/>
  <c r="H1270" i="3" s="1"/>
  <c r="I1270" i="3" s="1"/>
  <c r="J1270" i="3" s="1"/>
  <c r="L1270" i="3" s="1" a="1"/>
  <c r="L1270" i="3" s="1"/>
  <c r="G1270" i="3"/>
  <c r="F1271" i="3"/>
  <c r="H1271" i="3" s="1"/>
  <c r="I1271" i="3" s="1"/>
  <c r="J1271" i="3" s="1"/>
  <c r="L1271" i="3" s="1" a="1"/>
  <c r="L1271" i="3" s="1"/>
  <c r="F1272" i="3"/>
  <c r="G1272" i="3" s="1"/>
  <c r="F1273" i="3"/>
  <c r="G1273" i="3" s="1"/>
  <c r="H1273" i="3"/>
  <c r="I1273" i="3" s="1"/>
  <c r="J1273" i="3" s="1"/>
  <c r="L1273" i="3" s="1" a="1"/>
  <c r="L1273" i="3" s="1"/>
  <c r="F1274" i="3"/>
  <c r="H1274" i="3" s="1"/>
  <c r="I1274" i="3" s="1"/>
  <c r="J1274" i="3" s="1"/>
  <c r="G1274" i="3"/>
  <c r="L1274" i="3" a="1"/>
  <c r="L1274" i="3" s="1"/>
  <c r="F1275" i="3"/>
  <c r="G1275" i="3" s="1"/>
  <c r="H1275" i="3"/>
  <c r="I1275" i="3" s="1"/>
  <c r="J1275" i="3" s="1"/>
  <c r="L1275" i="3" s="1" a="1"/>
  <c r="L1275" i="3" s="1"/>
  <c r="F1276" i="3"/>
  <c r="G1276" i="3" s="1"/>
  <c r="F1277" i="3"/>
  <c r="G1277" i="3" s="1"/>
  <c r="H1277" i="3"/>
  <c r="I1277" i="3" s="1"/>
  <c r="J1277" i="3" s="1"/>
  <c r="L1277" i="3" s="1" a="1"/>
  <c r="L1277" i="3" s="1"/>
  <c r="F1278" i="3"/>
  <c r="H1278" i="3" s="1"/>
  <c r="I1278" i="3" s="1"/>
  <c r="G1278" i="3"/>
  <c r="J1278" i="3"/>
  <c r="L1278" i="3" s="1" a="1"/>
  <c r="L1278" i="3" s="1"/>
  <c r="F1279" i="3"/>
  <c r="F1280" i="3"/>
  <c r="H1280" i="3" s="1"/>
  <c r="I1280" i="3" s="1"/>
  <c r="J1280" i="3" s="1"/>
  <c r="L1280" i="3" s="1" a="1"/>
  <c r="L1280" i="3" s="1"/>
  <c r="F1281" i="3"/>
  <c r="F1282" i="3"/>
  <c r="G1282" i="3" s="1"/>
  <c r="H1282" i="3"/>
  <c r="I1282" i="3" s="1"/>
  <c r="J1282" i="3" s="1"/>
  <c r="L1282" i="3" s="1" a="1"/>
  <c r="L1282" i="3" s="1"/>
  <c r="F1283" i="3"/>
  <c r="G1283" i="3" s="1"/>
  <c r="H1283" i="3"/>
  <c r="I1283" i="3" s="1"/>
  <c r="J1283" i="3" s="1"/>
  <c r="L1283" i="3" s="1" a="1"/>
  <c r="L1283" i="3" s="1"/>
  <c r="F1284" i="3"/>
  <c r="F1285" i="3"/>
  <c r="G1285" i="3" s="1"/>
  <c r="H1285" i="3"/>
  <c r="I1285" i="3" s="1"/>
  <c r="J1285" i="3" s="1"/>
  <c r="L1285" i="3" s="1" a="1"/>
  <c r="L1285" i="3" s="1"/>
  <c r="F1286" i="3"/>
  <c r="H1286" i="3" s="1"/>
  <c r="I1286" i="3" s="1"/>
  <c r="J1286" i="3" s="1"/>
  <c r="L1286" i="3" s="1" a="1"/>
  <c r="L1286" i="3" s="1"/>
  <c r="F1287" i="3"/>
  <c r="G1287" i="3" s="1"/>
  <c r="F1288" i="3"/>
  <c r="G1288" i="3"/>
  <c r="H1288" i="3"/>
  <c r="I1288" i="3" s="1"/>
  <c r="J1288" i="3" s="1"/>
  <c r="L1288" i="3" s="1" a="1"/>
  <c r="L1288" i="3" s="1"/>
  <c r="F1289" i="3"/>
  <c r="H1289" i="3" s="1"/>
  <c r="I1289" i="3" s="1"/>
  <c r="J1289" i="3" s="1"/>
  <c r="L1289" i="3" s="1" a="1"/>
  <c r="L1289" i="3" s="1"/>
  <c r="F1290" i="3"/>
  <c r="G1290" i="3" s="1"/>
  <c r="H1290" i="3"/>
  <c r="I1290" i="3" s="1"/>
  <c r="J1290" i="3" s="1"/>
  <c r="L1290" i="3" s="1" a="1"/>
  <c r="L1290" i="3" s="1"/>
  <c r="F1291" i="3"/>
  <c r="G1291" i="3" s="1"/>
  <c r="F1292" i="3"/>
  <c r="F1293" i="3"/>
  <c r="G1293" i="3" s="1"/>
  <c r="H1293" i="3"/>
  <c r="I1293" i="3" s="1"/>
  <c r="J1293" i="3" s="1"/>
  <c r="L1293" i="3" s="1" a="1"/>
  <c r="L1293" i="3" s="1"/>
  <c r="F1294" i="3"/>
  <c r="H1294" i="3" s="1"/>
  <c r="I1294" i="3" s="1"/>
  <c r="J1294" i="3" s="1"/>
  <c r="L1294" i="3" s="1" a="1"/>
  <c r="L1294" i="3" s="1"/>
  <c r="K1294" i="3"/>
  <c r="F1295" i="3"/>
  <c r="F1296" i="3"/>
  <c r="F1297" i="3"/>
  <c r="H1297" i="3" s="1"/>
  <c r="I1297" i="3" s="1"/>
  <c r="J1297" i="3" s="1"/>
  <c r="L1297" i="3" s="1" a="1"/>
  <c r="L1297" i="3" s="1"/>
  <c r="F1298" i="3"/>
  <c r="K1298" i="3"/>
  <c r="F1299" i="3"/>
  <c r="G1299" i="3" s="1"/>
  <c r="K1299" i="3"/>
  <c r="F1300" i="3"/>
  <c r="G1300" i="3"/>
  <c r="H1300" i="3"/>
  <c r="I1300" i="3" s="1"/>
  <c r="J1300" i="3" s="1"/>
  <c r="L1300" i="3" s="1" a="1"/>
  <c r="L1300" i="3" s="1"/>
  <c r="F1301" i="3"/>
  <c r="F1302" i="3"/>
  <c r="F1303" i="3"/>
  <c r="H1303" i="3" s="1"/>
  <c r="I1303" i="3" s="1"/>
  <c r="J1303" i="3" s="1"/>
  <c r="L1303" i="3" s="1" a="1"/>
  <c r="L1303" i="3" s="1"/>
  <c r="F1304" i="3"/>
  <c r="G1304" i="3" s="1"/>
  <c r="F1305" i="3"/>
  <c r="F1306" i="3"/>
  <c r="F1307" i="3"/>
  <c r="G1307" i="3" s="1"/>
  <c r="F1308" i="3"/>
  <c r="G1308" i="3"/>
  <c r="H1308" i="3"/>
  <c r="I1308" i="3" s="1"/>
  <c r="J1308" i="3" s="1"/>
  <c r="L1308" i="3" a="1"/>
  <c r="L1308" i="3" s="1"/>
  <c r="F1309" i="3"/>
  <c r="F1310" i="3"/>
  <c r="F1311" i="3"/>
  <c r="G1311" i="3" s="1"/>
  <c r="H1311" i="3"/>
  <c r="I1311" i="3"/>
  <c r="J1311" i="3" s="1"/>
  <c r="L1311" i="3" s="1" a="1"/>
  <c r="L1311" i="3" s="1"/>
  <c r="K1311" i="3"/>
  <c r="F1312" i="3"/>
  <c r="K1312" i="3"/>
  <c r="F1313" i="3"/>
  <c r="F1314" i="3"/>
  <c r="F1315" i="3"/>
  <c r="F1316" i="3"/>
  <c r="H1316" i="3" s="1"/>
  <c r="G1316" i="3"/>
  <c r="I1316" i="3"/>
  <c r="J1316" i="3" s="1"/>
  <c r="L1316" i="3" s="1" a="1"/>
  <c r="L1316" i="3" s="1"/>
  <c r="F1317" i="3"/>
  <c r="F1318" i="3"/>
  <c r="G1318" i="3"/>
  <c r="H1318" i="3"/>
  <c r="I1318" i="3" s="1"/>
  <c r="J1318" i="3" s="1"/>
  <c r="L1318" i="3" s="1" a="1"/>
  <c r="L1318" i="3" s="1"/>
  <c r="F1319" i="3"/>
  <c r="G1319" i="3" s="1"/>
  <c r="H1319" i="3"/>
  <c r="I1319" i="3" s="1"/>
  <c r="J1319" i="3" s="1"/>
  <c r="L1319" i="3" s="1" a="1"/>
  <c r="L1319" i="3" s="1"/>
  <c r="K1319" i="3"/>
  <c r="F1320" i="3"/>
  <c r="F1321" i="3"/>
  <c r="G1321" i="3" s="1"/>
  <c r="H1321" i="3"/>
  <c r="I1321" i="3" s="1"/>
  <c r="J1321" i="3" s="1"/>
  <c r="L1321" i="3" s="1" a="1"/>
  <c r="L1321" i="3" s="1"/>
  <c r="F1322" i="3"/>
  <c r="G1322" i="3" s="1"/>
  <c r="F1323" i="3"/>
  <c r="G1323" i="3"/>
  <c r="H1323" i="3"/>
  <c r="I1323" i="3" s="1"/>
  <c r="J1323" i="3" s="1"/>
  <c r="L1323" i="3" s="1" a="1"/>
  <c r="L1323" i="3" s="1"/>
  <c r="F1324" i="3"/>
  <c r="F1325" i="3"/>
  <c r="H1325" i="3" s="1"/>
  <c r="I1325" i="3" s="1"/>
  <c r="J1325" i="3" s="1"/>
  <c r="L1325" i="3" s="1" a="1"/>
  <c r="L1325" i="3" s="1"/>
  <c r="F1326" i="3"/>
  <c r="G1326" i="3" s="1"/>
  <c r="F1327" i="3"/>
  <c r="H1327" i="3" s="1"/>
  <c r="I1327" i="3" s="1"/>
  <c r="J1327" i="3" s="1"/>
  <c r="L1327" i="3" s="1" a="1"/>
  <c r="L1327" i="3" s="1"/>
  <c r="G1327" i="3"/>
  <c r="F1328" i="3"/>
  <c r="G1328" i="3" s="1"/>
  <c r="H1328" i="3"/>
  <c r="I1328" i="3" s="1"/>
  <c r="J1328" i="3" s="1"/>
  <c r="L1328" i="3" s="1" a="1"/>
  <c r="L1328" i="3" s="1"/>
  <c r="F1329" i="3"/>
  <c r="H1329" i="3" s="1"/>
  <c r="I1329" i="3"/>
  <c r="J1329" i="3" s="1"/>
  <c r="L1329" i="3" s="1" a="1"/>
  <c r="L1329" i="3" s="1"/>
  <c r="F1330" i="3"/>
  <c r="H1330" i="3" s="1"/>
  <c r="I1330" i="3" s="1"/>
  <c r="J1330" i="3" s="1"/>
  <c r="L1330" i="3" s="1" a="1"/>
  <c r="L1330" i="3" s="1"/>
  <c r="G1330" i="3"/>
  <c r="F1331" i="3"/>
  <c r="F1332" i="3"/>
  <c r="F1333" i="3"/>
  <c r="F1334" i="3"/>
  <c r="F1335" i="3"/>
  <c r="F1336" i="3"/>
  <c r="H1336" i="3" s="1"/>
  <c r="I1336" i="3" s="1"/>
  <c r="J1336" i="3" s="1"/>
  <c r="L1336" i="3" s="1" a="1"/>
  <c r="L1336" i="3" s="1"/>
  <c r="G1336" i="3"/>
  <c r="F1337" i="3"/>
  <c r="H1337" i="3" s="1"/>
  <c r="I1337" i="3" s="1"/>
  <c r="J1337" i="3" s="1"/>
  <c r="L1337" i="3" s="1" a="1"/>
  <c r="L1337" i="3" s="1"/>
  <c r="G1337" i="3"/>
  <c r="F1338" i="3"/>
  <c r="H1338" i="3" s="1"/>
  <c r="I1338" i="3" s="1"/>
  <c r="J1338" i="3" s="1"/>
  <c r="L1338" i="3" s="1" a="1"/>
  <c r="L1338" i="3" s="1"/>
  <c r="G1338" i="3"/>
  <c r="F1339" i="3"/>
  <c r="F1340" i="3"/>
  <c r="G1340" i="3" s="1"/>
  <c r="F1341" i="3"/>
  <c r="F1342" i="3"/>
  <c r="H1342" i="3" s="1"/>
  <c r="I1342" i="3" s="1"/>
  <c r="J1342" i="3" s="1"/>
  <c r="L1342" i="3" s="1" a="1"/>
  <c r="G1342" i="3"/>
  <c r="L1342" i="3"/>
  <c r="F1343" i="3"/>
  <c r="G1343" i="3" s="1"/>
  <c r="F1344" i="3"/>
  <c r="G1344" i="3" s="1"/>
  <c r="H1344" i="3"/>
  <c r="I1344" i="3" s="1"/>
  <c r="J1344" i="3" s="1"/>
  <c r="L1344" i="3" a="1"/>
  <c r="L1344" i="3" s="1"/>
  <c r="F1345" i="3"/>
  <c r="F1346" i="3"/>
  <c r="H1346" i="3" s="1"/>
  <c r="I1346" i="3" s="1"/>
  <c r="J1346" i="3" s="1"/>
  <c r="L1346" i="3" s="1" a="1"/>
  <c r="L1346" i="3" s="1"/>
  <c r="F1347" i="3"/>
  <c r="G1347" i="3" s="1"/>
  <c r="F1348" i="3"/>
  <c r="G1348" i="3" s="1"/>
  <c r="F1349" i="3"/>
  <c r="G1349" i="3" s="1"/>
  <c r="H1349" i="3"/>
  <c r="I1349" i="3" s="1"/>
  <c r="J1349" i="3" s="1"/>
  <c r="L1349" i="3" s="1" a="1"/>
  <c r="L1349" i="3" s="1"/>
  <c r="F1350" i="3"/>
  <c r="G1350" i="3" s="1"/>
  <c r="H1350" i="3"/>
  <c r="I1350" i="3" s="1"/>
  <c r="J1350" i="3" s="1"/>
  <c r="L1350" i="3" s="1" a="1"/>
  <c r="L1350" i="3" s="1"/>
  <c r="F1351" i="3"/>
  <c r="H1351" i="3" s="1"/>
  <c r="I1351" i="3" s="1"/>
  <c r="J1351" i="3" s="1"/>
  <c r="L1351" i="3" s="1" a="1"/>
  <c r="L1351" i="3" s="1"/>
  <c r="G1351" i="3"/>
  <c r="F1352" i="3"/>
  <c r="G1352" i="3"/>
  <c r="H1352" i="3"/>
  <c r="I1352" i="3" s="1"/>
  <c r="J1352" i="3" s="1"/>
  <c r="L1352" i="3" a="1"/>
  <c r="L1352" i="3" s="1"/>
  <c r="F1353" i="3"/>
  <c r="F1354" i="3"/>
  <c r="F1355" i="3"/>
  <c r="G1355" i="3" s="1"/>
  <c r="F1356" i="3"/>
  <c r="H1356" i="3" s="1"/>
  <c r="I1356" i="3" s="1"/>
  <c r="J1356" i="3" s="1"/>
  <c r="L1356" i="3" s="1" a="1"/>
  <c r="L1356" i="3" s="1"/>
  <c r="F1357" i="3"/>
  <c r="G1357" i="3" s="1"/>
  <c r="H1357" i="3"/>
  <c r="I1357" i="3" s="1"/>
  <c r="J1357" i="3" s="1"/>
  <c r="L1357" i="3" s="1" a="1"/>
  <c r="L1357" i="3" s="1"/>
  <c r="K1357" i="3"/>
  <c r="F1358" i="3"/>
  <c r="G1358" i="3"/>
  <c r="H1358" i="3"/>
  <c r="I1358" i="3" s="1"/>
  <c r="J1358" i="3" s="1"/>
  <c r="L1358" i="3" s="1" a="1"/>
  <c r="L1358" i="3" s="1"/>
  <c r="K1358" i="3"/>
  <c r="F1359" i="3"/>
  <c r="K1359" i="3"/>
  <c r="F1360" i="3"/>
  <c r="G1360" i="3"/>
  <c r="H1360" i="3"/>
  <c r="I1360" i="3" s="1"/>
  <c r="J1360" i="3" s="1"/>
  <c r="L1360" i="3" s="1" a="1"/>
  <c r="L1360" i="3" s="1"/>
  <c r="K1360" i="3"/>
  <c r="F1361" i="3"/>
  <c r="G1361" i="3"/>
  <c r="H1361" i="3"/>
  <c r="I1361" i="3" s="1"/>
  <c r="J1361" i="3" s="1"/>
  <c r="L1361" i="3" s="1" a="1"/>
  <c r="L1361" i="3" s="1"/>
  <c r="K1361" i="3"/>
  <c r="F1362" i="3"/>
  <c r="H1362" i="3" s="1"/>
  <c r="I1362" i="3" s="1"/>
  <c r="J1362" i="3" s="1"/>
  <c r="L1362" i="3" s="1" a="1"/>
  <c r="L1362" i="3" s="1"/>
  <c r="F1363" i="3"/>
  <c r="H1363" i="3" s="1"/>
  <c r="I1363" i="3" s="1"/>
  <c r="J1363" i="3" s="1"/>
  <c r="L1363" i="3" s="1" a="1"/>
  <c r="L1363" i="3" s="1"/>
  <c r="G1363" i="3"/>
  <c r="F1364" i="3"/>
  <c r="G1364" i="3" s="1"/>
  <c r="H1364" i="3"/>
  <c r="I1364" i="3" s="1"/>
  <c r="J1364" i="3" s="1"/>
  <c r="L1364" i="3" s="1" a="1"/>
  <c r="L1364" i="3" s="1"/>
  <c r="F1365" i="3"/>
  <c r="F1366" i="3"/>
  <c r="G1366" i="3" s="1"/>
  <c r="F1367" i="3"/>
  <c r="H1367" i="3" s="1"/>
  <c r="I1367" i="3" s="1"/>
  <c r="J1367" i="3" s="1"/>
  <c r="L1367" i="3" s="1" a="1"/>
  <c r="L1367" i="3" s="1"/>
  <c r="G1367" i="3"/>
  <c r="F1368" i="3"/>
  <c r="F1369" i="3"/>
  <c r="G1369" i="3" s="1"/>
  <c r="H1369" i="3"/>
  <c r="I1369" i="3" s="1"/>
  <c r="J1369" i="3" s="1"/>
  <c r="L1369" i="3" s="1" a="1"/>
  <c r="L1369" i="3" s="1"/>
  <c r="F1370" i="3"/>
  <c r="H1370" i="3" s="1"/>
  <c r="I1370" i="3" s="1"/>
  <c r="J1370" i="3" s="1"/>
  <c r="L1370" i="3" s="1" a="1"/>
  <c r="L1370" i="3" s="1"/>
  <c r="F1371" i="3"/>
  <c r="F1372" i="3"/>
  <c r="G1372" i="3" s="1"/>
  <c r="H1372" i="3"/>
  <c r="I1372" i="3" s="1"/>
  <c r="J1372" i="3" s="1"/>
  <c r="L1372" i="3" s="1" a="1"/>
  <c r="L1372" i="3" s="1"/>
  <c r="F1373" i="3"/>
  <c r="F1374" i="3"/>
  <c r="H1374" i="3" s="1"/>
  <c r="I1374" i="3" s="1"/>
  <c r="J1374" i="3" s="1"/>
  <c r="L1374" i="3" s="1" a="1"/>
  <c r="L1374" i="3" s="1"/>
  <c r="F1375" i="3"/>
  <c r="K1375" i="3"/>
  <c r="F1376" i="3"/>
  <c r="G1376" i="3" s="1"/>
  <c r="H1376" i="3"/>
  <c r="I1376" i="3" s="1"/>
  <c r="J1376" i="3" s="1"/>
  <c r="L1376" i="3" s="1" a="1"/>
  <c r="L1376" i="3" s="1"/>
  <c r="K1376" i="3"/>
  <c r="F1377" i="3"/>
  <c r="H1377" i="3" s="1"/>
  <c r="I1377" i="3" s="1"/>
  <c r="J1377" i="3" s="1"/>
  <c r="L1377" i="3" s="1" a="1"/>
  <c r="L1377" i="3" s="1"/>
  <c r="G1377" i="3"/>
  <c r="F1378" i="3"/>
  <c r="G1378" i="3" s="1"/>
  <c r="F1379" i="3"/>
  <c r="H1379" i="3" s="1"/>
  <c r="I1379" i="3" s="1"/>
  <c r="J1379" i="3" s="1"/>
  <c r="L1379" i="3" s="1" a="1"/>
  <c r="L1379" i="3" s="1"/>
  <c r="F1380" i="3"/>
  <c r="H1380" i="3" s="1"/>
  <c r="I1380" i="3" s="1"/>
  <c r="J1380" i="3" s="1"/>
  <c r="L1380" i="3" a="1"/>
  <c r="L1380" i="3" s="1"/>
  <c r="F1381" i="3"/>
  <c r="G1381" i="3" s="1"/>
  <c r="F1382" i="3"/>
  <c r="G1382" i="3"/>
  <c r="H1382" i="3"/>
  <c r="I1382" i="3" s="1"/>
  <c r="J1382" i="3" s="1"/>
  <c r="L1382" i="3" s="1" a="1"/>
  <c r="L1382" i="3" s="1"/>
  <c r="F1383" i="3"/>
  <c r="K1383" i="3"/>
  <c r="F1384" i="3"/>
  <c r="F1385" i="3"/>
  <c r="G1385" i="3" s="1"/>
  <c r="H1385" i="3"/>
  <c r="I1385" i="3" s="1"/>
  <c r="J1385" i="3" s="1"/>
  <c r="L1385" i="3" s="1" a="1"/>
  <c r="L1385" i="3" s="1"/>
  <c r="F1386" i="3"/>
  <c r="G1386" i="3" s="1"/>
  <c r="F1387" i="3"/>
  <c r="H1387" i="3" s="1"/>
  <c r="I1387" i="3" s="1"/>
  <c r="J1387" i="3" s="1"/>
  <c r="L1387" i="3" s="1" a="1"/>
  <c r="L1387" i="3" s="1"/>
  <c r="G1387" i="3"/>
  <c r="F1388" i="3"/>
  <c r="F1389" i="3"/>
  <c r="F1390" i="3"/>
  <c r="G1390" i="3" s="1"/>
  <c r="H1390" i="3"/>
  <c r="I1390" i="3" s="1"/>
  <c r="J1390" i="3" s="1"/>
  <c r="L1390" i="3" s="1" a="1"/>
  <c r="L1390" i="3" s="1"/>
  <c r="F1391" i="3"/>
  <c r="G1391" i="3"/>
  <c r="H1391" i="3"/>
  <c r="I1391" i="3" s="1"/>
  <c r="J1391" i="3" s="1"/>
  <c r="L1391" i="3" s="1" a="1"/>
  <c r="L1391" i="3" s="1"/>
  <c r="F1392" i="3"/>
  <c r="F1393" i="3"/>
  <c r="H1393" i="3" s="1"/>
  <c r="I1393" i="3" s="1"/>
  <c r="J1393" i="3" s="1"/>
  <c r="L1393" i="3" s="1" a="1"/>
  <c r="L1393" i="3" s="1"/>
  <c r="F1394" i="3"/>
  <c r="G1394" i="3"/>
  <c r="H1394" i="3"/>
  <c r="I1394" i="3" s="1"/>
  <c r="J1394" i="3" s="1"/>
  <c r="L1394" i="3" s="1" a="1"/>
  <c r="L1394" i="3" s="1"/>
  <c r="F1395" i="3"/>
  <c r="G1395" i="3" s="1"/>
  <c r="F1396" i="3"/>
  <c r="H1396" i="3" s="1"/>
  <c r="I1396" i="3" s="1"/>
  <c r="J1396" i="3" s="1"/>
  <c r="L1396" i="3" s="1" a="1"/>
  <c r="L1396" i="3" s="1"/>
  <c r="F1397" i="3"/>
  <c r="F1398" i="3"/>
  <c r="G1398" i="3" s="1"/>
  <c r="H1398" i="3"/>
  <c r="I1398" i="3" s="1"/>
  <c r="J1398" i="3" s="1"/>
  <c r="L1398" i="3" s="1" a="1"/>
  <c r="L1398" i="3" s="1"/>
  <c r="K1398" i="3"/>
  <c r="F1399" i="3"/>
  <c r="G1399" i="3" s="1"/>
  <c r="F1400" i="3"/>
  <c r="K1400" i="3"/>
  <c r="F1401" i="3"/>
  <c r="K1401" i="3"/>
  <c r="F1402" i="3"/>
  <c r="G1402" i="3" s="1"/>
  <c r="F1403" i="3"/>
  <c r="F1404" i="3"/>
  <c r="F1405" i="3"/>
  <c r="F1406" i="3"/>
  <c r="G1406" i="3"/>
  <c r="H1406" i="3"/>
  <c r="I1406" i="3" s="1"/>
  <c r="J1406" i="3" s="1"/>
  <c r="L1406" i="3" s="1" a="1"/>
  <c r="L1406" i="3" s="1"/>
  <c r="F1407" i="3"/>
  <c r="H1407" i="3" s="1"/>
  <c r="I1407" i="3" s="1"/>
  <c r="J1407" i="3" s="1"/>
  <c r="L1407" i="3" s="1" a="1"/>
  <c r="G1407" i="3"/>
  <c r="L1407" i="3"/>
  <c r="F1408" i="3"/>
  <c r="F1409" i="3"/>
  <c r="H1409" i="3" s="1"/>
  <c r="I1409" i="3" s="1"/>
  <c r="J1409" i="3" s="1"/>
  <c r="L1409" i="3" s="1" a="1"/>
  <c r="G1409" i="3"/>
  <c r="L1409" i="3"/>
  <c r="F1410" i="3"/>
  <c r="F1411" i="3"/>
  <c r="H1411" i="3" s="1"/>
  <c r="I1411" i="3" s="1"/>
  <c r="J1411" i="3" s="1"/>
  <c r="L1411" i="3" s="1" a="1"/>
  <c r="L1411" i="3" s="1"/>
  <c r="F1412" i="3"/>
  <c r="F1413" i="3"/>
  <c r="G1413" i="3" s="1"/>
  <c r="H1413" i="3"/>
  <c r="I1413" i="3" s="1"/>
  <c r="J1413" i="3" s="1"/>
  <c r="L1413" i="3" s="1" a="1"/>
  <c r="L1413" i="3" s="1"/>
  <c r="F1414" i="3"/>
  <c r="H1414" i="3" s="1"/>
  <c r="I1414" i="3" s="1"/>
  <c r="J1414" i="3" s="1"/>
  <c r="L1414" i="3" s="1" a="1"/>
  <c r="L1414" i="3" s="1"/>
  <c r="F1415" i="3"/>
  <c r="F1416" i="3"/>
  <c r="F1417" i="3"/>
  <c r="G1417" i="3" s="1"/>
  <c r="H1417" i="3"/>
  <c r="I1417" i="3" s="1"/>
  <c r="J1417" i="3" s="1"/>
  <c r="L1417" i="3" s="1" a="1"/>
  <c r="L1417" i="3"/>
  <c r="F1418" i="3"/>
  <c r="G1418" i="3" s="1"/>
  <c r="H1418" i="3"/>
  <c r="I1418" i="3" s="1"/>
  <c r="J1418" i="3" s="1"/>
  <c r="L1418" i="3" s="1" a="1"/>
  <c r="L1418" i="3" s="1"/>
  <c r="F1419" i="3"/>
  <c r="G1419" i="3" s="1"/>
  <c r="F1420" i="3"/>
  <c r="G1420" i="3"/>
  <c r="H1420" i="3"/>
  <c r="I1420" i="3"/>
  <c r="J1420" i="3" s="1"/>
  <c r="L1420" i="3" s="1" a="1"/>
  <c r="L1420" i="3" s="1"/>
  <c r="F1421" i="3"/>
  <c r="H1421" i="3" s="1"/>
  <c r="I1421" i="3" s="1"/>
  <c r="J1421" i="3" s="1"/>
  <c r="L1421" i="3" s="1" a="1"/>
  <c r="L1421" i="3" s="1"/>
  <c r="K1421" i="3"/>
  <c r="F1422" i="3"/>
  <c r="K1422" i="3"/>
  <c r="F1423" i="3"/>
  <c r="H1423" i="3" s="1"/>
  <c r="I1423" i="3"/>
  <c r="J1423" i="3" s="1"/>
  <c r="L1423" i="3" s="1" a="1"/>
  <c r="L1423" i="3" s="1"/>
  <c r="K1423" i="3"/>
  <c r="F1424" i="3"/>
  <c r="H1424" i="3" s="1"/>
  <c r="I1424" i="3" s="1"/>
  <c r="J1424" i="3" s="1"/>
  <c r="L1424" i="3" s="1" a="1"/>
  <c r="L1424" i="3" s="1"/>
  <c r="G1424" i="3"/>
  <c r="K1424" i="3"/>
  <c r="F1425" i="3"/>
  <c r="H1425" i="3" s="1"/>
  <c r="I1425" i="3" s="1"/>
  <c r="J1425" i="3" s="1"/>
  <c r="L1425" i="3" s="1" a="1"/>
  <c r="L1425" i="3" s="1"/>
  <c r="F1426" i="3"/>
  <c r="K1426" i="3"/>
  <c r="F1427" i="3"/>
  <c r="G1427" i="3" s="1"/>
  <c r="H1427" i="3"/>
  <c r="I1427" i="3" s="1"/>
  <c r="J1427" i="3" s="1"/>
  <c r="L1427" i="3" s="1" a="1"/>
  <c r="L1427" i="3" s="1"/>
  <c r="K1427" i="3"/>
  <c r="F1428" i="3"/>
  <c r="F1429" i="3"/>
  <c r="F1430" i="3"/>
  <c r="G1430" i="3" s="1"/>
  <c r="F1431" i="3"/>
  <c r="G1431" i="3" s="1"/>
  <c r="F1432" i="3"/>
  <c r="G1432" i="3" s="1"/>
  <c r="F1433" i="3"/>
  <c r="G1433" i="3"/>
  <c r="H1433" i="3"/>
  <c r="I1433" i="3" s="1"/>
  <c r="J1433" i="3" s="1"/>
  <c r="L1433" i="3" s="1" a="1"/>
  <c r="L1433" i="3" s="1"/>
  <c r="F1434" i="3"/>
  <c r="F1435" i="3"/>
  <c r="H1435" i="3" s="1"/>
  <c r="I1435" i="3" s="1"/>
  <c r="J1435" i="3" s="1"/>
  <c r="L1435" i="3" s="1" a="1"/>
  <c r="L1435" i="3" s="1"/>
  <c r="F1436" i="3"/>
  <c r="F1437" i="3"/>
  <c r="G1437" i="3" s="1"/>
  <c r="H1437" i="3"/>
  <c r="I1437" i="3" s="1"/>
  <c r="J1437" i="3" s="1"/>
  <c r="L1437" i="3" s="1" a="1"/>
  <c r="L1437" i="3" s="1"/>
  <c r="F1438" i="3"/>
  <c r="G1438" i="3" s="1"/>
  <c r="F1439" i="3"/>
  <c r="K1439" i="3"/>
  <c r="F1440" i="3"/>
  <c r="G1440" i="3"/>
  <c r="H1440" i="3"/>
  <c r="I1440" i="3" s="1"/>
  <c r="J1440" i="3" s="1"/>
  <c r="L1440" i="3" s="1" a="1"/>
  <c r="L1440" i="3" s="1"/>
  <c r="K1440" i="3"/>
  <c r="F1441" i="3"/>
  <c r="F1442" i="3"/>
  <c r="G1442" i="3"/>
  <c r="H1442" i="3"/>
  <c r="I1442" i="3" s="1"/>
  <c r="J1442" i="3" s="1"/>
  <c r="L1442" i="3" s="1" a="1"/>
  <c r="L1442" i="3" s="1"/>
  <c r="F1443" i="3"/>
  <c r="G1443" i="3" s="1"/>
  <c r="F1444" i="3"/>
  <c r="F1445" i="3"/>
  <c r="F1446" i="3"/>
  <c r="F1447" i="3"/>
  <c r="K1447" i="3"/>
  <c r="F1448" i="3"/>
  <c r="F1449" i="3"/>
  <c r="F1450" i="3"/>
  <c r="G1450" i="3" s="1"/>
  <c r="H1450" i="3"/>
  <c r="I1450" i="3" s="1"/>
  <c r="J1450" i="3" s="1"/>
  <c r="L1450" i="3" s="1" a="1"/>
  <c r="L1450" i="3" s="1"/>
  <c r="F1451" i="3"/>
  <c r="G1451" i="3" s="1"/>
  <c r="F1452" i="3"/>
  <c r="F1453" i="3"/>
  <c r="G1453" i="3" s="1"/>
  <c r="F1454" i="3"/>
  <c r="G1454" i="3" s="1"/>
  <c r="H1454" i="3"/>
  <c r="I1454" i="3" s="1"/>
  <c r="J1454" i="3"/>
  <c r="L1454" i="3" s="1" a="1"/>
  <c r="L1454" i="3" s="1"/>
  <c r="F1455" i="3"/>
  <c r="G1455" i="3" s="1"/>
  <c r="F1456" i="3"/>
  <c r="G1456" i="3" s="1"/>
  <c r="F1457" i="3"/>
  <c r="G1457" i="3"/>
  <c r="H1457" i="3"/>
  <c r="I1457" i="3" s="1"/>
  <c r="J1457" i="3" s="1"/>
  <c r="L1457" i="3" s="1" a="1"/>
  <c r="L1457" i="3" s="1"/>
  <c r="F1458" i="3"/>
  <c r="G1458" i="3"/>
  <c r="H1458" i="3"/>
  <c r="I1458" i="3"/>
  <c r="J1458" i="3" s="1"/>
  <c r="L1458" i="3" s="1" a="1"/>
  <c r="L1458" i="3" s="1"/>
  <c r="F1459" i="3"/>
  <c r="G1459" i="3" s="1"/>
  <c r="H1459" i="3"/>
  <c r="I1459" i="3" s="1"/>
  <c r="J1459" i="3" s="1"/>
  <c r="L1459" i="3" s="1" a="1"/>
  <c r="L1459" i="3" s="1"/>
  <c r="F1460" i="3"/>
  <c r="F1461" i="3"/>
  <c r="G1461" i="3" s="1"/>
  <c r="F1462" i="3"/>
  <c r="G1462" i="3" s="1"/>
  <c r="H1462" i="3"/>
  <c r="I1462" i="3" s="1"/>
  <c r="J1462" i="3" s="1"/>
  <c r="L1462" i="3" s="1" a="1"/>
  <c r="L1462" i="3" s="1"/>
  <c r="F1463" i="3"/>
  <c r="G1463" i="3" s="1"/>
  <c r="H1463" i="3"/>
  <c r="I1463" i="3" s="1"/>
  <c r="J1463" i="3" s="1"/>
  <c r="L1463" i="3" s="1" a="1"/>
  <c r="L1463" i="3" s="1"/>
  <c r="F1464" i="3"/>
  <c r="G1464" i="3" s="1"/>
  <c r="K1464" i="3"/>
  <c r="F1465" i="3"/>
  <c r="F1466" i="3"/>
  <c r="H1466" i="3" s="1"/>
  <c r="I1466" i="3" s="1"/>
  <c r="J1466" i="3" s="1"/>
  <c r="L1466" i="3" s="1" a="1"/>
  <c r="L1466" i="3" s="1"/>
  <c r="G1466" i="3"/>
  <c r="F1467" i="3"/>
  <c r="H1467" i="3" s="1"/>
  <c r="I1467" i="3" s="1"/>
  <c r="J1467" i="3" s="1"/>
  <c r="L1467" i="3" s="1" a="1"/>
  <c r="L1467" i="3" s="1"/>
  <c r="F1468" i="3"/>
  <c r="G1468" i="3" s="1"/>
  <c r="H1468" i="3"/>
  <c r="I1468" i="3" s="1"/>
  <c r="J1468" i="3" s="1"/>
  <c r="L1468" i="3" s="1" a="1"/>
  <c r="L1468" i="3" s="1"/>
  <c r="F1469" i="3"/>
  <c r="H1469" i="3" s="1"/>
  <c r="I1469" i="3" s="1"/>
  <c r="G1469" i="3"/>
  <c r="J1469" i="3"/>
  <c r="L1469" i="3" s="1" a="1"/>
  <c r="L1469" i="3" s="1"/>
  <c r="F1470" i="3"/>
  <c r="F1471" i="3"/>
  <c r="F1472" i="3"/>
  <c r="F1473" i="3"/>
  <c r="G1473" i="3"/>
  <c r="H1473" i="3"/>
  <c r="I1473" i="3" s="1"/>
  <c r="J1473" i="3"/>
  <c r="L1473" i="3" s="1" a="1"/>
  <c r="L1473" i="3" s="1"/>
  <c r="F1474" i="3"/>
  <c r="G1474" i="3" s="1"/>
  <c r="F1475" i="3"/>
  <c r="F1476" i="3"/>
  <c r="H1476" i="3" s="1"/>
  <c r="G1476" i="3"/>
  <c r="I1476" i="3"/>
  <c r="J1476" i="3" s="1"/>
  <c r="L1476" i="3" s="1" a="1"/>
  <c r="L1476" i="3" s="1"/>
  <c r="F1477" i="3"/>
  <c r="F1478" i="3"/>
  <c r="F1479" i="3"/>
  <c r="G1479" i="3" s="1"/>
  <c r="F1480" i="3"/>
  <c r="G1480" i="3" s="1"/>
  <c r="H1480" i="3"/>
  <c r="I1480" i="3" s="1"/>
  <c r="J1480" i="3" s="1"/>
  <c r="L1480" i="3" s="1" a="1"/>
  <c r="L1480" i="3" s="1"/>
  <c r="F1481" i="3"/>
  <c r="G1481" i="3" s="1"/>
  <c r="F1482" i="3"/>
  <c r="F1483" i="3"/>
  <c r="G1483" i="3"/>
  <c r="H1483" i="3"/>
  <c r="I1483" i="3" s="1"/>
  <c r="J1483" i="3" s="1"/>
  <c r="L1483" i="3" s="1" a="1"/>
  <c r="L1483" i="3" s="1"/>
  <c r="F1484" i="3"/>
  <c r="F1485" i="3"/>
  <c r="G1485" i="3" s="1"/>
  <c r="H1485" i="3"/>
  <c r="I1485" i="3" s="1"/>
  <c r="J1485" i="3" s="1"/>
  <c r="L1485" i="3" s="1" a="1"/>
  <c r="L1485" i="3" s="1"/>
  <c r="K1485" i="3"/>
  <c r="F1486" i="3"/>
  <c r="F1487" i="3"/>
  <c r="F1488" i="3"/>
  <c r="G1488" i="3" s="1"/>
  <c r="K1488" i="3"/>
  <c r="F1489" i="3"/>
  <c r="G1489" i="3"/>
  <c r="H1489" i="3"/>
  <c r="I1489" i="3" s="1"/>
  <c r="J1489" i="3" s="1"/>
  <c r="L1489" i="3" s="1" a="1"/>
  <c r="L1489" i="3" s="1"/>
  <c r="F1490" i="3"/>
  <c r="G1490" i="3"/>
  <c r="H1490" i="3"/>
  <c r="I1490" i="3"/>
  <c r="J1490" i="3" s="1"/>
  <c r="L1490" i="3" s="1" a="1"/>
  <c r="L1490" i="3" s="1"/>
  <c r="K1490" i="3"/>
  <c r="F1491" i="3"/>
  <c r="F1492" i="3"/>
  <c r="H1492" i="3" s="1"/>
  <c r="I1492" i="3" s="1"/>
  <c r="J1492" i="3" s="1"/>
  <c r="L1492" i="3" s="1" a="1"/>
  <c r="L1492" i="3" s="1"/>
  <c r="F1493" i="3"/>
  <c r="F1494" i="3"/>
  <c r="G1494" i="3" s="1"/>
  <c r="H1494" i="3"/>
  <c r="I1494" i="3" s="1"/>
  <c r="J1494" i="3" s="1"/>
  <c r="L1494" i="3" s="1" a="1"/>
  <c r="L1494" i="3" s="1"/>
  <c r="F1495" i="3"/>
  <c r="G1495" i="3"/>
  <c r="H1495" i="3"/>
  <c r="I1495" i="3" s="1"/>
  <c r="J1495" i="3" s="1"/>
  <c r="L1495" i="3" s="1" a="1"/>
  <c r="L1495" i="3" s="1"/>
  <c r="K1495" i="3"/>
  <c r="F1496" i="3"/>
  <c r="F1497" i="3"/>
  <c r="H1497" i="3" s="1"/>
  <c r="G1497" i="3"/>
  <c r="I1497" i="3"/>
  <c r="J1497" i="3" s="1"/>
  <c r="L1497" i="3" s="1" a="1"/>
  <c r="L1497" i="3" s="1"/>
  <c r="F1498" i="3"/>
  <c r="H1498" i="3" s="1"/>
  <c r="I1498" i="3" s="1"/>
  <c r="J1498" i="3" s="1"/>
  <c r="L1498" i="3" s="1" a="1"/>
  <c r="L1498" i="3" s="1"/>
  <c r="F1499" i="3"/>
  <c r="G1499" i="3"/>
  <c r="H1499" i="3"/>
  <c r="I1499" i="3"/>
  <c r="J1499" i="3" s="1"/>
  <c r="L1499" i="3" s="1" a="1"/>
  <c r="L1499" i="3" s="1"/>
  <c r="F1500" i="3"/>
  <c r="G1500" i="3"/>
  <c r="H1500" i="3"/>
  <c r="I1500" i="3" s="1"/>
  <c r="J1500" i="3" s="1"/>
  <c r="L1500" i="3" s="1" a="1"/>
  <c r="L1500" i="3" s="1"/>
  <c r="F1501" i="3"/>
  <c r="G1501" i="3"/>
  <c r="H1501" i="3"/>
  <c r="I1501" i="3" s="1"/>
  <c r="J1501" i="3" s="1"/>
  <c r="L1501" i="3" s="1" a="1"/>
  <c r="L1501" i="3" s="1"/>
  <c r="F1502" i="3"/>
  <c r="F1503" i="3"/>
  <c r="H1503" i="3" s="1"/>
  <c r="I1503" i="3" s="1"/>
  <c r="J1503" i="3" s="1"/>
  <c r="L1503" i="3" s="1" a="1"/>
  <c r="L1503" i="3" s="1"/>
  <c r="K1503" i="3"/>
  <c r="F1504" i="3"/>
  <c r="G1504" i="3" s="1"/>
  <c r="K1504" i="3"/>
  <c r="F1505" i="3"/>
  <c r="H1505" i="3" s="1"/>
  <c r="I1505" i="3" s="1"/>
  <c r="J1505" i="3" s="1"/>
  <c r="L1505" i="3" s="1" a="1"/>
  <c r="L1505" i="3" s="1"/>
  <c r="G1505" i="3"/>
  <c r="F1506" i="3"/>
  <c r="F1507" i="3"/>
  <c r="H1507" i="3" s="1"/>
  <c r="I1507" i="3" s="1"/>
  <c r="J1507" i="3" s="1"/>
  <c r="L1507" i="3" s="1" a="1"/>
  <c r="L1507" i="3" s="1"/>
  <c r="F1508" i="3"/>
  <c r="H1508" i="3" s="1"/>
  <c r="I1508" i="3" s="1"/>
  <c r="G1508" i="3"/>
  <c r="J1508" i="3"/>
  <c r="L1508" i="3" s="1" a="1"/>
  <c r="L1508" i="3" s="1"/>
  <c r="F1509" i="3"/>
  <c r="F1510" i="3"/>
  <c r="G1510" i="3"/>
  <c r="H1510" i="3"/>
  <c r="I1510" i="3" s="1"/>
  <c r="J1510" i="3" s="1"/>
  <c r="L1510" i="3" s="1" a="1"/>
  <c r="L1510" i="3" s="1"/>
  <c r="F1511" i="3"/>
  <c r="G1511" i="3" s="1"/>
  <c r="H1511" i="3"/>
  <c r="I1511" i="3" s="1"/>
  <c r="J1511" i="3" s="1"/>
  <c r="L1511" i="3" s="1" a="1"/>
  <c r="L1511" i="3" s="1"/>
  <c r="K1511" i="3"/>
  <c r="F1512" i="3"/>
  <c r="F1513" i="3"/>
  <c r="G1513" i="3" s="1"/>
  <c r="F1514" i="3"/>
  <c r="F1515" i="3"/>
  <c r="F1516" i="3"/>
  <c r="G1516" i="3"/>
  <c r="H1516" i="3"/>
  <c r="I1516" i="3" s="1"/>
  <c r="J1516" i="3" s="1"/>
  <c r="L1516" i="3" s="1" a="1"/>
  <c r="L1516" i="3" s="1"/>
  <c r="K1516" i="3"/>
  <c r="F1517" i="3"/>
  <c r="H1517" i="3" s="1"/>
  <c r="I1517" i="3" s="1"/>
  <c r="J1517" i="3" s="1"/>
  <c r="L1517" i="3" s="1" a="1"/>
  <c r="L1517" i="3" s="1"/>
  <c r="F1518" i="3"/>
  <c r="G1518" i="3" s="1"/>
  <c r="F1519" i="3"/>
  <c r="G1519" i="3" s="1"/>
  <c r="F1520" i="3"/>
  <c r="F1521" i="3"/>
  <c r="G1521" i="3"/>
  <c r="H1521" i="3"/>
  <c r="I1521" i="3" s="1"/>
  <c r="J1521" i="3" s="1"/>
  <c r="L1521" i="3" s="1" a="1"/>
  <c r="L1521" i="3" s="1"/>
  <c r="F1522" i="3"/>
  <c r="G1522" i="3" s="1"/>
  <c r="H1522" i="3"/>
  <c r="I1522" i="3" s="1"/>
  <c r="J1522" i="3" s="1"/>
  <c r="L1522" i="3" s="1" a="1"/>
  <c r="L1522" i="3" s="1"/>
  <c r="F1523" i="3"/>
  <c r="G1523" i="3" s="1"/>
  <c r="H1523" i="3"/>
  <c r="I1523" i="3" s="1"/>
  <c r="J1523" i="3" s="1"/>
  <c r="L1523" i="3" s="1" a="1"/>
  <c r="L1523" i="3" s="1"/>
  <c r="F1524" i="3"/>
  <c r="G1524" i="3" s="1"/>
  <c r="H1524" i="3"/>
  <c r="I1524" i="3" s="1"/>
  <c r="J1524" i="3" s="1"/>
  <c r="L1524" i="3" s="1" a="1"/>
  <c r="L1524" i="3" s="1"/>
  <c r="F1525" i="3"/>
  <c r="G1525" i="3" s="1"/>
  <c r="F1526" i="3"/>
  <c r="H1526" i="3" s="1"/>
  <c r="I1526" i="3" s="1"/>
  <c r="J1526" i="3" s="1"/>
  <c r="L1526" i="3" s="1" a="1"/>
  <c r="L1526" i="3" s="1"/>
  <c r="G1526" i="3"/>
  <c r="K1526" i="3"/>
  <c r="F1527" i="3"/>
  <c r="G1527" i="3" s="1"/>
  <c r="F1528" i="3"/>
  <c r="K1528" i="3"/>
  <c r="F1529" i="3"/>
  <c r="F1530" i="3"/>
  <c r="G1530" i="3"/>
  <c r="H1530" i="3"/>
  <c r="I1530" i="3" s="1"/>
  <c r="J1530" i="3" s="1"/>
  <c r="L1530" i="3" s="1" a="1"/>
  <c r="L1530" i="3" s="1"/>
  <c r="F1531" i="3"/>
  <c r="F1532" i="3"/>
  <c r="H1532" i="3" s="1"/>
  <c r="I1532" i="3" s="1"/>
  <c r="J1532" i="3" s="1"/>
  <c r="L1532" i="3" s="1" a="1"/>
  <c r="L1532" i="3" s="1"/>
  <c r="G1532" i="3"/>
  <c r="F1533" i="3"/>
  <c r="H1533" i="3" s="1"/>
  <c r="I1533" i="3" s="1"/>
  <c r="J1533" i="3" s="1"/>
  <c r="L1533" i="3" s="1" a="1"/>
  <c r="L1533" i="3" s="1"/>
  <c r="F1534" i="3"/>
  <c r="G1534" i="3" s="1"/>
  <c r="F1535" i="3"/>
  <c r="G1535" i="3"/>
  <c r="H1535" i="3"/>
  <c r="I1535" i="3" s="1"/>
  <c r="J1535" i="3" s="1"/>
  <c r="L1535" i="3" s="1" a="1"/>
  <c r="L1535" i="3" s="1"/>
  <c r="F1536" i="3"/>
  <c r="F1537" i="3"/>
  <c r="G1537" i="3" s="1"/>
  <c r="F1538" i="3"/>
  <c r="H1538" i="3" s="1"/>
  <c r="I1538" i="3" s="1"/>
  <c r="J1538" i="3" s="1"/>
  <c r="L1538" i="3" s="1" a="1"/>
  <c r="L1538" i="3" s="1"/>
  <c r="F1539" i="3"/>
  <c r="G1539" i="3"/>
  <c r="H1539" i="3"/>
  <c r="I1539" i="3" s="1"/>
  <c r="J1539" i="3" s="1"/>
  <c r="L1539" i="3" s="1" a="1"/>
  <c r="L1539" i="3" s="1"/>
  <c r="F1540" i="3"/>
  <c r="F1541" i="3"/>
  <c r="G1541" i="3" s="1"/>
  <c r="H1541" i="3"/>
  <c r="I1541" i="3" s="1"/>
  <c r="J1541" i="3" s="1"/>
  <c r="L1541" i="3" s="1" a="1"/>
  <c r="L1541" i="3" s="1"/>
  <c r="F1542" i="3"/>
  <c r="G1542" i="3" s="1"/>
  <c r="F1543" i="3"/>
  <c r="G1543" i="3" s="1"/>
  <c r="F1544" i="3"/>
  <c r="G1544" i="3"/>
  <c r="H1544" i="3"/>
  <c r="I1544" i="3" s="1"/>
  <c r="J1544" i="3" s="1"/>
  <c r="L1544" i="3" s="1" a="1"/>
  <c r="L1544" i="3" s="1"/>
  <c r="F1545" i="3"/>
  <c r="F1546" i="3"/>
  <c r="G1546" i="3" s="1"/>
  <c r="F1547" i="3"/>
  <c r="H1547" i="3" s="1"/>
  <c r="I1547" i="3" s="1"/>
  <c r="J1547" i="3" s="1"/>
  <c r="L1547" i="3" s="1" a="1"/>
  <c r="L1547" i="3" s="1"/>
  <c r="F1548" i="3"/>
  <c r="K1548" i="3"/>
  <c r="F1549" i="3"/>
  <c r="H1549" i="3" s="1"/>
  <c r="I1549" i="3" s="1"/>
  <c r="J1549" i="3" s="1"/>
  <c r="L1549" i="3" s="1" a="1"/>
  <c r="L1549" i="3" s="1"/>
  <c r="F1550" i="3"/>
  <c r="H1550" i="3" s="1"/>
  <c r="I1550" i="3" s="1"/>
  <c r="J1550" i="3" s="1"/>
  <c r="L1550" i="3" s="1" a="1"/>
  <c r="L1550" i="3" s="1"/>
  <c r="K1550" i="3"/>
  <c r="F1551" i="3"/>
  <c r="F1552" i="3"/>
  <c r="G1552" i="3" s="1"/>
  <c r="H1552" i="3"/>
  <c r="I1552" i="3" s="1"/>
  <c r="J1552" i="3" s="1"/>
  <c r="L1552" i="3" s="1" a="1"/>
  <c r="L1552" i="3" s="1"/>
  <c r="F1553" i="3"/>
  <c r="H1553" i="3" s="1"/>
  <c r="I1553" i="3" s="1"/>
  <c r="J1553" i="3" s="1"/>
  <c r="L1553" i="3" s="1" a="1"/>
  <c r="L1553" i="3" s="1"/>
  <c r="F1554" i="3"/>
  <c r="F1555" i="3"/>
  <c r="H1555" i="3" s="1"/>
  <c r="I1555" i="3" s="1"/>
  <c r="J1555" i="3" s="1"/>
  <c r="L1555" i="3" s="1" a="1"/>
  <c r="L1555" i="3" s="1"/>
  <c r="K1555" i="3"/>
  <c r="F1556" i="3"/>
  <c r="F1557" i="3"/>
  <c r="G1557" i="3" s="1"/>
  <c r="H1557" i="3"/>
  <c r="I1557" i="3" s="1"/>
  <c r="J1557" i="3" s="1"/>
  <c r="L1557" i="3" s="1" a="1"/>
  <c r="L1557" i="3" s="1"/>
  <c r="K1557" i="3"/>
  <c r="F1558" i="3"/>
  <c r="H1558" i="3" s="1"/>
  <c r="I1558" i="3" s="1"/>
  <c r="J1558" i="3" s="1"/>
  <c r="L1558" i="3" s="1" a="1"/>
  <c r="L1558" i="3" s="1"/>
  <c r="F1559" i="3"/>
  <c r="H1559" i="3" s="1"/>
  <c r="I1559" i="3" s="1"/>
  <c r="J1559" i="3" s="1"/>
  <c r="L1559" i="3" s="1" a="1"/>
  <c r="L1559" i="3" s="1"/>
  <c r="G1559" i="3"/>
  <c r="F1560" i="3"/>
  <c r="G1560" i="3" s="1"/>
  <c r="K1560" i="3"/>
  <c r="F1561" i="3"/>
  <c r="G1561" i="3" s="1"/>
  <c r="F1562" i="3"/>
  <c r="H1562" i="3" s="1"/>
  <c r="I1562" i="3" s="1"/>
  <c r="G1562" i="3"/>
  <c r="J1562" i="3"/>
  <c r="L1562" i="3" s="1" a="1"/>
  <c r="L1562" i="3" s="1"/>
  <c r="F1563" i="3"/>
  <c r="G1563" i="3" s="1"/>
  <c r="F1564" i="3"/>
  <c r="H1564" i="3" s="1"/>
  <c r="I1564" i="3" s="1"/>
  <c r="J1564" i="3" s="1"/>
  <c r="L1564" i="3" s="1" a="1"/>
  <c r="L1564" i="3" s="1"/>
  <c r="G1564" i="3"/>
  <c r="F1565" i="3"/>
  <c r="G1565" i="3"/>
  <c r="H1565" i="3"/>
  <c r="I1565" i="3" s="1"/>
  <c r="J1565" i="3" s="1"/>
  <c r="L1565" i="3" s="1" a="1"/>
  <c r="L1565" i="3" s="1"/>
  <c r="F1566" i="3"/>
  <c r="G1566" i="3"/>
  <c r="H1566" i="3"/>
  <c r="I1566" i="3" s="1"/>
  <c r="J1566" i="3" s="1"/>
  <c r="L1566" i="3" s="1" a="1"/>
  <c r="L1566" i="3"/>
  <c r="F1567" i="3"/>
  <c r="F1568" i="3"/>
  <c r="H1568" i="3" s="1"/>
  <c r="I1568" i="3" s="1"/>
  <c r="G1568" i="3"/>
  <c r="J1568" i="3"/>
  <c r="L1568" i="3" s="1" a="1"/>
  <c r="L1568" i="3" s="1"/>
  <c r="F1569" i="3"/>
  <c r="G1569" i="3" s="1"/>
  <c r="F1570" i="3"/>
  <c r="H1570" i="3" s="1"/>
  <c r="I1570" i="3" s="1"/>
  <c r="J1570" i="3" s="1"/>
  <c r="L1570" i="3" s="1" a="1"/>
  <c r="L1570" i="3" s="1"/>
  <c r="G1570" i="3"/>
  <c r="F1571" i="3"/>
  <c r="F1572" i="3"/>
  <c r="G1572" i="3" s="1"/>
  <c r="F1573" i="3"/>
  <c r="F1574" i="3"/>
  <c r="G1574" i="3"/>
  <c r="H1574" i="3"/>
  <c r="I1574" i="3" s="1"/>
  <c r="J1574" i="3" s="1"/>
  <c r="L1574" i="3" s="1" a="1"/>
  <c r="L1574" i="3" s="1"/>
  <c r="F1575" i="3"/>
  <c r="F1576" i="3"/>
  <c r="H1576" i="3" s="1"/>
  <c r="I1576" i="3" s="1"/>
  <c r="J1576" i="3" s="1"/>
  <c r="L1576" i="3" s="1" a="1"/>
  <c r="L1576" i="3" s="1"/>
  <c r="K1576" i="3"/>
  <c r="F1577" i="3"/>
  <c r="G1577" i="3" s="1"/>
  <c r="H1577" i="3"/>
  <c r="I1577" i="3" s="1"/>
  <c r="J1577" i="3" s="1"/>
  <c r="L1577" i="3" s="1" a="1"/>
  <c r="L1577" i="3" s="1"/>
  <c r="F1578" i="3"/>
  <c r="F1579" i="3"/>
  <c r="G1579" i="3" s="1"/>
  <c r="F1580" i="3"/>
  <c r="G1580" i="3"/>
  <c r="H1580" i="3"/>
  <c r="I1580" i="3"/>
  <c r="J1580" i="3" s="1"/>
  <c r="L1580" i="3" s="1" a="1"/>
  <c r="L1580" i="3" s="1"/>
  <c r="F1581" i="3"/>
  <c r="H1581" i="3" s="1"/>
  <c r="I1581" i="3" s="1"/>
  <c r="G1581" i="3"/>
  <c r="J1581" i="3"/>
  <c r="L1581" i="3" a="1"/>
  <c r="L1581" i="3" s="1"/>
  <c r="F1582" i="3"/>
  <c r="F1583" i="3"/>
  <c r="G1583" i="3" s="1"/>
  <c r="F1584" i="3"/>
  <c r="G1584" i="3" s="1"/>
  <c r="F1585" i="3"/>
  <c r="H1585" i="3" s="1"/>
  <c r="G1585" i="3"/>
  <c r="I1585" i="3"/>
  <c r="J1585" i="3" s="1"/>
  <c r="L1585" i="3" s="1" a="1"/>
  <c r="L1585" i="3" s="1"/>
  <c r="F1586" i="3"/>
  <c r="G1586" i="3" s="1"/>
  <c r="F1587" i="3"/>
  <c r="G1587" i="3"/>
  <c r="H1587" i="3"/>
  <c r="I1587" i="3" s="1"/>
  <c r="J1587" i="3" s="1"/>
  <c r="L1587" i="3" s="1" a="1"/>
  <c r="L1587" i="3" s="1"/>
  <c r="F1588" i="3"/>
  <c r="F1589" i="3"/>
  <c r="F1590" i="3"/>
  <c r="G1590" i="3" s="1"/>
  <c r="F1591" i="3"/>
  <c r="H1591" i="3" s="1"/>
  <c r="I1591" i="3" s="1"/>
  <c r="J1591" i="3" s="1"/>
  <c r="L1591" i="3" s="1" a="1"/>
  <c r="L1591" i="3" s="1"/>
  <c r="G1591" i="3"/>
  <c r="K1591" i="3"/>
  <c r="F1592" i="3"/>
  <c r="G1592" i="3" s="1"/>
  <c r="H1592" i="3"/>
  <c r="I1592" i="3" s="1"/>
  <c r="J1592" i="3" s="1"/>
  <c r="L1592" i="3" a="1"/>
  <c r="L1592" i="3" s="1"/>
  <c r="F1593" i="3"/>
  <c r="H1593" i="3" s="1"/>
  <c r="I1593" i="3" s="1"/>
  <c r="J1593" i="3" s="1"/>
  <c r="L1593" i="3" s="1" a="1"/>
  <c r="L1593" i="3" s="1"/>
  <c r="K1593" i="3"/>
  <c r="F1594" i="3"/>
  <c r="F1595" i="3"/>
  <c r="F1596" i="3"/>
  <c r="H1596" i="3" s="1"/>
  <c r="I1596" i="3" s="1"/>
  <c r="J1596" i="3" s="1"/>
  <c r="L1596" i="3" s="1" a="1"/>
  <c r="L1596" i="3" s="1"/>
  <c r="F1597" i="3"/>
  <c r="H1597" i="3" s="1"/>
  <c r="I1597" i="3" s="1"/>
  <c r="J1597" i="3" s="1"/>
  <c r="L1597" i="3" s="1" a="1"/>
  <c r="L1597" i="3" s="1"/>
  <c r="F1598" i="3"/>
  <c r="G1598" i="3"/>
  <c r="H1598" i="3"/>
  <c r="I1598" i="3"/>
  <c r="J1598" i="3"/>
  <c r="L1598" i="3" s="1" a="1"/>
  <c r="L1598" i="3" s="1"/>
  <c r="F1599" i="3"/>
  <c r="G1599" i="3"/>
  <c r="H1599" i="3"/>
  <c r="I1599" i="3"/>
  <c r="J1599" i="3" s="1"/>
  <c r="L1599" i="3" s="1" a="1"/>
  <c r="L1599" i="3" s="1"/>
  <c r="F1600" i="3"/>
  <c r="F1601" i="3"/>
  <c r="G1601" i="3" s="1"/>
  <c r="F1602" i="3"/>
  <c r="F1603" i="3"/>
  <c r="G1603" i="3" s="1"/>
  <c r="F1604" i="3"/>
  <c r="F1605" i="3"/>
  <c r="G1605" i="3"/>
  <c r="H1605" i="3"/>
  <c r="I1605" i="3" s="1"/>
  <c r="J1605" i="3" s="1"/>
  <c r="L1605" i="3" s="1" a="1"/>
  <c r="L1605" i="3" s="1"/>
  <c r="F1606" i="3"/>
  <c r="G1606" i="3" s="1"/>
  <c r="H1606" i="3"/>
  <c r="I1606" i="3" s="1"/>
  <c r="J1606" i="3" s="1"/>
  <c r="L1606" i="3" s="1" a="1"/>
  <c r="L1606" i="3" s="1"/>
  <c r="F1607" i="3"/>
  <c r="H1607" i="3" s="1"/>
  <c r="I1607" i="3" s="1"/>
  <c r="J1607" i="3" s="1"/>
  <c r="L1607" i="3" s="1" a="1"/>
  <c r="L1607" i="3" s="1"/>
  <c r="F1608" i="3"/>
  <c r="F1609" i="3"/>
  <c r="H1609" i="3" s="1"/>
  <c r="I1609" i="3" s="1"/>
  <c r="J1609" i="3" s="1"/>
  <c r="L1609" i="3" s="1" a="1"/>
  <c r="L1609" i="3" s="1"/>
  <c r="G1609" i="3"/>
  <c r="F1610" i="3"/>
  <c r="H1610" i="3" s="1"/>
  <c r="G1610" i="3"/>
  <c r="I1610" i="3"/>
  <c r="J1610" i="3"/>
  <c r="L1610" i="3" a="1"/>
  <c r="L1610" i="3" s="1"/>
  <c r="F1611" i="3"/>
  <c r="F1612" i="3"/>
  <c r="G1612" i="3" s="1"/>
  <c r="F1613" i="3"/>
  <c r="F1614" i="3"/>
  <c r="K1614" i="3"/>
  <c r="F1615" i="3"/>
  <c r="G1615" i="3" s="1"/>
  <c r="F1616" i="3"/>
  <c r="H1616" i="3" s="1"/>
  <c r="I1616" i="3" s="1"/>
  <c r="J1616" i="3" s="1"/>
  <c r="L1616" i="3" s="1" a="1"/>
  <c r="L1616" i="3" s="1"/>
  <c r="G1616" i="3"/>
  <c r="K1616" i="3"/>
  <c r="F1617" i="3"/>
  <c r="G1617" i="3" s="1"/>
  <c r="K1617" i="3"/>
  <c r="F1618" i="3"/>
  <c r="G1618" i="3"/>
  <c r="H1618" i="3"/>
  <c r="I1618" i="3" s="1"/>
  <c r="J1618" i="3" s="1"/>
  <c r="L1618" i="3" s="1" a="1"/>
  <c r="L1618" i="3" s="1"/>
  <c r="K1618" i="3"/>
  <c r="F1619" i="3"/>
  <c r="H1619" i="3" s="1"/>
  <c r="I1619" i="3" s="1"/>
  <c r="J1619" i="3" s="1"/>
  <c r="G1619" i="3"/>
  <c r="K1619" i="3"/>
  <c r="L1619" i="3" a="1"/>
  <c r="L1619" i="3" s="1"/>
  <c r="F1620" i="3"/>
  <c r="H1620" i="3" s="1"/>
  <c r="I1620" i="3" s="1"/>
  <c r="J1620" i="3" s="1"/>
  <c r="L1620" i="3" s="1" a="1"/>
  <c r="L1620" i="3" s="1"/>
  <c r="G1620" i="3"/>
  <c r="F1621" i="3"/>
  <c r="G1621" i="3" s="1"/>
  <c r="F1622" i="3"/>
  <c r="F1623" i="3"/>
  <c r="F1624" i="3"/>
  <c r="G1624" i="3" s="1"/>
  <c r="H1624" i="3"/>
  <c r="I1624" i="3" s="1"/>
  <c r="J1624" i="3" s="1"/>
  <c r="L1624" i="3" s="1" a="1"/>
  <c r="L1624" i="3" s="1"/>
  <c r="F1625" i="3"/>
  <c r="H1625" i="3" s="1"/>
  <c r="I1625" i="3" s="1"/>
  <c r="J1625" i="3" s="1"/>
  <c r="L1625" i="3" s="1" a="1"/>
  <c r="L1625" i="3" s="1"/>
  <c r="F1626" i="3"/>
  <c r="F1627" i="3"/>
  <c r="H1627" i="3" s="1"/>
  <c r="I1627" i="3" s="1"/>
  <c r="J1627" i="3" s="1"/>
  <c r="L1627" i="3" s="1" a="1"/>
  <c r="L1627" i="3" s="1"/>
  <c r="G1627" i="3"/>
  <c r="F1628" i="3"/>
  <c r="H1628" i="3" s="1"/>
  <c r="I1628" i="3" s="1"/>
  <c r="J1628" i="3" s="1"/>
  <c r="L1628" i="3" s="1" a="1"/>
  <c r="L1628" i="3" s="1"/>
  <c r="G1628" i="3"/>
  <c r="F1629" i="3"/>
  <c r="G1629" i="3"/>
  <c r="H1629" i="3"/>
  <c r="I1629" i="3"/>
  <c r="J1629" i="3" s="1"/>
  <c r="L1629" i="3" s="1" a="1"/>
  <c r="L1629" i="3" s="1"/>
  <c r="F1630" i="3"/>
  <c r="F1631" i="3"/>
  <c r="K1631" i="3"/>
  <c r="F1632" i="3"/>
  <c r="H1632" i="3" s="1"/>
  <c r="I1632" i="3" s="1"/>
  <c r="J1632" i="3" s="1"/>
  <c r="L1632" i="3" s="1" a="1"/>
  <c r="L1632" i="3" s="1"/>
  <c r="G1632" i="3"/>
  <c r="F1633" i="3"/>
  <c r="G1633" i="3"/>
  <c r="H1633" i="3"/>
  <c r="I1633" i="3" s="1"/>
  <c r="J1633" i="3" s="1"/>
  <c r="L1633" i="3" s="1" a="1"/>
  <c r="L1633" i="3" s="1"/>
  <c r="K1633" i="3"/>
  <c r="F1634" i="3"/>
  <c r="G1634" i="3"/>
  <c r="H1634" i="3"/>
  <c r="I1634" i="3" s="1"/>
  <c r="J1634" i="3" s="1"/>
  <c r="L1634" i="3" s="1" a="1"/>
  <c r="L1634" i="3" s="1"/>
  <c r="F1635" i="3"/>
  <c r="G1635" i="3" s="1"/>
  <c r="F1636" i="3"/>
  <c r="H1636" i="3" s="1"/>
  <c r="I1636" i="3" s="1"/>
  <c r="J1636" i="3" s="1"/>
  <c r="L1636" i="3" s="1" a="1"/>
  <c r="L1636" i="3" s="1"/>
  <c r="G1636" i="3"/>
  <c r="F1637" i="3"/>
  <c r="H1637" i="3" s="1"/>
  <c r="G1637" i="3"/>
  <c r="I1637" i="3"/>
  <c r="J1637" i="3" s="1"/>
  <c r="L1637" i="3" s="1" a="1"/>
  <c r="L1637" i="3" s="1"/>
  <c r="F1638" i="3"/>
  <c r="G1638" i="3" s="1"/>
  <c r="F1639" i="3"/>
  <c r="G1639" i="3" s="1"/>
  <c r="H1639" i="3"/>
  <c r="I1639" i="3" s="1"/>
  <c r="J1639" i="3" s="1"/>
  <c r="L1639" i="3" s="1" a="1"/>
  <c r="L1639" i="3" s="1"/>
  <c r="K1639" i="3"/>
  <c r="F1640" i="3"/>
  <c r="F1641" i="3"/>
  <c r="H1641" i="3" s="1"/>
  <c r="G1641" i="3"/>
  <c r="I1641" i="3"/>
  <c r="J1641" i="3" s="1"/>
  <c r="L1641" i="3" s="1" a="1"/>
  <c r="L1641" i="3" s="1"/>
  <c r="K1641" i="3"/>
  <c r="F1642" i="3"/>
  <c r="F1643" i="3"/>
  <c r="G1643" i="3"/>
  <c r="H1643" i="3"/>
  <c r="I1643" i="3" s="1"/>
  <c r="J1643" i="3" s="1"/>
  <c r="L1643" i="3" s="1" a="1"/>
  <c r="L1643" i="3" s="1"/>
  <c r="K1643" i="3"/>
  <c r="F1644" i="3"/>
  <c r="G1644" i="3" s="1"/>
  <c r="H1644" i="3"/>
  <c r="I1644" i="3" s="1"/>
  <c r="J1644" i="3" s="1"/>
  <c r="L1644" i="3" s="1" a="1"/>
  <c r="L1644" i="3" s="1"/>
  <c r="F1645" i="3"/>
  <c r="F1646" i="3"/>
  <c r="K1646" i="3"/>
  <c r="F1647" i="3"/>
  <c r="F1648" i="3"/>
  <c r="H1648" i="3" s="1"/>
  <c r="I1648" i="3" s="1"/>
  <c r="J1648" i="3" s="1"/>
  <c r="L1648" i="3" s="1" a="1"/>
  <c r="L1648" i="3" s="1"/>
  <c r="G1648" i="3"/>
  <c r="F1649" i="3"/>
  <c r="H1649" i="3" s="1"/>
  <c r="I1649" i="3"/>
  <c r="J1649" i="3" s="1"/>
  <c r="L1649" i="3" s="1" a="1"/>
  <c r="L1649" i="3" s="1"/>
  <c r="F1650" i="3"/>
  <c r="H1650" i="3" s="1"/>
  <c r="I1650" i="3" s="1"/>
  <c r="J1650" i="3" s="1"/>
  <c r="L1650" i="3" s="1" a="1"/>
  <c r="L1650" i="3" s="1"/>
  <c r="G1650" i="3"/>
  <c r="F1651" i="3"/>
  <c r="H1651" i="3" s="1"/>
  <c r="I1651" i="3" s="1"/>
  <c r="J1651" i="3" s="1"/>
  <c r="L1651" i="3" s="1" a="1"/>
  <c r="L1651" i="3" s="1"/>
  <c r="F1652" i="3"/>
  <c r="F1653" i="3"/>
  <c r="G1653" i="3" s="1"/>
  <c r="H1653" i="3"/>
  <c r="I1653" i="3" s="1"/>
  <c r="J1653" i="3" s="1"/>
  <c r="L1653" i="3" s="1" a="1"/>
  <c r="L1653" i="3" s="1"/>
  <c r="F1654" i="3"/>
  <c r="G1654" i="3" s="1"/>
  <c r="F1655" i="3"/>
  <c r="F1656" i="3"/>
  <c r="K1656" i="3"/>
  <c r="F1657" i="3"/>
  <c r="G1657" i="3" s="1"/>
  <c r="F1658" i="3"/>
  <c r="H1658" i="3" s="1"/>
  <c r="G1658" i="3"/>
  <c r="I1658" i="3"/>
  <c r="J1658" i="3" s="1"/>
  <c r="L1658" i="3" s="1" a="1"/>
  <c r="L1658" i="3" s="1"/>
  <c r="F1659" i="3"/>
  <c r="F1660" i="3"/>
  <c r="G1660" i="3" s="1"/>
  <c r="F1661" i="3"/>
  <c r="F1662" i="3"/>
  <c r="F1663" i="3"/>
  <c r="G1663" i="3"/>
  <c r="H1663" i="3"/>
  <c r="I1663" i="3" s="1"/>
  <c r="J1663" i="3" s="1"/>
  <c r="L1663" i="3" s="1" a="1"/>
  <c r="L1663" i="3" s="1"/>
  <c r="F1664" i="3"/>
  <c r="G1664" i="3" s="1"/>
  <c r="H1664" i="3"/>
  <c r="I1664" i="3"/>
  <c r="J1664" i="3" s="1"/>
  <c r="L1664" i="3" s="1" a="1"/>
  <c r="L1664" i="3" s="1"/>
  <c r="F1665" i="3"/>
  <c r="G1665" i="3" s="1"/>
  <c r="F1666" i="3"/>
  <c r="F1667" i="3"/>
  <c r="G1667" i="3"/>
  <c r="H1667" i="3"/>
  <c r="I1667" i="3" s="1"/>
  <c r="J1667" i="3" s="1"/>
  <c r="L1667" i="3" s="1" a="1"/>
  <c r="L1667" i="3" s="1"/>
  <c r="F1668" i="3"/>
  <c r="H1668" i="3" s="1"/>
  <c r="I1668" i="3" s="1"/>
  <c r="J1668" i="3" s="1"/>
  <c r="L1668" i="3" s="1" a="1"/>
  <c r="L1668" i="3" s="1"/>
  <c r="G1668" i="3"/>
  <c r="F1669" i="3"/>
  <c r="F1670" i="3"/>
  <c r="G1670" i="3" s="1"/>
  <c r="H1670" i="3"/>
  <c r="I1670" i="3"/>
  <c r="J1670" i="3" s="1"/>
  <c r="L1670" i="3" s="1" a="1"/>
  <c r="L1670" i="3" s="1"/>
  <c r="F1671" i="3"/>
  <c r="G1671" i="3" s="1"/>
  <c r="F1672" i="3"/>
  <c r="F1673" i="3"/>
  <c r="H1673" i="3" s="1"/>
  <c r="G1673" i="3"/>
  <c r="I1673" i="3"/>
  <c r="J1673" i="3"/>
  <c r="L1673" i="3" s="1" a="1"/>
  <c r="L1673" i="3" s="1"/>
  <c r="F1674" i="3"/>
  <c r="G1674" i="3"/>
  <c r="H1674" i="3"/>
  <c r="I1674" i="3"/>
  <c r="J1674" i="3" s="1"/>
  <c r="L1674" i="3" s="1" a="1"/>
  <c r="L1674" i="3" s="1"/>
  <c r="F1675" i="3"/>
  <c r="F1676" i="3"/>
  <c r="F1677" i="3"/>
  <c r="H1677" i="3" s="1"/>
  <c r="I1677" i="3" s="1"/>
  <c r="J1677" i="3" s="1"/>
  <c r="L1677" i="3" s="1" a="1"/>
  <c r="L1677" i="3" s="1"/>
  <c r="G1677" i="3"/>
  <c r="K1677" i="3"/>
  <c r="F1678" i="3"/>
  <c r="G1678" i="3" s="1"/>
  <c r="K1678" i="3"/>
  <c r="F1679" i="3"/>
  <c r="F1680" i="3"/>
  <c r="G1680" i="3"/>
  <c r="H1680" i="3"/>
  <c r="I1680" i="3" s="1"/>
  <c r="J1680" i="3" s="1"/>
  <c r="L1680" i="3" s="1" a="1"/>
  <c r="L1680" i="3" s="1"/>
  <c r="K1680" i="3"/>
  <c r="F1681" i="3"/>
  <c r="H1681" i="3" s="1"/>
  <c r="I1681" i="3" s="1"/>
  <c r="J1681" i="3" s="1"/>
  <c r="L1681" i="3" s="1" a="1"/>
  <c r="L1681" i="3" s="1"/>
  <c r="G1681" i="3"/>
  <c r="F1682" i="3"/>
  <c r="K1682" i="3"/>
  <c r="F1683" i="3"/>
  <c r="G1683" i="3"/>
  <c r="H1683" i="3"/>
  <c r="I1683" i="3" s="1"/>
  <c r="J1683" i="3" s="1"/>
  <c r="L1683" i="3" s="1" a="1"/>
  <c r="L1683" i="3" s="1"/>
  <c r="K1683" i="3"/>
  <c r="F1684" i="3"/>
  <c r="G1684" i="3"/>
  <c r="H1684" i="3"/>
  <c r="I1684" i="3" s="1"/>
  <c r="J1684" i="3" s="1"/>
  <c r="L1684" i="3" s="1" a="1"/>
  <c r="L1684" i="3" s="1"/>
  <c r="F1685" i="3"/>
  <c r="F1686" i="3"/>
  <c r="F1687" i="3"/>
  <c r="G1687" i="3"/>
  <c r="H1687" i="3"/>
  <c r="I1687" i="3"/>
  <c r="J1687" i="3" s="1"/>
  <c r="L1687" i="3" s="1" a="1"/>
  <c r="L1687" i="3" s="1"/>
  <c r="F1688" i="3"/>
  <c r="G1688" i="3"/>
  <c r="H1688" i="3"/>
  <c r="I1688" i="3"/>
  <c r="J1688" i="3" s="1"/>
  <c r="L1688" i="3" s="1" a="1"/>
  <c r="L1688" i="3" s="1"/>
  <c r="K1688" i="3"/>
  <c r="F1689" i="3"/>
  <c r="G1689" i="3" s="1"/>
  <c r="F1690" i="3"/>
  <c r="H1690" i="3" s="1"/>
  <c r="I1690" i="3" s="1"/>
  <c r="J1690" i="3" s="1"/>
  <c r="L1690" i="3" s="1" a="1"/>
  <c r="L1690" i="3" s="1"/>
  <c r="F1691" i="3"/>
  <c r="H1691" i="3" s="1"/>
  <c r="I1691" i="3" s="1"/>
  <c r="J1691" i="3" s="1"/>
  <c r="L1691" i="3" s="1" a="1"/>
  <c r="L1691" i="3" s="1"/>
  <c r="G1691" i="3"/>
  <c r="F1692" i="3"/>
  <c r="K1692" i="3"/>
  <c r="F1693" i="3"/>
  <c r="F1694" i="3"/>
  <c r="H1694" i="3" s="1"/>
  <c r="I1694" i="3" s="1"/>
  <c r="J1694" i="3" s="1"/>
  <c r="L1694" i="3" s="1" a="1"/>
  <c r="L1694" i="3" s="1"/>
  <c r="G1694" i="3"/>
  <c r="F1695" i="3"/>
  <c r="K1695" i="3"/>
  <c r="F1696" i="3"/>
  <c r="K1696" i="3"/>
  <c r="F1697" i="3"/>
  <c r="K1697" i="3"/>
  <c r="F1698" i="3"/>
  <c r="H1698" i="3" s="1"/>
  <c r="I1698" i="3" s="1"/>
  <c r="J1698" i="3" s="1"/>
  <c r="L1698" i="3" s="1" a="1"/>
  <c r="L1698" i="3" s="1"/>
  <c r="G1698" i="3"/>
  <c r="F1699" i="3"/>
  <c r="H1699" i="3" s="1"/>
  <c r="I1699" i="3" s="1"/>
  <c r="J1699" i="3" s="1"/>
  <c r="L1699" i="3" s="1" a="1"/>
  <c r="L1699" i="3" s="1"/>
  <c r="G1699" i="3"/>
  <c r="F1700" i="3"/>
  <c r="F1701" i="3"/>
  <c r="G1701" i="3" s="1"/>
  <c r="H1701" i="3"/>
  <c r="I1701" i="3" s="1"/>
  <c r="J1701" i="3"/>
  <c r="L1701" i="3" s="1" a="1"/>
  <c r="L1701" i="3" s="1"/>
  <c r="F1702" i="3"/>
  <c r="G1702" i="3" s="1"/>
  <c r="F1703" i="3"/>
  <c r="G1703" i="3" s="1"/>
  <c r="H1703" i="3"/>
  <c r="I1703" i="3" s="1"/>
  <c r="J1703" i="3" s="1"/>
  <c r="L1703" i="3" s="1" a="1"/>
  <c r="L1703" i="3" s="1"/>
  <c r="K1703" i="3"/>
  <c r="F1704" i="3"/>
  <c r="F1705" i="3"/>
  <c r="G1705" i="3" s="1"/>
  <c r="H1705" i="3"/>
  <c r="I1705" i="3" s="1"/>
  <c r="J1705" i="3" s="1"/>
  <c r="L1705" i="3" s="1" a="1"/>
  <c r="L1705" i="3" s="1"/>
  <c r="F1706" i="3"/>
  <c r="G1706" i="3" s="1"/>
  <c r="F1707" i="3"/>
  <c r="G1707" i="3" s="1"/>
  <c r="H1707" i="3"/>
  <c r="I1707" i="3" s="1"/>
  <c r="J1707" i="3" s="1"/>
  <c r="L1707" i="3" s="1" a="1"/>
  <c r="L1707" i="3" s="1"/>
  <c r="F1708" i="3"/>
  <c r="F1709" i="3"/>
  <c r="G1709" i="3" s="1"/>
  <c r="H1709" i="3"/>
  <c r="I1709" i="3"/>
  <c r="J1709" i="3" s="1"/>
  <c r="L1709" i="3" s="1" a="1"/>
  <c r="L1709" i="3" s="1"/>
  <c r="F1710" i="3"/>
  <c r="F1711" i="3"/>
  <c r="G1711" i="3" s="1"/>
  <c r="H1711" i="3"/>
  <c r="I1711" i="3" s="1"/>
  <c r="J1711" i="3" s="1"/>
  <c r="L1711" i="3" s="1" a="1"/>
  <c r="L1711" i="3" s="1"/>
  <c r="F1712" i="3"/>
  <c r="F1713" i="3"/>
  <c r="H1713" i="3" s="1"/>
  <c r="I1713" i="3" s="1"/>
  <c r="J1713" i="3" s="1"/>
  <c r="L1713" i="3" s="1" a="1"/>
  <c r="L1713" i="3" s="1"/>
  <c r="F1714" i="3"/>
  <c r="F1715" i="3"/>
  <c r="G1715" i="3" s="1"/>
  <c r="F1716" i="3"/>
  <c r="H1716" i="3" s="1"/>
  <c r="I1716" i="3" s="1"/>
  <c r="J1716" i="3" s="1"/>
  <c r="L1716" i="3" s="1" a="1"/>
  <c r="L1716" i="3" s="1"/>
  <c r="G1716" i="3"/>
  <c r="F1717" i="3"/>
  <c r="G1717" i="3" s="1"/>
  <c r="F1718" i="3"/>
  <c r="G1718" i="3" s="1"/>
  <c r="H1718" i="3"/>
  <c r="I1718" i="3" s="1"/>
  <c r="J1718" i="3" s="1"/>
  <c r="L1718" i="3" s="1" a="1"/>
  <c r="L1718" i="3" s="1"/>
  <c r="K1718" i="3"/>
  <c r="F1719" i="3"/>
  <c r="G1719" i="3"/>
  <c r="H1719" i="3"/>
  <c r="I1719" i="3" s="1"/>
  <c r="J1719" i="3" s="1"/>
  <c r="L1719" i="3" s="1" a="1"/>
  <c r="L1719" i="3" s="1"/>
  <c r="F1720" i="3"/>
  <c r="G1720" i="3" s="1"/>
  <c r="F1721" i="3"/>
  <c r="H1721" i="3" s="1"/>
  <c r="I1721" i="3" s="1"/>
  <c r="J1721" i="3" s="1"/>
  <c r="L1721" i="3" s="1" a="1"/>
  <c r="L1721" i="3" s="1"/>
  <c r="G1721" i="3"/>
  <c r="K1721" i="3"/>
  <c r="F1722" i="3"/>
  <c r="H1722" i="3" s="1"/>
  <c r="I1722" i="3" s="1"/>
  <c r="J1722" i="3" s="1"/>
  <c r="L1722" i="3" s="1" a="1"/>
  <c r="L1722" i="3" s="1"/>
  <c r="F1723" i="3"/>
  <c r="G1723" i="3" s="1"/>
  <c r="F1724" i="3"/>
  <c r="H1724" i="3" s="1"/>
  <c r="I1724" i="3" s="1"/>
  <c r="J1724" i="3" s="1"/>
  <c r="L1724" i="3" s="1" a="1"/>
  <c r="L1724" i="3" s="1"/>
  <c r="F1725" i="3"/>
  <c r="H1725" i="3" s="1"/>
  <c r="I1725" i="3" s="1"/>
  <c r="J1725" i="3" s="1"/>
  <c r="L1725" i="3" s="1" a="1"/>
  <c r="L1725" i="3" s="1"/>
  <c r="G1725" i="3"/>
  <c r="F1726" i="3"/>
  <c r="G1726" i="3" s="1"/>
  <c r="F1727" i="3"/>
  <c r="H1727" i="3" s="1"/>
  <c r="I1727" i="3" s="1"/>
  <c r="J1727" i="3" s="1"/>
  <c r="L1727" i="3" s="1" a="1"/>
  <c r="L1727" i="3" s="1"/>
  <c r="F1728" i="3"/>
  <c r="G1728" i="3" s="1"/>
  <c r="H1728" i="3"/>
  <c r="I1728" i="3" s="1"/>
  <c r="J1728" i="3" s="1"/>
  <c r="L1728" i="3" s="1" a="1"/>
  <c r="L1728" i="3" s="1"/>
  <c r="F1729" i="3"/>
  <c r="G1729" i="3" s="1"/>
  <c r="H1729" i="3"/>
  <c r="I1729" i="3" s="1"/>
  <c r="J1729" i="3" s="1"/>
  <c r="L1729" i="3" s="1" a="1"/>
  <c r="L1729" i="3"/>
  <c r="F1730" i="3"/>
  <c r="H1730" i="3" s="1"/>
  <c r="I1730" i="3" s="1"/>
  <c r="J1730" i="3" s="1"/>
  <c r="L1730" i="3" s="1" a="1"/>
  <c r="L1730" i="3" s="1"/>
  <c r="F1731" i="3"/>
  <c r="H1731" i="3" s="1"/>
  <c r="I1731" i="3" s="1"/>
  <c r="J1731" i="3" s="1"/>
  <c r="L1731" i="3" s="1" a="1"/>
  <c r="L1731" i="3" s="1"/>
  <c r="F1732" i="3"/>
  <c r="F1733" i="3"/>
  <c r="G1733" i="3" s="1"/>
  <c r="F1734" i="3"/>
  <c r="G1734" i="3" s="1"/>
  <c r="F1735" i="3"/>
  <c r="G1735" i="3"/>
  <c r="H1735" i="3"/>
  <c r="I1735" i="3" s="1"/>
  <c r="J1735" i="3" s="1"/>
  <c r="L1735" i="3" s="1" a="1"/>
  <c r="L1735" i="3" s="1"/>
  <c r="F1736" i="3"/>
  <c r="H1736" i="3" s="1"/>
  <c r="I1736" i="3" s="1"/>
  <c r="J1736" i="3" s="1"/>
  <c r="L1736" i="3" s="1" a="1"/>
  <c r="L1736" i="3" s="1"/>
  <c r="G1736" i="3"/>
  <c r="F1737" i="3"/>
  <c r="H1737" i="3" s="1"/>
  <c r="I1737" i="3" s="1"/>
  <c r="J1737" i="3" s="1"/>
  <c r="L1737" i="3" s="1" a="1"/>
  <c r="L1737" i="3" s="1"/>
  <c r="G1737" i="3"/>
  <c r="F1738" i="3"/>
  <c r="H1738" i="3" s="1"/>
  <c r="I1738" i="3" s="1"/>
  <c r="J1738" i="3" s="1"/>
  <c r="L1738" i="3" s="1" a="1"/>
  <c r="L1738" i="3" s="1"/>
  <c r="G1738" i="3"/>
  <c r="F1739" i="3"/>
  <c r="G1739" i="3" s="1"/>
  <c r="F1740" i="3"/>
  <c r="G1740" i="3" s="1"/>
  <c r="H1740" i="3"/>
  <c r="I1740" i="3" s="1"/>
  <c r="J1740" i="3" s="1"/>
  <c r="L1740" i="3" s="1" a="1"/>
  <c r="L1740" i="3" s="1"/>
  <c r="F1741" i="3"/>
  <c r="K1741" i="3"/>
  <c r="F1742" i="3"/>
  <c r="H1742" i="3" s="1"/>
  <c r="I1742" i="3" s="1"/>
  <c r="J1742" i="3" s="1"/>
  <c r="L1742" i="3" s="1" a="1"/>
  <c r="L1742" i="3" s="1"/>
  <c r="K1742" i="3"/>
  <c r="F1743" i="3"/>
  <c r="H1743" i="3" s="1"/>
  <c r="I1743" i="3" s="1"/>
  <c r="J1743" i="3" s="1"/>
  <c r="L1743" i="3" s="1" a="1"/>
  <c r="L1743" i="3" s="1"/>
  <c r="K1743" i="3"/>
  <c r="F1744" i="3"/>
  <c r="G1744" i="3" s="1"/>
  <c r="H1744" i="3"/>
  <c r="I1744" i="3" s="1"/>
  <c r="J1744" i="3" s="1"/>
  <c r="L1744" i="3" s="1" a="1"/>
  <c r="L1744" i="3" s="1"/>
  <c r="F1745" i="3"/>
  <c r="G1745" i="3" s="1"/>
  <c r="F1746" i="3"/>
  <c r="G1746" i="3"/>
  <c r="H1746" i="3"/>
  <c r="I1746" i="3"/>
  <c r="J1746" i="3" s="1"/>
  <c r="L1746" i="3" s="1" a="1"/>
  <c r="L1746" i="3" s="1"/>
  <c r="K1746" i="3"/>
  <c r="F1747" i="3"/>
  <c r="H1747" i="3" s="1"/>
  <c r="I1747" i="3" s="1"/>
  <c r="J1747" i="3" s="1"/>
  <c r="L1747" i="3" s="1" a="1"/>
  <c r="L1747" i="3" s="1"/>
  <c r="K1747" i="3"/>
  <c r="F1748" i="3"/>
  <c r="G1748" i="3" s="1"/>
  <c r="K1748" i="3"/>
  <c r="F1749" i="3"/>
  <c r="H1749" i="3" s="1"/>
  <c r="G1749" i="3"/>
  <c r="I1749" i="3"/>
  <c r="J1749" i="3" s="1"/>
  <c r="L1749" i="3" s="1" a="1"/>
  <c r="L1749" i="3" s="1"/>
  <c r="F1750" i="3"/>
  <c r="H1750" i="3" s="1"/>
  <c r="I1750" i="3" s="1"/>
  <c r="J1750" i="3" s="1"/>
  <c r="L1750" i="3" s="1" a="1"/>
  <c r="L1750" i="3" s="1"/>
  <c r="G1750" i="3"/>
  <c r="K1750" i="3"/>
  <c r="F1751" i="3"/>
  <c r="H1751" i="3" s="1"/>
  <c r="I1751" i="3" s="1"/>
  <c r="J1751" i="3" s="1"/>
  <c r="L1751" i="3" s="1" a="1"/>
  <c r="L1751" i="3" s="1"/>
  <c r="G1751" i="3"/>
  <c r="F1752" i="3"/>
  <c r="G1752" i="3" s="1"/>
  <c r="F1753" i="3"/>
  <c r="G1753" i="3" s="1"/>
  <c r="H1753" i="3"/>
  <c r="I1753" i="3" s="1"/>
  <c r="J1753" i="3" s="1"/>
  <c r="L1753" i="3" s="1" a="1"/>
  <c r="L1753" i="3" s="1"/>
  <c r="F1754" i="3"/>
  <c r="H1754" i="3" s="1"/>
  <c r="I1754" i="3" s="1"/>
  <c r="G1754" i="3"/>
  <c r="J1754" i="3"/>
  <c r="L1754" i="3" s="1" a="1"/>
  <c r="L1754" i="3" s="1"/>
  <c r="K1754" i="3"/>
  <c r="F1755" i="3"/>
  <c r="F1756" i="3"/>
  <c r="G1756" i="3"/>
  <c r="H1756" i="3"/>
  <c r="I1756" i="3" s="1"/>
  <c r="J1756" i="3" s="1"/>
  <c r="L1756" i="3" s="1" a="1"/>
  <c r="L1756" i="3" s="1"/>
  <c r="F1757" i="3"/>
  <c r="G1757" i="3" s="1"/>
  <c r="K1757" i="3"/>
  <c r="F1758" i="3"/>
  <c r="H1758" i="3" s="1"/>
  <c r="I1758" i="3" s="1"/>
  <c r="J1758" i="3" s="1"/>
  <c r="L1758" i="3" s="1" a="1"/>
  <c r="L1758" i="3" s="1"/>
  <c r="G1758" i="3"/>
  <c r="K1758" i="3"/>
  <c r="F1759" i="3"/>
  <c r="G1759" i="3"/>
  <c r="H1759" i="3"/>
  <c r="I1759" i="3" s="1"/>
  <c r="J1759" i="3" s="1"/>
  <c r="L1759" i="3" s="1" a="1"/>
  <c r="L1759" i="3" s="1"/>
  <c r="K1759" i="3"/>
  <c r="F1760" i="3"/>
  <c r="G1760" i="3" s="1"/>
  <c r="K1760" i="3"/>
  <c r="F1761" i="3"/>
  <c r="K1761" i="3"/>
  <c r="F1762" i="3"/>
  <c r="G1762" i="3" s="1"/>
  <c r="F1763" i="3"/>
  <c r="G1763" i="3"/>
  <c r="H1763" i="3"/>
  <c r="I1763" i="3"/>
  <c r="J1763" i="3" s="1"/>
  <c r="L1763" i="3" s="1" a="1"/>
  <c r="L1763" i="3" s="1"/>
  <c r="F1764" i="3"/>
  <c r="F1765" i="3"/>
  <c r="G1765" i="3"/>
  <c r="H1765" i="3"/>
  <c r="I1765" i="3" s="1"/>
  <c r="J1765" i="3" s="1"/>
  <c r="L1765" i="3" s="1" a="1"/>
  <c r="L1765" i="3" s="1"/>
  <c r="F1766" i="3"/>
  <c r="F1767" i="3"/>
  <c r="H1767" i="3" s="1"/>
  <c r="I1767" i="3" s="1"/>
  <c r="J1767" i="3" s="1"/>
  <c r="L1767" i="3" s="1" a="1"/>
  <c r="L1767" i="3" s="1"/>
  <c r="G1767" i="3"/>
  <c r="F1768" i="3"/>
  <c r="H1768" i="3" s="1"/>
  <c r="I1768" i="3" s="1"/>
  <c r="J1768" i="3" s="1"/>
  <c r="L1768" i="3" s="1" a="1"/>
  <c r="L1768" i="3" s="1"/>
  <c r="K1768" i="3"/>
  <c r="F1769" i="3"/>
  <c r="F1770" i="3"/>
  <c r="F1771" i="3"/>
  <c r="G1771" i="3" s="1"/>
  <c r="K1771" i="3"/>
  <c r="F1772" i="3"/>
  <c r="H1772" i="3" s="1"/>
  <c r="I1772" i="3" s="1"/>
  <c r="J1772" i="3" s="1"/>
  <c r="L1772" i="3" s="1" a="1"/>
  <c r="L1772" i="3" s="1"/>
  <c r="F1773" i="3"/>
  <c r="G1773" i="3" s="1"/>
  <c r="F1774" i="3"/>
  <c r="F1775" i="3"/>
  <c r="H1775" i="3" s="1"/>
  <c r="I1775" i="3" s="1"/>
  <c r="J1775" i="3" s="1"/>
  <c r="L1775" i="3" s="1" a="1"/>
  <c r="L1775" i="3" s="1"/>
  <c r="G1775" i="3"/>
  <c r="F1776" i="3"/>
  <c r="F1777" i="3"/>
  <c r="H1777" i="3" s="1"/>
  <c r="I1777" i="3" s="1"/>
  <c r="J1777" i="3" s="1"/>
  <c r="L1777" i="3" s="1" a="1"/>
  <c r="L1777" i="3" s="1"/>
  <c r="G1777" i="3"/>
  <c r="F1778" i="3"/>
  <c r="F1779" i="3"/>
  <c r="G1779" i="3"/>
  <c r="H1779" i="3"/>
  <c r="I1779" i="3" s="1"/>
  <c r="J1779" i="3"/>
  <c r="L1779" i="3" s="1" a="1"/>
  <c r="L1779" i="3" s="1"/>
  <c r="F1780" i="3"/>
  <c r="G1780" i="3" s="1"/>
  <c r="F1781" i="3"/>
  <c r="K1781" i="3"/>
  <c r="F1782" i="3"/>
  <c r="F1783" i="3"/>
  <c r="H1783" i="3" s="1"/>
  <c r="G1783" i="3"/>
  <c r="I1783" i="3"/>
  <c r="J1783" i="3" s="1"/>
  <c r="L1783" i="3" s="1" a="1"/>
  <c r="L1783" i="3" s="1"/>
  <c r="F1784" i="3"/>
  <c r="G1784" i="3"/>
  <c r="H1784" i="3"/>
  <c r="I1784" i="3" s="1"/>
  <c r="J1784" i="3" s="1"/>
  <c r="L1784" i="3" s="1" a="1"/>
  <c r="L1784" i="3" s="1"/>
  <c r="K1784" i="3"/>
  <c r="F1785" i="3"/>
  <c r="H1785" i="3" s="1"/>
  <c r="I1785" i="3" s="1"/>
  <c r="J1785" i="3" s="1"/>
  <c r="L1785" i="3" s="1" a="1"/>
  <c r="L1785" i="3" s="1"/>
  <c r="F1786" i="3"/>
  <c r="F1787" i="3"/>
  <c r="G1787" i="3" s="1"/>
  <c r="F1788" i="3"/>
  <c r="H1788" i="3" s="1"/>
  <c r="I1788" i="3" s="1"/>
  <c r="J1788" i="3" s="1"/>
  <c r="L1788" i="3" s="1" a="1"/>
  <c r="L1788" i="3" s="1"/>
  <c r="G1788" i="3"/>
  <c r="F1789" i="3"/>
  <c r="H1789" i="3" s="1"/>
  <c r="I1789" i="3" s="1"/>
  <c r="J1789" i="3" s="1"/>
  <c r="L1789" i="3" s="1" a="1"/>
  <c r="L1789" i="3" s="1"/>
  <c r="G1789" i="3"/>
  <c r="F1790" i="3"/>
  <c r="G1790" i="3" s="1"/>
  <c r="F1791" i="3"/>
  <c r="G1791" i="3"/>
  <c r="H1791" i="3"/>
  <c r="I1791" i="3" s="1"/>
  <c r="J1791" i="3" s="1"/>
  <c r="L1791" i="3" s="1" a="1"/>
  <c r="L1791" i="3" s="1"/>
  <c r="F1792" i="3"/>
  <c r="G1792" i="3" s="1"/>
  <c r="H1792" i="3"/>
  <c r="I1792" i="3" s="1"/>
  <c r="J1792" i="3" s="1"/>
  <c r="L1792" i="3" s="1" a="1"/>
  <c r="L1792" i="3" s="1"/>
  <c r="F1793" i="3"/>
  <c r="F1794" i="3"/>
  <c r="H1794" i="3" s="1"/>
  <c r="G1794" i="3"/>
  <c r="I1794" i="3"/>
  <c r="J1794" i="3" s="1"/>
  <c r="L1794" i="3" s="1" a="1"/>
  <c r="L1794" i="3" s="1"/>
  <c r="F1795" i="3"/>
  <c r="H1795" i="3" s="1"/>
  <c r="I1795" i="3" s="1"/>
  <c r="J1795" i="3" s="1"/>
  <c r="L1795" i="3" s="1" a="1"/>
  <c r="L1795" i="3" s="1"/>
  <c r="G1795" i="3"/>
  <c r="F1796" i="3"/>
  <c r="G1796" i="3"/>
  <c r="H1796" i="3"/>
  <c r="I1796" i="3"/>
  <c r="J1796" i="3" s="1"/>
  <c r="L1796" i="3" s="1" a="1"/>
  <c r="L1796" i="3" s="1"/>
  <c r="F1797" i="3"/>
  <c r="H1797" i="3" s="1"/>
  <c r="I1797" i="3"/>
  <c r="J1797" i="3" s="1"/>
  <c r="L1797" i="3" s="1" a="1"/>
  <c r="L1797" i="3" s="1"/>
  <c r="F1798" i="3"/>
  <c r="F1799" i="3"/>
  <c r="G1799" i="3" s="1"/>
  <c r="F1800" i="3"/>
  <c r="G1800" i="3"/>
  <c r="H1800" i="3"/>
  <c r="I1800" i="3" s="1"/>
  <c r="J1800" i="3" s="1"/>
  <c r="L1800" i="3" s="1" a="1"/>
  <c r="L1800" i="3" s="1"/>
  <c r="F1801" i="3"/>
  <c r="F1802" i="3"/>
  <c r="F1803" i="3"/>
  <c r="F1804" i="3"/>
  <c r="F1805" i="3"/>
  <c r="G1805" i="3" s="1"/>
  <c r="K1805" i="3"/>
  <c r="F1806" i="3"/>
  <c r="G1806" i="3"/>
  <c r="H1806" i="3"/>
  <c r="I1806" i="3" s="1"/>
  <c r="J1806" i="3" s="1"/>
  <c r="L1806" i="3" s="1" a="1"/>
  <c r="L1806" i="3" s="1"/>
  <c r="K1806" i="3"/>
  <c r="F1807" i="3"/>
  <c r="F1808" i="3"/>
  <c r="G1808" i="3" s="1"/>
  <c r="H1808" i="3"/>
  <c r="I1808" i="3" s="1"/>
  <c r="J1808" i="3" s="1"/>
  <c r="L1808" i="3" s="1" a="1"/>
  <c r="L1808" i="3" s="1"/>
  <c r="K1808" i="3"/>
  <c r="F1809" i="3"/>
  <c r="F1810" i="3"/>
  <c r="H1810" i="3" s="1"/>
  <c r="I1810" i="3" s="1"/>
  <c r="J1810" i="3" s="1"/>
  <c r="L1810" i="3" s="1" a="1"/>
  <c r="L1810" i="3" s="1"/>
  <c r="G1810" i="3"/>
  <c r="K1810" i="3"/>
  <c r="F1811" i="3"/>
  <c r="G1811" i="3"/>
  <c r="H1811" i="3"/>
  <c r="I1811" i="3" s="1"/>
  <c r="J1811" i="3" s="1"/>
  <c r="L1811" i="3" s="1" a="1"/>
  <c r="L1811" i="3" s="1"/>
  <c r="F1812" i="3"/>
  <c r="H1812" i="3" s="1"/>
  <c r="I1812" i="3" s="1"/>
  <c r="J1812" i="3" s="1"/>
  <c r="L1812" i="3" s="1" a="1"/>
  <c r="L1812" i="3" s="1"/>
  <c r="F1813" i="3"/>
  <c r="K1813" i="3"/>
  <c r="F1814" i="3"/>
  <c r="G1814" i="3" s="1"/>
  <c r="F1815" i="3"/>
  <c r="G1815" i="3" s="1"/>
  <c r="F1816" i="3"/>
  <c r="G1816" i="3" s="1"/>
  <c r="F1817" i="3"/>
  <c r="G1817" i="3"/>
  <c r="H1817" i="3"/>
  <c r="I1817" i="3" s="1"/>
  <c r="J1817" i="3" s="1"/>
  <c r="L1817" i="3" s="1" a="1"/>
  <c r="L1817" i="3" s="1"/>
  <c r="F1818" i="3"/>
  <c r="G1818" i="3" s="1"/>
  <c r="F1819" i="3"/>
  <c r="G1819" i="3"/>
  <c r="H1819" i="3"/>
  <c r="I1819" i="3"/>
  <c r="J1819" i="3" s="1"/>
  <c r="L1819" i="3" s="1" a="1"/>
  <c r="L1819" i="3" s="1"/>
  <c r="F1820" i="3"/>
  <c r="F1821" i="3"/>
  <c r="F1822" i="3"/>
  <c r="H1822" i="3" s="1"/>
  <c r="I1822" i="3" s="1"/>
  <c r="J1822" i="3" s="1"/>
  <c r="L1822" i="3" s="1" a="1"/>
  <c r="L1822" i="3" s="1"/>
  <c r="G1822" i="3"/>
  <c r="F1823" i="3"/>
  <c r="G1823" i="3" s="1"/>
  <c r="K1823" i="3"/>
  <c r="F1824" i="3"/>
  <c r="G1824" i="3"/>
  <c r="H1824" i="3"/>
  <c r="I1824" i="3"/>
  <c r="J1824" i="3"/>
  <c r="L1824" i="3" s="1" a="1"/>
  <c r="L1824" i="3" s="1"/>
  <c r="K1824" i="3"/>
  <c r="F1825" i="3"/>
  <c r="F1826" i="3"/>
  <c r="F1827" i="3"/>
  <c r="G1827" i="3"/>
  <c r="H1827" i="3"/>
  <c r="I1827" i="3" s="1"/>
  <c r="J1827" i="3" s="1"/>
  <c r="L1827" i="3" s="1" a="1"/>
  <c r="L1827" i="3" s="1"/>
  <c r="F1828" i="3"/>
  <c r="F1829" i="3"/>
  <c r="G1829" i="3" s="1"/>
  <c r="H1829" i="3"/>
  <c r="I1829" i="3" s="1"/>
  <c r="J1829" i="3" s="1"/>
  <c r="L1829" i="3" s="1" a="1"/>
  <c r="L1829" i="3" s="1"/>
  <c r="F1830" i="3"/>
  <c r="F1831" i="3"/>
  <c r="G1831" i="3"/>
  <c r="H1831" i="3"/>
  <c r="I1831" i="3" s="1"/>
  <c r="J1831" i="3" s="1"/>
  <c r="L1831" i="3" s="1" a="1"/>
  <c r="L1831" i="3" s="1"/>
  <c r="K1831" i="3"/>
  <c r="F1832" i="3"/>
  <c r="K1832" i="3"/>
  <c r="F1833" i="3"/>
  <c r="G1833" i="3" s="1"/>
  <c r="F1834" i="3"/>
  <c r="H1834" i="3" s="1"/>
  <c r="I1834" i="3" s="1"/>
  <c r="J1834" i="3" s="1"/>
  <c r="L1834" i="3" s="1" a="1"/>
  <c r="L1834" i="3" s="1"/>
  <c r="G1834" i="3"/>
  <c r="K1834" i="3"/>
  <c r="F1835" i="3"/>
  <c r="H1835" i="3" s="1"/>
  <c r="I1835" i="3" s="1"/>
  <c r="J1835" i="3" s="1"/>
  <c r="L1835" i="3" s="1" a="1"/>
  <c r="L1835" i="3" s="1"/>
  <c r="K1835" i="3"/>
  <c r="F1836" i="3"/>
  <c r="K1836" i="3"/>
  <c r="F1837" i="3"/>
  <c r="K1837" i="3"/>
  <c r="F1838" i="3"/>
  <c r="G1838" i="3" s="1"/>
  <c r="K1838" i="3"/>
  <c r="F1839" i="3"/>
  <c r="F1840" i="3"/>
  <c r="G1840" i="3"/>
  <c r="H1840" i="3"/>
  <c r="I1840" i="3" s="1"/>
  <c r="J1840" i="3" s="1"/>
  <c r="L1840" i="3" s="1" a="1"/>
  <c r="L1840" i="3" s="1"/>
  <c r="F1841" i="3"/>
  <c r="G1841" i="3" s="1"/>
  <c r="H1841" i="3"/>
  <c r="I1841" i="3" s="1"/>
  <c r="J1841" i="3" s="1"/>
  <c r="L1841" i="3" s="1" a="1"/>
  <c r="L1841" i="3" s="1"/>
  <c r="F1842" i="3"/>
  <c r="H1842" i="3" s="1"/>
  <c r="I1842" i="3" s="1"/>
  <c r="J1842" i="3" s="1"/>
  <c r="L1842" i="3" s="1" a="1"/>
  <c r="L1842" i="3" s="1"/>
  <c r="F1843" i="3"/>
  <c r="G1843" i="3" s="1"/>
  <c r="H1843" i="3"/>
  <c r="I1843" i="3"/>
  <c r="J1843" i="3" s="1"/>
  <c r="L1843" i="3" s="1" a="1"/>
  <c r="L1843" i="3" s="1"/>
  <c r="F1844" i="3"/>
  <c r="G1844" i="3" s="1"/>
  <c r="F1845" i="3"/>
  <c r="H1845" i="3" s="1"/>
  <c r="I1845" i="3" s="1"/>
  <c r="J1845" i="3" s="1"/>
  <c r="L1845" i="3" s="1" a="1"/>
  <c r="L1845" i="3" s="1"/>
  <c r="G1845" i="3"/>
  <c r="F1846" i="3"/>
  <c r="H1846" i="3" s="1"/>
  <c r="I1846" i="3" s="1"/>
  <c r="J1846" i="3" s="1"/>
  <c r="L1846" i="3" s="1" a="1"/>
  <c r="L1846" i="3" s="1"/>
  <c r="G1846" i="3"/>
  <c r="K1846" i="3"/>
  <c r="F1847" i="3"/>
  <c r="H1847" i="3" s="1"/>
  <c r="I1847" i="3" s="1"/>
  <c r="J1847" i="3" s="1"/>
  <c r="L1847" i="3" s="1" a="1"/>
  <c r="L1847" i="3" s="1"/>
  <c r="G1847" i="3"/>
  <c r="F1848" i="3"/>
  <c r="G1848" i="3" s="1"/>
  <c r="H1848" i="3"/>
  <c r="I1848" i="3" s="1"/>
  <c r="J1848" i="3" s="1"/>
  <c r="L1848" i="3" s="1" a="1"/>
  <c r="L1848" i="3" s="1"/>
  <c r="F1849" i="3"/>
  <c r="G1849" i="3" s="1"/>
  <c r="K1849" i="3"/>
  <c r="F1850" i="3"/>
  <c r="H1850" i="3" s="1"/>
  <c r="I1850" i="3" s="1"/>
  <c r="J1850" i="3" s="1"/>
  <c r="L1850" i="3" s="1" a="1"/>
  <c r="L1850" i="3" s="1"/>
  <c r="G1850" i="3"/>
  <c r="F1851" i="3"/>
  <c r="G1851" i="3" s="1"/>
  <c r="F1852" i="3"/>
  <c r="H1852" i="3" s="1"/>
  <c r="I1852" i="3" s="1"/>
  <c r="J1852" i="3" s="1"/>
  <c r="L1852" i="3" s="1" a="1"/>
  <c r="L1852" i="3" s="1"/>
  <c r="F1853" i="3"/>
  <c r="G1853" i="3" s="1"/>
  <c r="F1854" i="3"/>
  <c r="H1854" i="3" s="1"/>
  <c r="I1854" i="3" s="1"/>
  <c r="J1854" i="3" s="1"/>
  <c r="L1854" i="3" s="1" a="1"/>
  <c r="L1854" i="3" s="1"/>
  <c r="F1855" i="3"/>
  <c r="H1855" i="3" s="1"/>
  <c r="I1855" i="3" s="1"/>
  <c r="J1855" i="3" s="1"/>
  <c r="L1855" i="3" s="1" a="1"/>
  <c r="L1855" i="3" s="1"/>
  <c r="F1856" i="3"/>
  <c r="G1856" i="3" s="1"/>
  <c r="H1856" i="3"/>
  <c r="I1856" i="3" s="1"/>
  <c r="J1856" i="3" s="1"/>
  <c r="L1856" i="3" s="1" a="1"/>
  <c r="L1856" i="3" s="1"/>
  <c r="F1857" i="3"/>
  <c r="H1857" i="3" s="1"/>
  <c r="I1857" i="3" s="1"/>
  <c r="J1857" i="3" s="1"/>
  <c r="L1857" i="3" s="1" a="1"/>
  <c r="L1857" i="3" s="1"/>
  <c r="G1857" i="3"/>
  <c r="F1858" i="3"/>
  <c r="F1859" i="3"/>
  <c r="G1859" i="3" s="1"/>
  <c r="F1860" i="3"/>
  <c r="H1860" i="3" s="1"/>
  <c r="I1860" i="3" s="1"/>
  <c r="J1860" i="3" s="1"/>
  <c r="L1860" i="3" s="1" a="1"/>
  <c r="L1860" i="3" s="1"/>
  <c r="G1860" i="3"/>
  <c r="K1860" i="3"/>
  <c r="F1861" i="3"/>
  <c r="H1861" i="3" s="1"/>
  <c r="I1861" i="3" s="1"/>
  <c r="G1861" i="3"/>
  <c r="J1861" i="3"/>
  <c r="L1861" i="3" a="1"/>
  <c r="L1861" i="3" s="1"/>
  <c r="F1862" i="3"/>
  <c r="F1863" i="3"/>
  <c r="F1864" i="3"/>
  <c r="G1864" i="3" s="1"/>
  <c r="K1864" i="3"/>
  <c r="F1865" i="3"/>
  <c r="K1865" i="3"/>
  <c r="F1866" i="3"/>
  <c r="G1866" i="3" s="1"/>
  <c r="F1867" i="3"/>
  <c r="G1867" i="3" s="1"/>
  <c r="H1867" i="3"/>
  <c r="I1867" i="3" s="1"/>
  <c r="J1867" i="3" s="1"/>
  <c r="L1867" i="3" s="1" a="1"/>
  <c r="L1867" i="3" s="1"/>
  <c r="F1868" i="3"/>
  <c r="G1868" i="3" s="1"/>
  <c r="F1869" i="3"/>
  <c r="G1869" i="3"/>
  <c r="H1869" i="3"/>
  <c r="I1869" i="3" s="1"/>
  <c r="J1869" i="3" s="1"/>
  <c r="L1869" i="3" s="1" a="1"/>
  <c r="L1869" i="3" s="1"/>
  <c r="K1869" i="3"/>
  <c r="F1870" i="3"/>
  <c r="G1870" i="3" s="1"/>
  <c r="K1870" i="3"/>
  <c r="F1871" i="3"/>
  <c r="H1871" i="3" s="1"/>
  <c r="I1871" i="3" s="1"/>
  <c r="J1871" i="3" s="1"/>
  <c r="L1871" i="3" s="1" a="1"/>
  <c r="L1871" i="3" s="1"/>
  <c r="G1871" i="3"/>
  <c r="K1871" i="3"/>
  <c r="F1872" i="3"/>
  <c r="G1872" i="3" s="1"/>
  <c r="K1872" i="3"/>
  <c r="F1873" i="3"/>
  <c r="F1874" i="3"/>
  <c r="K1874" i="3"/>
  <c r="F1875" i="3"/>
  <c r="K1875" i="3"/>
  <c r="F1876" i="3"/>
  <c r="G1876" i="3" s="1"/>
  <c r="H1876" i="3"/>
  <c r="I1876" i="3"/>
  <c r="J1876" i="3" s="1"/>
  <c r="L1876" i="3" s="1" a="1"/>
  <c r="L1876" i="3" s="1"/>
  <c r="F1877" i="3"/>
  <c r="F1878" i="3"/>
  <c r="H1878" i="3" s="1"/>
  <c r="I1878" i="3" s="1"/>
  <c r="J1878" i="3" s="1"/>
  <c r="L1878" i="3" s="1" a="1"/>
  <c r="L1878" i="3" s="1"/>
  <c r="G1878" i="3"/>
  <c r="F1879" i="3"/>
  <c r="G1879" i="3" s="1"/>
  <c r="F1880" i="3"/>
  <c r="F1881" i="3"/>
  <c r="G1881" i="3" s="1"/>
  <c r="H1881" i="3"/>
  <c r="I1881" i="3" s="1"/>
  <c r="J1881" i="3" s="1"/>
  <c r="L1881" i="3" s="1" a="1"/>
  <c r="L1881" i="3" s="1"/>
  <c r="K1881" i="3"/>
  <c r="F1882" i="3"/>
  <c r="G1882" i="3" s="1"/>
  <c r="F1883" i="3"/>
  <c r="F1884" i="3"/>
  <c r="G1884" i="3"/>
  <c r="H1884" i="3"/>
  <c r="I1884" i="3" s="1"/>
  <c r="J1884" i="3"/>
  <c r="L1884" i="3" s="1" a="1"/>
  <c r="L1884" i="3" s="1"/>
  <c r="F1885" i="3"/>
  <c r="H1885" i="3" s="1"/>
  <c r="I1885" i="3" s="1"/>
  <c r="J1885" i="3" s="1"/>
  <c r="L1885" i="3" s="1" a="1"/>
  <c r="L1885" i="3" s="1"/>
  <c r="F1886" i="3"/>
  <c r="G1886" i="3" s="1"/>
  <c r="H1886" i="3"/>
  <c r="I1886" i="3" s="1"/>
  <c r="J1886" i="3" s="1"/>
  <c r="L1886" i="3" s="1" a="1"/>
  <c r="L1886" i="3" s="1"/>
  <c r="F1887" i="3"/>
  <c r="G1887" i="3" s="1"/>
  <c r="H1887" i="3"/>
  <c r="I1887" i="3" s="1"/>
  <c r="J1887" i="3" s="1"/>
  <c r="L1887" i="3" s="1" a="1"/>
  <c r="L1887" i="3" s="1"/>
  <c r="F1888" i="3"/>
  <c r="G1888" i="3"/>
  <c r="H1888" i="3"/>
  <c r="I1888" i="3" s="1"/>
  <c r="J1888" i="3" s="1"/>
  <c r="L1888" i="3" s="1" a="1"/>
  <c r="L1888" i="3" s="1"/>
  <c r="K1888" i="3"/>
  <c r="F1889" i="3"/>
  <c r="K1889" i="3"/>
  <c r="F1890" i="3"/>
  <c r="F1891" i="3"/>
  <c r="F1892" i="3"/>
  <c r="G1892" i="3"/>
  <c r="H1892" i="3"/>
  <c r="I1892" i="3" s="1"/>
  <c r="J1892" i="3" s="1"/>
  <c r="L1892" i="3" s="1" a="1"/>
  <c r="L1892" i="3" s="1"/>
  <c r="F1893" i="3"/>
  <c r="G1893" i="3" s="1"/>
  <c r="F1894" i="3"/>
  <c r="H1894" i="3" s="1"/>
  <c r="I1894" i="3" s="1"/>
  <c r="J1894" i="3" s="1"/>
  <c r="L1894" i="3" s="1" a="1"/>
  <c r="L1894" i="3" s="1"/>
  <c r="F1895" i="3"/>
  <c r="H1895" i="3" s="1"/>
  <c r="I1895" i="3" s="1"/>
  <c r="G1895" i="3"/>
  <c r="J1895" i="3"/>
  <c r="L1895" i="3" s="1" a="1"/>
  <c r="L1895" i="3" s="1"/>
  <c r="K1895" i="3"/>
  <c r="F1896" i="3"/>
  <c r="G1896" i="3"/>
  <c r="H1896" i="3"/>
  <c r="I1896" i="3" s="1"/>
  <c r="J1896" i="3" s="1"/>
  <c r="L1896" i="3" s="1" a="1"/>
  <c r="L1896" i="3" s="1"/>
  <c r="K1896" i="3"/>
  <c r="F1897" i="3"/>
  <c r="G1897" i="3" s="1"/>
  <c r="H1897" i="3"/>
  <c r="I1897" i="3" s="1"/>
  <c r="J1897" i="3" s="1"/>
  <c r="L1897" i="3" s="1" a="1"/>
  <c r="L1897" i="3" s="1"/>
  <c r="F1898" i="3"/>
  <c r="H1898" i="3" s="1"/>
  <c r="I1898" i="3" s="1"/>
  <c r="G1898" i="3"/>
  <c r="J1898" i="3"/>
  <c r="L1898" i="3" s="1" a="1"/>
  <c r="L1898" i="3" s="1"/>
  <c r="K1898" i="3"/>
  <c r="F1899" i="3"/>
  <c r="H1899" i="3" s="1"/>
  <c r="I1899" i="3" s="1"/>
  <c r="J1899" i="3"/>
  <c r="L1899" i="3" s="1" a="1"/>
  <c r="L1899" i="3" s="1"/>
  <c r="F1900" i="3"/>
  <c r="G1900" i="3" s="1"/>
  <c r="H1900" i="3"/>
  <c r="I1900" i="3" s="1"/>
  <c r="J1900" i="3" s="1"/>
  <c r="L1900" i="3" s="1" a="1"/>
  <c r="L1900" i="3" s="1"/>
  <c r="F1901" i="3"/>
  <c r="G1901" i="3" s="1"/>
  <c r="H1901" i="3"/>
  <c r="I1901" i="3"/>
  <c r="J1901" i="3" s="1"/>
  <c r="L1901" i="3" a="1"/>
  <c r="L1901" i="3" s="1"/>
  <c r="F1902" i="3"/>
  <c r="K1902" i="3"/>
  <c r="F1903" i="3"/>
  <c r="K1903" i="3"/>
  <c r="F1904" i="3"/>
  <c r="G1904" i="3" s="1"/>
  <c r="H1904" i="3"/>
  <c r="I1904" i="3" s="1"/>
  <c r="J1904" i="3" s="1"/>
  <c r="L1904" i="3" s="1" a="1"/>
  <c r="L1904" i="3" s="1"/>
  <c r="F1905" i="3"/>
  <c r="G1905" i="3"/>
  <c r="H1905" i="3"/>
  <c r="I1905" i="3" s="1"/>
  <c r="J1905" i="3" s="1"/>
  <c r="L1905" i="3" s="1" a="1"/>
  <c r="L1905" i="3" s="1"/>
  <c r="F1906" i="3"/>
  <c r="G1906" i="3"/>
  <c r="H1906" i="3"/>
  <c r="I1906" i="3" s="1"/>
  <c r="J1906" i="3" s="1"/>
  <c r="L1906" i="3" s="1" a="1"/>
  <c r="L1906" i="3" s="1"/>
  <c r="F1907" i="3"/>
  <c r="F1908" i="3"/>
  <c r="H1908" i="3" s="1"/>
  <c r="I1908" i="3" s="1"/>
  <c r="J1908" i="3" s="1"/>
  <c r="L1908" i="3" s="1" a="1"/>
  <c r="L1908" i="3" s="1"/>
  <c r="F1909" i="3"/>
  <c r="G1909" i="3"/>
  <c r="H1909" i="3"/>
  <c r="I1909" i="3"/>
  <c r="J1909" i="3" s="1"/>
  <c r="L1909" i="3" s="1" a="1"/>
  <c r="L1909" i="3" s="1"/>
  <c r="F1910" i="3"/>
  <c r="G1910" i="3" s="1"/>
  <c r="K1910" i="3"/>
  <c r="F1911" i="3"/>
  <c r="H1911" i="3" s="1"/>
  <c r="I1911" i="3" s="1"/>
  <c r="J1911" i="3" s="1"/>
  <c r="L1911" i="3" s="1" a="1"/>
  <c r="L1911" i="3" s="1"/>
  <c r="G1911" i="3"/>
  <c r="F1912" i="3"/>
  <c r="G1912" i="3"/>
  <c r="H1912" i="3"/>
  <c r="I1912" i="3" s="1"/>
  <c r="J1912" i="3" s="1"/>
  <c r="L1912" i="3" s="1" a="1"/>
  <c r="L1912" i="3" s="1"/>
  <c r="K1912" i="3"/>
  <c r="F1913" i="3"/>
  <c r="H1913" i="3" s="1"/>
  <c r="I1913" i="3" s="1"/>
  <c r="J1913" i="3" s="1"/>
  <c r="L1913" i="3" s="1" a="1"/>
  <c r="L1913" i="3" s="1"/>
  <c r="F1914" i="3"/>
  <c r="F1915" i="3"/>
  <c r="F1916" i="3"/>
  <c r="H1916" i="3" s="1"/>
  <c r="I1916" i="3" s="1"/>
  <c r="J1916" i="3" s="1"/>
  <c r="L1916" i="3" s="1" a="1"/>
  <c r="L1916" i="3" s="1"/>
  <c r="F1917" i="3"/>
  <c r="G1917" i="3"/>
  <c r="H1917" i="3"/>
  <c r="I1917" i="3" s="1"/>
  <c r="J1917" i="3" s="1"/>
  <c r="L1917" i="3" s="1" a="1"/>
  <c r="L1917" i="3" s="1"/>
  <c r="F1918" i="3"/>
  <c r="G1918" i="3"/>
  <c r="H1918" i="3"/>
  <c r="I1918" i="3" s="1"/>
  <c r="J1918" i="3" s="1"/>
  <c r="L1918" i="3" s="1" a="1"/>
  <c r="L1918" i="3" s="1"/>
  <c r="F1919" i="3"/>
  <c r="G1919" i="3"/>
  <c r="H1919" i="3"/>
  <c r="I1919" i="3" s="1"/>
  <c r="J1919" i="3" s="1"/>
  <c r="L1919" i="3" s="1" a="1"/>
  <c r="L1919" i="3"/>
  <c r="F1920" i="3"/>
  <c r="G1920" i="3" s="1"/>
  <c r="F1921" i="3"/>
  <c r="G1921" i="3"/>
  <c r="H1921" i="3"/>
  <c r="I1921" i="3" s="1"/>
  <c r="J1921" i="3" s="1"/>
  <c r="L1921" i="3" s="1" a="1"/>
  <c r="L1921" i="3" s="1"/>
  <c r="F1922" i="3"/>
  <c r="G1922" i="3" s="1"/>
  <c r="H1922" i="3"/>
  <c r="I1922" i="3" s="1"/>
  <c r="J1922" i="3" s="1"/>
  <c r="L1922" i="3" s="1" a="1"/>
  <c r="L1922" i="3" s="1"/>
  <c r="F1923" i="3"/>
  <c r="G1923" i="3" s="1"/>
  <c r="H1923" i="3"/>
  <c r="I1923" i="3"/>
  <c r="J1923" i="3"/>
  <c r="L1923" i="3" s="1" a="1"/>
  <c r="L1923" i="3" s="1"/>
  <c r="F1924" i="3"/>
  <c r="H1924" i="3" s="1"/>
  <c r="I1924" i="3" s="1"/>
  <c r="J1924" i="3" s="1"/>
  <c r="L1924" i="3" s="1" a="1"/>
  <c r="L1924" i="3" s="1"/>
  <c r="G1924" i="3"/>
  <c r="F1925" i="3"/>
  <c r="G1925" i="3" s="1"/>
  <c r="F1926" i="3"/>
  <c r="F1927" i="3"/>
  <c r="G1927" i="3" s="1"/>
  <c r="H1927" i="3"/>
  <c r="I1927" i="3" s="1"/>
  <c r="J1927" i="3" s="1"/>
  <c r="L1927" i="3" s="1" a="1"/>
  <c r="L1927" i="3" s="1"/>
  <c r="F1928" i="3"/>
  <c r="G1928" i="3" s="1"/>
  <c r="F1929" i="3"/>
  <c r="G1929" i="3" s="1"/>
  <c r="H1929" i="3"/>
  <c r="I1929" i="3" s="1"/>
  <c r="J1929" i="3" s="1"/>
  <c r="L1929" i="3" s="1" a="1"/>
  <c r="L1929" i="3" s="1"/>
  <c r="F1930" i="3"/>
  <c r="G1930" i="3" s="1"/>
  <c r="H1930" i="3"/>
  <c r="I1930" i="3" s="1"/>
  <c r="J1930" i="3" s="1"/>
  <c r="L1930" i="3" s="1" a="1"/>
  <c r="L1930" i="3" s="1"/>
  <c r="F1931" i="3"/>
  <c r="G1931" i="3" s="1"/>
  <c r="H1931" i="3"/>
  <c r="I1931" i="3" s="1"/>
  <c r="J1931" i="3" s="1"/>
  <c r="L1931" i="3" s="1" a="1"/>
  <c r="L1931" i="3" s="1"/>
  <c r="K1931" i="3"/>
  <c r="F1932" i="3"/>
  <c r="G1932" i="3" s="1"/>
  <c r="H1932" i="3"/>
  <c r="I1932" i="3" s="1"/>
  <c r="J1932" i="3" s="1"/>
  <c r="L1932" i="3" s="1" a="1"/>
  <c r="L1932" i="3" s="1"/>
  <c r="K1932" i="3"/>
  <c r="F1933" i="3"/>
  <c r="H1933" i="3" s="1"/>
  <c r="I1933" i="3" s="1"/>
  <c r="J1933" i="3" s="1"/>
  <c r="L1933" i="3" s="1" a="1"/>
  <c r="L1933" i="3" s="1"/>
  <c r="F1934" i="3"/>
  <c r="G1934" i="3" s="1"/>
  <c r="K1934" i="3"/>
  <c r="F1935" i="3"/>
  <c r="H1935" i="3" s="1"/>
  <c r="I1935" i="3" s="1"/>
  <c r="J1935" i="3" s="1"/>
  <c r="L1935" i="3" s="1" a="1"/>
  <c r="L1935" i="3" s="1"/>
  <c r="G1935" i="3"/>
  <c r="K1935" i="3"/>
  <c r="F1936" i="3"/>
  <c r="H1936" i="3" s="1"/>
  <c r="G1936" i="3"/>
  <c r="I1936" i="3"/>
  <c r="J1936" i="3" s="1"/>
  <c r="L1936" i="3" s="1" a="1"/>
  <c r="L1936" i="3" s="1"/>
  <c r="K1936" i="3"/>
  <c r="F1937" i="3"/>
  <c r="G1937" i="3" s="1"/>
  <c r="H1937" i="3"/>
  <c r="I1937" i="3" s="1"/>
  <c r="J1937" i="3" s="1"/>
  <c r="L1937" i="3" s="1" a="1"/>
  <c r="L1937" i="3" s="1"/>
  <c r="K1937" i="3"/>
  <c r="F1938" i="3"/>
  <c r="K1938" i="3"/>
  <c r="F1939" i="3"/>
  <c r="G1939" i="3" s="1"/>
  <c r="K1939" i="3"/>
  <c r="F1940" i="3"/>
  <c r="H1940" i="3" s="1"/>
  <c r="I1940" i="3" s="1"/>
  <c r="J1940" i="3" s="1"/>
  <c r="L1940" i="3" s="1" a="1"/>
  <c r="L1940" i="3" s="1"/>
  <c r="G1940" i="3"/>
  <c r="F1941" i="3"/>
  <c r="K1941" i="3"/>
  <c r="F1942" i="3"/>
  <c r="H1942" i="3" s="1"/>
  <c r="I1942" i="3" s="1"/>
  <c r="J1942" i="3" s="1"/>
  <c r="L1942" i="3" s="1" a="1"/>
  <c r="L1942" i="3" s="1"/>
  <c r="K1942" i="3"/>
  <c r="F1943" i="3"/>
  <c r="H1943" i="3" s="1"/>
  <c r="I1943" i="3" s="1"/>
  <c r="J1943" i="3" s="1"/>
  <c r="L1943" i="3" s="1" a="1"/>
  <c r="L1943" i="3" s="1"/>
  <c r="G1943" i="3"/>
  <c r="K1943" i="3"/>
  <c r="F1944" i="3"/>
  <c r="H1944" i="3" s="1"/>
  <c r="I1944" i="3" s="1"/>
  <c r="J1944" i="3" s="1"/>
  <c r="L1944" i="3" s="1" a="1"/>
  <c r="L1944" i="3" s="1"/>
  <c r="K1944" i="3"/>
  <c r="F1945" i="3"/>
  <c r="G1945" i="3" s="1"/>
  <c r="F1946" i="3"/>
  <c r="G1946" i="3" s="1"/>
  <c r="H1946" i="3"/>
  <c r="I1946" i="3" s="1"/>
  <c r="J1946" i="3" s="1"/>
  <c r="L1946" i="3" s="1" a="1"/>
  <c r="L1946" i="3" s="1"/>
  <c r="F1947" i="3"/>
  <c r="G1947" i="3" s="1"/>
  <c r="F1948" i="3"/>
  <c r="H1948" i="3" s="1"/>
  <c r="I1948" i="3" s="1"/>
  <c r="J1948" i="3" s="1"/>
  <c r="L1948" i="3" s="1" a="1"/>
  <c r="L1948" i="3" s="1"/>
  <c r="G1948" i="3"/>
  <c r="F1949" i="3"/>
  <c r="G1949" i="3" s="1"/>
  <c r="F1950" i="3"/>
  <c r="G1950" i="3" s="1"/>
  <c r="H1950" i="3"/>
  <c r="I1950" i="3" s="1"/>
  <c r="J1950" i="3" s="1"/>
  <c r="L1950" i="3" s="1" a="1"/>
  <c r="L1950" i="3" s="1"/>
  <c r="K1950" i="3"/>
  <c r="F1951" i="3"/>
  <c r="G1951" i="3" s="1"/>
  <c r="K1951" i="3"/>
  <c r="F1952" i="3"/>
  <c r="G1952" i="3"/>
  <c r="H1952" i="3"/>
  <c r="I1952" i="3" s="1"/>
  <c r="J1952" i="3"/>
  <c r="L1952" i="3" s="1" a="1"/>
  <c r="L1952" i="3" s="1"/>
  <c r="K1952" i="3"/>
  <c r="F1953" i="3"/>
  <c r="H1953" i="3" s="1"/>
  <c r="I1953" i="3" s="1"/>
  <c r="J1953" i="3" s="1"/>
  <c r="L1953" i="3" s="1" a="1"/>
  <c r="L1953" i="3" s="1"/>
  <c r="K1953" i="3"/>
  <c r="F1954" i="3"/>
  <c r="G1954" i="3" s="1"/>
  <c r="F1955" i="3"/>
  <c r="G1955" i="3" s="1"/>
  <c r="H1955" i="3"/>
  <c r="I1955" i="3" s="1"/>
  <c r="J1955" i="3" s="1"/>
  <c r="L1955" i="3" s="1" a="1"/>
  <c r="L1955" i="3" s="1"/>
  <c r="K1955" i="3"/>
  <c r="F1956" i="3"/>
  <c r="F1957" i="3"/>
  <c r="H1957" i="3" s="1"/>
  <c r="I1957" i="3" s="1"/>
  <c r="J1957" i="3" s="1"/>
  <c r="L1957" i="3" s="1" a="1"/>
  <c r="L1957" i="3" s="1"/>
  <c r="G1957" i="3"/>
  <c r="F1958" i="3"/>
  <c r="H1958" i="3" s="1"/>
  <c r="I1958" i="3" s="1"/>
  <c r="J1958" i="3" s="1"/>
  <c r="L1958" i="3" s="1" a="1"/>
  <c r="L1958" i="3" s="1"/>
  <c r="G1958" i="3"/>
  <c r="F1959" i="3"/>
  <c r="H1959" i="3" s="1"/>
  <c r="I1959" i="3" s="1"/>
  <c r="J1959" i="3" s="1"/>
  <c r="G1959" i="3"/>
  <c r="K1959" i="3"/>
  <c r="L1959" i="3" a="1"/>
  <c r="L1959" i="3" s="1"/>
  <c r="F1960" i="3"/>
  <c r="K1960" i="3"/>
  <c r="F1961" i="3"/>
  <c r="H1961" i="3" s="1"/>
  <c r="I1961" i="3" s="1"/>
  <c r="J1961" i="3" s="1"/>
  <c r="L1961" i="3" s="1" a="1"/>
  <c r="L1961" i="3" s="1"/>
  <c r="G1961" i="3"/>
  <c r="F1962" i="3"/>
  <c r="G1962" i="3"/>
  <c r="H1962" i="3"/>
  <c r="I1962" i="3" s="1"/>
  <c r="J1962" i="3" s="1"/>
  <c r="L1962" i="3" s="1" a="1"/>
  <c r="L1962" i="3" s="1"/>
  <c r="F1963" i="3"/>
  <c r="H1963" i="3" s="1"/>
  <c r="I1963" i="3" s="1"/>
  <c r="J1963" i="3" s="1"/>
  <c r="L1963" i="3" s="1" a="1"/>
  <c r="L1963" i="3" s="1"/>
  <c r="G1963" i="3"/>
  <c r="K1963" i="3"/>
  <c r="F1964" i="3"/>
  <c r="F1965" i="3"/>
  <c r="F1966" i="3"/>
  <c r="F1967" i="3"/>
  <c r="H1967" i="3" s="1"/>
  <c r="I1967" i="3" s="1"/>
  <c r="J1967" i="3" s="1"/>
  <c r="L1967" i="3" s="1" a="1"/>
  <c r="L1967" i="3" s="1"/>
  <c r="G1967" i="3"/>
  <c r="F1968" i="3"/>
  <c r="F1969" i="3"/>
  <c r="G1969" i="3" s="1"/>
  <c r="F1970" i="3"/>
  <c r="G1970" i="3" s="1"/>
  <c r="H1970" i="3"/>
  <c r="I1970" i="3" s="1"/>
  <c r="J1970" i="3" s="1"/>
  <c r="L1970" i="3" s="1" a="1"/>
  <c r="L1970" i="3" s="1"/>
  <c r="F1971" i="3"/>
  <c r="G1971" i="3" s="1"/>
  <c r="F1972" i="3"/>
  <c r="H1972" i="3" s="1"/>
  <c r="I1972" i="3" s="1"/>
  <c r="J1972" i="3" s="1"/>
  <c r="L1972" i="3" s="1" a="1"/>
  <c r="L1972" i="3" s="1"/>
  <c r="G1972" i="3"/>
  <c r="F1973" i="3"/>
  <c r="G1973" i="3"/>
  <c r="H1973" i="3"/>
  <c r="I1973" i="3" s="1"/>
  <c r="J1973" i="3" s="1"/>
  <c r="L1973" i="3" s="1" a="1"/>
  <c r="L1973" i="3" s="1"/>
  <c r="F1974" i="3"/>
  <c r="K1974" i="3"/>
  <c r="F1975" i="3"/>
  <c r="G1975" i="3"/>
  <c r="H1975" i="3"/>
  <c r="I1975" i="3" s="1"/>
  <c r="J1975" i="3" s="1"/>
  <c r="L1975" i="3" s="1" a="1"/>
  <c r="L1975" i="3" s="1"/>
  <c r="F1976" i="3"/>
  <c r="K1976" i="3"/>
  <c r="F1977" i="3"/>
  <c r="G1977" i="3"/>
  <c r="H1977" i="3"/>
  <c r="I1977" i="3" s="1"/>
  <c r="J1977" i="3" s="1"/>
  <c r="L1977" i="3" s="1" a="1"/>
  <c r="L1977" i="3" s="1"/>
  <c r="F1978" i="3"/>
  <c r="G1978" i="3" s="1"/>
  <c r="F1979" i="3"/>
  <c r="F1980" i="3"/>
  <c r="H1980" i="3" s="1"/>
  <c r="I1980" i="3" s="1"/>
  <c r="J1980" i="3" s="1"/>
  <c r="L1980" i="3" s="1" a="1"/>
  <c r="L1980" i="3" s="1"/>
  <c r="F1981" i="3"/>
  <c r="G1981" i="3" s="1"/>
  <c r="F1982" i="3"/>
  <c r="G1982" i="3" s="1"/>
  <c r="F1983" i="3"/>
  <c r="F1984" i="3"/>
  <c r="G1984" i="3" s="1"/>
  <c r="H1984" i="3"/>
  <c r="I1984" i="3" s="1"/>
  <c r="J1984" i="3" s="1"/>
  <c r="L1984" i="3" s="1" a="1"/>
  <c r="L1984" i="3" s="1"/>
  <c r="F1985" i="3"/>
  <c r="F1986" i="3"/>
  <c r="G1986" i="3" s="1"/>
  <c r="H1986" i="3"/>
  <c r="I1986" i="3" s="1"/>
  <c r="J1986" i="3" s="1"/>
  <c r="L1986" i="3" s="1" a="1"/>
  <c r="L1986" i="3" s="1"/>
  <c r="F1987" i="3"/>
  <c r="H1987" i="3" s="1"/>
  <c r="I1987" i="3" s="1"/>
  <c r="J1987" i="3" s="1"/>
  <c r="L1987" i="3" s="1" a="1"/>
  <c r="L1987" i="3" s="1"/>
  <c r="G1987" i="3"/>
  <c r="F1988" i="3"/>
  <c r="G1988" i="3"/>
  <c r="H1988" i="3"/>
  <c r="I1988" i="3" s="1"/>
  <c r="J1988" i="3" s="1"/>
  <c r="L1988" i="3" s="1" a="1"/>
  <c r="L1988" i="3" s="1"/>
  <c r="F1989" i="3"/>
  <c r="G1989" i="3" s="1"/>
  <c r="F1990" i="3"/>
  <c r="G1990" i="3"/>
  <c r="H1990" i="3"/>
  <c r="I1990" i="3" s="1"/>
  <c r="J1990" i="3" s="1"/>
  <c r="L1990" i="3" s="1" a="1"/>
  <c r="L1990" i="3" s="1"/>
  <c r="F1991" i="3"/>
  <c r="F1992" i="3"/>
  <c r="F1993" i="3"/>
  <c r="H1993" i="3" s="1"/>
  <c r="I1993" i="3" s="1"/>
  <c r="J1993" i="3" s="1"/>
  <c r="L1993" i="3" s="1" a="1"/>
  <c r="L1993" i="3" s="1"/>
  <c r="G1993" i="3"/>
  <c r="K1993" i="3"/>
  <c r="F1994" i="3"/>
  <c r="H1994" i="3" s="1"/>
  <c r="I1994" i="3" s="1"/>
  <c r="J1994" i="3" s="1"/>
  <c r="L1994" i="3" s="1" a="1"/>
  <c r="L1994" i="3" s="1"/>
  <c r="G1994" i="3"/>
  <c r="F1995" i="3"/>
  <c r="G1995" i="3" s="1"/>
  <c r="F1996" i="3"/>
  <c r="H1996" i="3" s="1"/>
  <c r="I1996" i="3" s="1"/>
  <c r="J1996" i="3" s="1"/>
  <c r="L1996" i="3" s="1" a="1"/>
  <c r="L1996" i="3" s="1"/>
  <c r="K1996" i="3"/>
  <c r="F1997" i="3"/>
  <c r="G1997" i="3"/>
  <c r="H1997" i="3"/>
  <c r="I1997" i="3"/>
  <c r="J1997" i="3" s="1"/>
  <c r="L1997" i="3" s="1" a="1"/>
  <c r="L1997" i="3" s="1"/>
  <c r="K1997" i="3"/>
  <c r="F1998" i="3"/>
  <c r="H1998" i="3" s="1"/>
  <c r="I1998" i="3" s="1"/>
  <c r="J1998" i="3" s="1"/>
  <c r="L1998" i="3" s="1" a="1"/>
  <c r="L1998" i="3" s="1"/>
  <c r="K1998" i="3"/>
  <c r="F1999" i="3"/>
  <c r="G1999" i="3" s="1"/>
  <c r="H1999" i="3"/>
  <c r="I1999" i="3" s="1"/>
  <c r="J1999" i="3" s="1"/>
  <c r="L1999" i="3" s="1" a="1"/>
  <c r="L1999" i="3" s="1"/>
  <c r="F2000" i="3"/>
  <c r="H2000" i="3" s="1"/>
  <c r="I2000" i="3" s="1"/>
  <c r="J2000" i="3" s="1"/>
  <c r="L2000" i="3" s="1" a="1"/>
  <c r="L2000" i="3" s="1"/>
  <c r="G2000" i="3"/>
  <c r="K2000" i="3"/>
  <c r="F2001" i="3"/>
  <c r="G2001" i="3"/>
  <c r="H2001" i="3"/>
  <c r="I2001" i="3" s="1"/>
  <c r="J2001" i="3" s="1"/>
  <c r="L2001" i="3" s="1" a="1"/>
  <c r="L2001" i="3" s="1"/>
  <c r="F2002" i="3"/>
  <c r="G2002" i="3"/>
  <c r="H2002" i="3"/>
  <c r="I2002" i="3" s="1"/>
  <c r="J2002" i="3" s="1"/>
  <c r="L2002" i="3" s="1" a="1"/>
  <c r="L2002" i="3" s="1"/>
  <c r="K2002" i="3"/>
  <c r="F2003" i="3"/>
  <c r="G2003" i="3"/>
  <c r="H2003" i="3"/>
  <c r="I2003" i="3" s="1"/>
  <c r="J2003" i="3" s="1"/>
  <c r="L2003" i="3" s="1" a="1"/>
  <c r="L2003" i="3" s="1"/>
  <c r="K2003" i="3"/>
  <c r="F2004" i="3"/>
  <c r="G2004" i="3" s="1"/>
  <c r="H2004" i="3"/>
  <c r="I2004" i="3"/>
  <c r="J2004" i="3" s="1"/>
  <c r="L2004" i="3" s="1" a="1"/>
  <c r="L2004" i="3" s="1"/>
  <c r="K2004" i="3"/>
  <c r="F2005" i="3"/>
  <c r="F2006" i="3"/>
  <c r="G2006" i="3" s="1"/>
  <c r="H2006" i="3"/>
  <c r="I2006" i="3" s="1"/>
  <c r="J2006" i="3"/>
  <c r="L2006" i="3" s="1" a="1"/>
  <c r="L2006" i="3" s="1"/>
  <c r="K2006" i="3"/>
  <c r="F2007" i="3"/>
  <c r="G2007" i="3"/>
  <c r="H2007" i="3"/>
  <c r="I2007" i="3"/>
  <c r="J2007" i="3" s="1"/>
  <c r="K2007" i="3"/>
  <c r="L2007" i="3" a="1"/>
  <c r="L2007" i="3" s="1"/>
  <c r="F2008" i="3"/>
  <c r="H2008" i="3" s="1"/>
  <c r="I2008" i="3" s="1"/>
  <c r="J2008" i="3" s="1"/>
  <c r="L2008" i="3" s="1" a="1"/>
  <c r="L2008" i="3" s="1"/>
  <c r="G2008" i="3"/>
  <c r="K2008" i="3"/>
  <c r="F2009" i="3"/>
  <c r="H2009" i="3" s="1"/>
  <c r="I2009" i="3" s="1"/>
  <c r="J2009" i="3" s="1"/>
  <c r="L2009" i="3" s="1" a="1"/>
  <c r="L2009" i="3" s="1"/>
  <c r="F2010" i="3"/>
  <c r="G2010" i="3" s="1"/>
  <c r="H2010" i="3"/>
  <c r="I2010" i="3"/>
  <c r="J2010" i="3" s="1"/>
  <c r="L2010" i="3" s="1" a="1"/>
  <c r="L2010" i="3" s="1"/>
  <c r="F2011" i="3"/>
  <c r="G2011" i="3"/>
  <c r="H2011" i="3"/>
  <c r="I2011" i="3" s="1"/>
  <c r="J2011" i="3" s="1"/>
  <c r="L2011" i="3" s="1" a="1"/>
  <c r="L2011" i="3" s="1"/>
  <c r="F2012" i="3"/>
  <c r="H2012" i="3" s="1"/>
  <c r="I2012" i="3" s="1"/>
  <c r="J2012" i="3" s="1"/>
  <c r="L2012" i="3" s="1" a="1"/>
  <c r="L2012" i="3" s="1"/>
  <c r="G2012" i="3"/>
  <c r="F2013" i="3"/>
  <c r="G2013" i="3"/>
  <c r="H2013" i="3"/>
  <c r="I2013" i="3" s="1"/>
  <c r="J2013" i="3" s="1"/>
  <c r="L2013" i="3" s="1" a="1"/>
  <c r="L2013" i="3" s="1"/>
  <c r="F2014" i="3"/>
  <c r="H2014" i="3" s="1"/>
  <c r="I2014" i="3" s="1"/>
  <c r="J2014" i="3" s="1"/>
  <c r="L2014" i="3" s="1" a="1"/>
  <c r="L2014" i="3" s="1"/>
  <c r="G2014" i="3"/>
  <c r="F2015" i="3"/>
  <c r="G2015" i="3"/>
  <c r="H2015" i="3"/>
  <c r="I2015" i="3" s="1"/>
  <c r="J2015" i="3" s="1"/>
  <c r="L2015" i="3" s="1" a="1"/>
  <c r="L2015" i="3" s="1"/>
  <c r="K2015" i="3"/>
  <c r="F2016" i="3"/>
  <c r="G2016" i="3"/>
  <c r="H2016" i="3"/>
  <c r="I2016" i="3" s="1"/>
  <c r="J2016" i="3" s="1"/>
  <c r="L2016" i="3" s="1" a="1"/>
  <c r="L2016" i="3" s="1"/>
  <c r="K2016" i="3"/>
  <c r="F2017" i="3"/>
  <c r="G2017" i="3" s="1"/>
  <c r="F2018" i="3"/>
  <c r="F2019" i="3"/>
  <c r="G2019" i="3" s="1"/>
  <c r="F2020" i="3"/>
  <c r="K2020" i="3"/>
  <c r="F2021" i="3"/>
  <c r="F2022" i="3"/>
  <c r="H2022" i="3" s="1"/>
  <c r="I2022" i="3" s="1"/>
  <c r="J2022" i="3"/>
  <c r="L2022" i="3" s="1" a="1"/>
  <c r="L2022" i="3" s="1"/>
  <c r="K2022" i="3"/>
  <c r="F2023" i="3"/>
  <c r="G2023" i="3" s="1"/>
  <c r="H2023" i="3"/>
  <c r="I2023" i="3" s="1"/>
  <c r="J2023" i="3" s="1"/>
  <c r="L2023" i="3" s="1" a="1"/>
  <c r="L2023" i="3" s="1"/>
  <c r="F2024" i="3"/>
  <c r="G2024" i="3" s="1"/>
  <c r="K2024" i="3"/>
  <c r="F2025" i="3"/>
  <c r="G2025" i="3" s="1"/>
  <c r="F2026" i="3"/>
  <c r="G2026" i="3"/>
  <c r="H2026" i="3"/>
  <c r="I2026" i="3" s="1"/>
  <c r="J2026" i="3" s="1"/>
  <c r="L2026" i="3" s="1" a="1"/>
  <c r="L2026" i="3" s="1"/>
  <c r="F2027" i="3"/>
  <c r="H2027" i="3" s="1"/>
  <c r="I2027" i="3" s="1"/>
  <c r="J2027" i="3" s="1"/>
  <c r="L2027" i="3" s="1" a="1"/>
  <c r="L2027" i="3" s="1"/>
  <c r="G2027" i="3"/>
  <c r="K2027" i="3"/>
  <c r="F2028" i="3"/>
  <c r="G2028" i="3" s="1"/>
  <c r="H2028" i="3"/>
  <c r="I2028" i="3" s="1"/>
  <c r="J2028" i="3" s="1"/>
  <c r="L2028" i="3" s="1" a="1"/>
  <c r="L2028" i="3" s="1"/>
  <c r="F2029" i="3"/>
  <c r="H2029" i="3" s="1"/>
  <c r="I2029" i="3" s="1"/>
  <c r="J2029" i="3" s="1"/>
  <c r="L2029" i="3" s="1" a="1"/>
  <c r="L2029" i="3" s="1"/>
  <c r="F2030" i="3"/>
  <c r="H2030" i="3" s="1"/>
  <c r="I2030" i="3" s="1"/>
  <c r="J2030" i="3" s="1"/>
  <c r="L2030" i="3" s="1" a="1"/>
  <c r="L2030" i="3" s="1"/>
  <c r="G2030" i="3"/>
  <c r="F2031" i="3"/>
  <c r="H2031" i="3" s="1"/>
  <c r="I2031" i="3" s="1"/>
  <c r="J2031" i="3" s="1"/>
  <c r="L2031" i="3" s="1" a="1"/>
  <c r="L2031" i="3" s="1"/>
  <c r="F2032" i="3"/>
  <c r="G2032" i="3"/>
  <c r="H2032" i="3"/>
  <c r="I2032" i="3"/>
  <c r="J2032" i="3" s="1"/>
  <c r="L2032" i="3" s="1" a="1"/>
  <c r="L2032" i="3" s="1"/>
  <c r="F2033" i="3"/>
  <c r="G2033" i="3" s="1"/>
  <c r="F2034" i="3"/>
  <c r="F2035" i="3"/>
  <c r="G2035" i="3"/>
  <c r="H2035" i="3"/>
  <c r="I2035" i="3" s="1"/>
  <c r="J2035" i="3" s="1"/>
  <c r="L2035" i="3" s="1" a="1"/>
  <c r="L2035" i="3" s="1"/>
  <c r="F2036" i="3"/>
  <c r="G2036" i="3" s="1"/>
  <c r="F2037" i="3"/>
  <c r="F2038" i="3"/>
  <c r="K2038" i="3"/>
  <c r="F2039" i="3"/>
  <c r="H2039" i="3" s="1"/>
  <c r="I2039" i="3" s="1"/>
  <c r="J2039" i="3" s="1"/>
  <c r="L2039" i="3" s="1" a="1"/>
  <c r="L2039" i="3" s="1"/>
  <c r="G2039" i="3"/>
  <c r="K2039" i="3"/>
  <c r="F2040" i="3"/>
  <c r="G2040" i="3" s="1"/>
  <c r="H2040" i="3"/>
  <c r="I2040" i="3" s="1"/>
  <c r="J2040" i="3"/>
  <c r="L2040" i="3" s="1" a="1"/>
  <c r="L2040" i="3" s="1"/>
  <c r="K2040" i="3"/>
  <c r="F2041" i="3"/>
  <c r="G2041" i="3" s="1"/>
  <c r="H2041" i="3"/>
  <c r="I2041" i="3"/>
  <c r="J2041" i="3" s="1"/>
  <c r="L2041" i="3" s="1" a="1"/>
  <c r="L2041" i="3" s="1"/>
  <c r="K2041" i="3"/>
  <c r="F2042" i="3"/>
  <c r="G2042" i="3" s="1"/>
  <c r="F2043" i="3"/>
  <c r="F2044" i="3"/>
  <c r="G2044" i="3" s="1"/>
  <c r="F2045" i="3"/>
  <c r="G2045" i="3" s="1"/>
  <c r="F2046" i="3"/>
  <c r="F2047" i="3"/>
  <c r="K2047" i="3"/>
  <c r="F2048" i="3"/>
  <c r="G2048" i="3"/>
  <c r="H2048" i="3"/>
  <c r="I2048" i="3" s="1"/>
  <c r="J2048" i="3" s="1"/>
  <c r="L2048" i="3" s="1" a="1"/>
  <c r="L2048" i="3" s="1"/>
  <c r="F2049" i="3"/>
  <c r="G2049" i="3" s="1"/>
  <c r="H2049" i="3"/>
  <c r="I2049" i="3" s="1"/>
  <c r="J2049" i="3" s="1"/>
  <c r="L2049" i="3" s="1" a="1"/>
  <c r="L2049" i="3" s="1"/>
  <c r="F2050" i="3"/>
  <c r="H2050" i="3" s="1"/>
  <c r="I2050" i="3" s="1"/>
  <c r="J2050" i="3" s="1"/>
  <c r="L2050" i="3" s="1" a="1"/>
  <c r="L2050" i="3" s="1"/>
  <c r="G2050" i="3"/>
  <c r="F2051" i="3"/>
  <c r="F2052" i="3"/>
  <c r="G2052" i="3" s="1"/>
  <c r="H2052" i="3"/>
  <c r="I2052" i="3" s="1"/>
  <c r="J2052" i="3" s="1"/>
  <c r="L2052" i="3" s="1" a="1"/>
  <c r="L2052" i="3" s="1"/>
  <c r="F2053" i="3"/>
  <c r="F2054" i="3"/>
  <c r="G2054" i="3"/>
  <c r="H2054" i="3"/>
  <c r="I2054" i="3" s="1"/>
  <c r="J2054" i="3" s="1"/>
  <c r="L2054" i="3" s="1" a="1"/>
  <c r="L2054" i="3" s="1"/>
  <c r="F2055" i="3"/>
  <c r="F2056" i="3"/>
  <c r="G2056" i="3"/>
  <c r="H2056" i="3"/>
  <c r="I2056" i="3" s="1"/>
  <c r="J2056" i="3"/>
  <c r="L2056" i="3" a="1"/>
  <c r="L2056" i="3" s="1"/>
  <c r="F2057" i="3"/>
  <c r="H2057" i="3" s="1"/>
  <c r="I2057" i="3" s="1"/>
  <c r="J2057" i="3" s="1"/>
  <c r="L2057" i="3" s="1" a="1"/>
  <c r="L2057" i="3" s="1"/>
  <c r="F2058" i="3"/>
  <c r="G2058" i="3" s="1"/>
  <c r="H2058" i="3"/>
  <c r="I2058" i="3" s="1"/>
  <c r="J2058" i="3" s="1"/>
  <c r="L2058" i="3" s="1" a="1"/>
  <c r="L2058" i="3" s="1"/>
  <c r="K2058" i="3"/>
  <c r="F2059" i="3"/>
  <c r="H2059" i="3" s="1"/>
  <c r="I2059" i="3" s="1"/>
  <c r="J2059" i="3" s="1"/>
  <c r="L2059" i="3" s="1" a="1"/>
  <c r="L2059" i="3" s="1"/>
  <c r="F2060" i="3"/>
  <c r="G2060" i="3"/>
  <c r="H2060" i="3"/>
  <c r="I2060" i="3" s="1"/>
  <c r="J2060" i="3" s="1"/>
  <c r="L2060" i="3" s="1" a="1"/>
  <c r="L2060" i="3" s="1"/>
  <c r="K2060" i="3"/>
  <c r="F2061" i="3"/>
  <c r="H2061" i="3" s="1"/>
  <c r="I2061" i="3" s="1"/>
  <c r="J2061" i="3" s="1"/>
  <c r="L2061" i="3" s="1" a="1"/>
  <c r="L2061" i="3" s="1"/>
  <c r="G2061" i="3"/>
  <c r="K2061" i="3"/>
  <c r="F2062" i="3"/>
  <c r="H2062" i="3" s="1"/>
  <c r="I2062" i="3" s="1"/>
  <c r="J2062" i="3" s="1"/>
  <c r="L2062" i="3" s="1" a="1"/>
  <c r="L2062" i="3" s="1"/>
  <c r="G2062" i="3"/>
  <c r="K2062" i="3"/>
  <c r="F2063" i="3"/>
  <c r="G2063" i="3" s="1"/>
  <c r="K2063" i="3"/>
  <c r="F2064" i="3"/>
  <c r="K2064" i="3"/>
  <c r="F2065" i="3"/>
  <c r="G2065" i="3" s="1"/>
  <c r="K2065" i="3"/>
  <c r="F2066" i="3"/>
  <c r="G2066" i="3"/>
  <c r="H2066" i="3"/>
  <c r="I2066" i="3" s="1"/>
  <c r="J2066" i="3" s="1"/>
  <c r="L2066" i="3" s="1" a="1"/>
  <c r="L2066" i="3" s="1"/>
  <c r="K2066" i="3"/>
  <c r="F2067" i="3"/>
  <c r="G2067" i="3" s="1"/>
  <c r="H2067" i="3"/>
  <c r="I2067" i="3"/>
  <c r="J2067" i="3"/>
  <c r="K2067" i="3"/>
  <c r="L2067" i="3" a="1"/>
  <c r="L2067" i="3" s="1"/>
  <c r="F2068" i="3"/>
  <c r="K2068" i="3"/>
  <c r="F2069" i="3"/>
  <c r="F2070" i="3"/>
  <c r="H2070" i="3" s="1"/>
  <c r="I2070" i="3" s="1"/>
  <c r="J2070" i="3" s="1"/>
  <c r="L2070" i="3" s="1" a="1"/>
  <c r="L2070" i="3" s="1"/>
  <c r="G2070" i="3"/>
  <c r="F2071" i="3"/>
  <c r="H2071" i="3" s="1"/>
  <c r="I2071" i="3" s="1"/>
  <c r="J2071" i="3" s="1"/>
  <c r="L2071" i="3" s="1" a="1"/>
  <c r="L2071" i="3" s="1"/>
  <c r="K2071" i="3"/>
  <c r="F2072" i="3"/>
  <c r="G2072" i="3"/>
  <c r="H2072" i="3"/>
  <c r="I2072" i="3" s="1"/>
  <c r="J2072" i="3" s="1"/>
  <c r="L2072" i="3" s="1" a="1"/>
  <c r="L2072" i="3" s="1"/>
  <c r="F2073" i="3"/>
  <c r="H2073" i="3" s="1"/>
  <c r="I2073" i="3" s="1"/>
  <c r="G2073" i="3"/>
  <c r="J2073" i="3"/>
  <c r="L2073" i="3" s="1" a="1"/>
  <c r="L2073" i="3" s="1"/>
  <c r="K2073" i="3"/>
  <c r="F2074" i="3"/>
  <c r="H2074" i="3" s="1"/>
  <c r="I2074" i="3" s="1"/>
  <c r="J2074" i="3" s="1"/>
  <c r="L2074" i="3" s="1" a="1"/>
  <c r="L2074" i="3" s="1"/>
  <c r="G2074" i="3"/>
  <c r="F2075" i="3"/>
  <c r="G2075" i="3"/>
  <c r="H2075" i="3"/>
  <c r="I2075" i="3" s="1"/>
  <c r="J2075" i="3" s="1"/>
  <c r="L2075" i="3" s="1" a="1"/>
  <c r="L2075" i="3" s="1"/>
  <c r="F2076" i="3"/>
  <c r="K2076" i="3"/>
  <c r="F2077" i="3"/>
  <c r="H2077" i="3" s="1"/>
  <c r="I2077" i="3" s="1"/>
  <c r="J2077" i="3" s="1"/>
  <c r="L2077" i="3" s="1" a="1"/>
  <c r="L2077" i="3" s="1"/>
  <c r="K2077" i="3"/>
  <c r="F2078" i="3"/>
  <c r="G2078" i="3" s="1"/>
  <c r="F2079" i="3"/>
  <c r="H2079" i="3" s="1"/>
  <c r="I2079" i="3" s="1"/>
  <c r="J2079" i="3" s="1"/>
  <c r="L2079" i="3" s="1" a="1"/>
  <c r="L2079" i="3" s="1"/>
  <c r="G2079" i="3"/>
  <c r="F2080" i="3"/>
  <c r="K2080" i="3"/>
  <c r="F2081" i="3"/>
  <c r="K2081" i="3"/>
  <c r="F2082" i="3"/>
  <c r="G2082" i="3"/>
  <c r="H2082" i="3"/>
  <c r="I2082" i="3" s="1"/>
  <c r="J2082" i="3" s="1"/>
  <c r="L2082" i="3" s="1" a="1"/>
  <c r="L2082" i="3" s="1"/>
  <c r="F2083" i="3"/>
  <c r="H2083" i="3" s="1"/>
  <c r="I2083" i="3" s="1"/>
  <c r="J2083" i="3" s="1"/>
  <c r="L2083" i="3" s="1" a="1"/>
  <c r="L2083" i="3" s="1"/>
  <c r="G2083" i="3"/>
  <c r="F2084" i="3"/>
  <c r="H2084" i="3" s="1"/>
  <c r="I2084" i="3" s="1"/>
  <c r="J2084" i="3" s="1"/>
  <c r="L2084" i="3" s="1" a="1"/>
  <c r="L2084" i="3" s="1"/>
  <c r="K2084" i="3"/>
  <c r="F2085" i="3"/>
  <c r="F2086" i="3"/>
  <c r="F2087" i="3"/>
  <c r="G2087" i="3" s="1"/>
  <c r="K2087" i="3"/>
  <c r="F2088" i="3"/>
  <c r="G2088" i="3" s="1"/>
  <c r="K2088" i="3"/>
  <c r="F2089" i="3"/>
  <c r="G2089" i="3" s="1"/>
  <c r="F2090" i="3"/>
  <c r="F2091" i="3"/>
  <c r="H2091" i="3" s="1"/>
  <c r="I2091" i="3" s="1"/>
  <c r="J2091" i="3" s="1"/>
  <c r="L2091" i="3" s="1" a="1"/>
  <c r="L2091" i="3" s="1"/>
  <c r="G2091" i="3"/>
  <c r="K2091" i="3"/>
  <c r="F2092" i="3"/>
  <c r="H2092" i="3" s="1"/>
  <c r="G2092" i="3"/>
  <c r="I2092" i="3"/>
  <c r="J2092" i="3" s="1"/>
  <c r="L2092" i="3" s="1" a="1"/>
  <c r="L2092" i="3" s="1"/>
  <c r="F2093" i="3"/>
  <c r="G2093" i="3"/>
  <c r="H2093" i="3"/>
  <c r="I2093" i="3"/>
  <c r="J2093" i="3"/>
  <c r="L2093" i="3" s="1" a="1"/>
  <c r="L2093" i="3" s="1"/>
  <c r="K2093" i="3"/>
  <c r="F2094" i="3"/>
  <c r="H2094" i="3" s="1"/>
  <c r="I2094" i="3" s="1"/>
  <c r="J2094" i="3" s="1"/>
  <c r="L2094" i="3" s="1" a="1"/>
  <c r="L2094" i="3" s="1"/>
  <c r="G2094" i="3"/>
  <c r="F2095" i="3"/>
  <c r="F2096" i="3"/>
  <c r="H2096" i="3" s="1"/>
  <c r="I2096" i="3" s="1"/>
  <c r="J2096" i="3" s="1"/>
  <c r="L2096" i="3" s="1" a="1"/>
  <c r="L2096" i="3" s="1"/>
  <c r="F2097" i="3"/>
  <c r="G2097" i="3"/>
  <c r="H2097" i="3"/>
  <c r="I2097" i="3" s="1"/>
  <c r="J2097" i="3" s="1"/>
  <c r="L2097" i="3" s="1" a="1"/>
  <c r="L2097" i="3" s="1"/>
  <c r="F2098" i="3"/>
  <c r="H2098" i="3" s="1"/>
  <c r="I2098" i="3" s="1"/>
  <c r="J2098" i="3" s="1"/>
  <c r="L2098" i="3" s="1" a="1"/>
  <c r="L2098" i="3" s="1"/>
  <c r="G2098" i="3"/>
  <c r="F2099" i="3"/>
  <c r="G2099" i="3" s="1"/>
  <c r="F2100" i="3"/>
  <c r="H2100" i="3" s="1"/>
  <c r="I2100" i="3" s="1"/>
  <c r="J2100" i="3" s="1"/>
  <c r="L2100" i="3" s="1" a="1"/>
  <c r="L2100" i="3" s="1"/>
  <c r="F2101" i="3"/>
  <c r="H2101" i="3" s="1"/>
  <c r="I2101" i="3" s="1"/>
  <c r="J2101" i="3" s="1"/>
  <c r="L2101" i="3" s="1" a="1"/>
  <c r="L2101" i="3" s="1"/>
  <c r="G2101" i="3"/>
  <c r="F2102" i="3"/>
  <c r="G2102" i="3" s="1"/>
  <c r="H2102" i="3"/>
  <c r="I2102" i="3" s="1"/>
  <c r="J2102" i="3" s="1"/>
  <c r="L2102" i="3" s="1" a="1"/>
  <c r="L2102" i="3" s="1"/>
  <c r="K2102" i="3"/>
  <c r="F2103" i="3"/>
  <c r="G2103" i="3" s="1"/>
  <c r="K2103" i="3"/>
  <c r="F2104" i="3"/>
  <c r="G2104" i="3"/>
  <c r="H2104" i="3"/>
  <c r="I2104" i="3" s="1"/>
  <c r="J2104" i="3" s="1"/>
  <c r="L2104" i="3" s="1" a="1"/>
  <c r="L2104" i="3" s="1"/>
  <c r="K2104" i="3"/>
  <c r="F2105" i="3"/>
  <c r="H2105" i="3" s="1"/>
  <c r="G2105" i="3"/>
  <c r="I2105" i="3"/>
  <c r="J2105" i="3"/>
  <c r="L2105" i="3" s="1" a="1"/>
  <c r="L2105" i="3" s="1"/>
  <c r="K2105" i="3"/>
  <c r="F2106" i="3"/>
  <c r="G2106" i="3"/>
  <c r="H2106" i="3"/>
  <c r="I2106" i="3"/>
  <c r="J2106" i="3" s="1"/>
  <c r="L2106" i="3" s="1" a="1"/>
  <c r="L2106" i="3" s="1"/>
  <c r="F2107" i="3"/>
  <c r="H2107" i="3" s="1"/>
  <c r="I2107" i="3" s="1"/>
  <c r="J2107" i="3" s="1"/>
  <c r="L2107" i="3" s="1" a="1"/>
  <c r="L2107" i="3" s="1"/>
  <c r="F2108" i="3"/>
  <c r="F2109" i="3"/>
  <c r="G2109" i="3" s="1"/>
  <c r="H2109" i="3"/>
  <c r="I2109" i="3" s="1"/>
  <c r="J2109" i="3" s="1"/>
  <c r="L2109" i="3" s="1" a="1"/>
  <c r="L2109" i="3" s="1"/>
  <c r="K2109" i="3"/>
  <c r="F2110" i="3"/>
  <c r="G2110" i="3" s="1"/>
  <c r="F2111" i="3"/>
  <c r="G2111" i="3" s="1"/>
  <c r="F2112" i="3"/>
  <c r="H2112" i="3" s="1"/>
  <c r="I2112" i="3" s="1"/>
  <c r="J2112" i="3" s="1"/>
  <c r="L2112" i="3" s="1" a="1"/>
  <c r="L2112" i="3" s="1"/>
  <c r="F2113" i="3"/>
  <c r="H2113" i="3" s="1"/>
  <c r="I2113" i="3" s="1"/>
  <c r="J2113" i="3" s="1"/>
  <c r="L2113" i="3" s="1" a="1"/>
  <c r="L2113" i="3" s="1"/>
  <c r="G2113" i="3"/>
  <c r="F2114" i="3"/>
  <c r="G2114" i="3" s="1"/>
  <c r="H2114" i="3"/>
  <c r="I2114" i="3" s="1"/>
  <c r="J2114" i="3" s="1"/>
  <c r="L2114" i="3" s="1" a="1"/>
  <c r="L2114" i="3" s="1"/>
  <c r="F2115" i="3"/>
  <c r="F2116" i="3"/>
  <c r="G2116" i="3"/>
  <c r="H2116" i="3"/>
  <c r="I2116" i="3" s="1"/>
  <c r="J2116" i="3" s="1"/>
  <c r="L2116" i="3" s="1" a="1"/>
  <c r="L2116" i="3" s="1"/>
  <c r="K2116" i="3"/>
  <c r="F2117" i="3"/>
  <c r="G2117" i="3"/>
  <c r="H2117" i="3"/>
  <c r="I2117" i="3" s="1"/>
  <c r="J2117" i="3" s="1"/>
  <c r="L2117" i="3" s="1" a="1"/>
  <c r="L2117" i="3" s="1"/>
  <c r="F2118" i="3"/>
  <c r="G2118" i="3"/>
  <c r="H2118" i="3"/>
  <c r="I2118" i="3" s="1"/>
  <c r="J2118" i="3" s="1"/>
  <c r="L2118" i="3" s="1" a="1"/>
  <c r="L2118" i="3" s="1"/>
  <c r="F2119" i="3"/>
  <c r="G2119" i="3" s="1"/>
  <c r="F2120" i="3"/>
  <c r="H2120" i="3" s="1"/>
  <c r="I2120" i="3" s="1"/>
  <c r="J2120" i="3" s="1"/>
  <c r="L2120" i="3" s="1" a="1"/>
  <c r="L2120" i="3" s="1"/>
  <c r="G2120" i="3"/>
  <c r="F2121" i="3"/>
  <c r="H2121" i="3" s="1"/>
  <c r="I2121" i="3" s="1"/>
  <c r="J2121" i="3" s="1"/>
  <c r="L2121" i="3" s="1" a="1"/>
  <c r="L2121" i="3" s="1"/>
  <c r="G2121" i="3"/>
  <c r="F2122" i="3"/>
  <c r="H2122" i="3" s="1"/>
  <c r="I2122" i="3" s="1"/>
  <c r="J2122" i="3" s="1"/>
  <c r="L2122" i="3" s="1" a="1"/>
  <c r="L2122" i="3" s="1"/>
  <c r="G2122" i="3"/>
  <c r="K2122" i="3"/>
  <c r="F2123" i="3"/>
  <c r="G2123" i="3" s="1"/>
  <c r="H2123" i="3"/>
  <c r="I2123" i="3" s="1"/>
  <c r="J2123" i="3" s="1"/>
  <c r="L2123" i="3" s="1" a="1"/>
  <c r="L2123" i="3" s="1"/>
  <c r="K2123" i="3"/>
  <c r="F2124" i="3"/>
  <c r="H2124" i="3" s="1"/>
  <c r="I2124" i="3" s="1"/>
  <c r="J2124" i="3" s="1"/>
  <c r="L2124" i="3" s="1" a="1"/>
  <c r="L2124" i="3" s="1"/>
  <c r="G2124" i="3"/>
  <c r="K2124" i="3"/>
  <c r="F2125" i="3"/>
  <c r="G2125" i="3" s="1"/>
  <c r="H2125" i="3"/>
  <c r="I2125" i="3" s="1"/>
  <c r="J2125" i="3" s="1"/>
  <c r="L2125" i="3" s="1" a="1"/>
  <c r="L2125" i="3" s="1"/>
  <c r="K2125" i="3"/>
  <c r="F2126" i="3"/>
  <c r="G2126" i="3" s="1"/>
  <c r="K2126" i="3"/>
  <c r="F2127" i="3"/>
  <c r="G2127" i="3" s="1"/>
  <c r="H2127" i="3"/>
  <c r="I2127" i="3" s="1"/>
  <c r="J2127" i="3" s="1"/>
  <c r="L2127" i="3" s="1" a="1"/>
  <c r="L2127" i="3" s="1"/>
  <c r="K2127" i="3"/>
  <c r="F2128" i="3"/>
  <c r="G2128" i="3" s="1"/>
  <c r="K2128" i="3"/>
  <c r="F2129" i="3"/>
  <c r="G2129" i="3" s="1"/>
  <c r="H2129" i="3"/>
  <c r="I2129" i="3" s="1"/>
  <c r="J2129" i="3" s="1"/>
  <c r="L2129" i="3" s="1" a="1"/>
  <c r="L2129" i="3" s="1"/>
  <c r="K2129" i="3"/>
  <c r="F2130" i="3"/>
  <c r="G2130" i="3" s="1"/>
  <c r="K2130" i="3"/>
  <c r="F2131" i="3"/>
  <c r="K2131" i="3"/>
  <c r="F2132" i="3"/>
  <c r="G2132" i="3"/>
  <c r="H2132" i="3"/>
  <c r="I2132" i="3" s="1"/>
  <c r="J2132" i="3" s="1"/>
  <c r="L2132" i="3" s="1" a="1"/>
  <c r="L2132" i="3" s="1"/>
  <c r="K2132" i="3"/>
  <c r="F2133" i="3"/>
  <c r="K2133" i="3"/>
  <c r="F2134" i="3"/>
  <c r="H2134" i="3" s="1"/>
  <c r="I2134" i="3" s="1"/>
  <c r="J2134" i="3" s="1"/>
  <c r="L2134" i="3" s="1" a="1"/>
  <c r="L2134" i="3" s="1"/>
  <c r="G2134" i="3"/>
  <c r="K2134" i="3"/>
  <c r="F2135" i="3"/>
  <c r="G2135" i="3" s="1"/>
  <c r="F2136" i="3"/>
  <c r="G2136" i="3" s="1"/>
  <c r="K2136" i="3"/>
  <c r="F2137" i="3"/>
  <c r="F2138" i="3"/>
  <c r="G2138" i="3"/>
  <c r="H2138" i="3"/>
  <c r="I2138" i="3" s="1"/>
  <c r="J2138" i="3"/>
  <c r="L2138" i="3" s="1" a="1"/>
  <c r="L2138" i="3" s="1"/>
  <c r="K2138" i="3"/>
  <c r="F2139" i="3"/>
  <c r="H2139" i="3" s="1"/>
  <c r="I2139" i="3" s="1"/>
  <c r="J2139" i="3" s="1"/>
  <c r="L2139" i="3" s="1" a="1"/>
  <c r="L2139" i="3" s="1"/>
  <c r="F2140" i="3"/>
  <c r="F2141" i="3"/>
  <c r="G2141" i="3" s="1"/>
  <c r="F2142" i="3"/>
  <c r="G2142" i="3"/>
  <c r="H2142" i="3"/>
  <c r="I2142" i="3" s="1"/>
  <c r="J2142" i="3" s="1"/>
  <c r="L2142" i="3" s="1" a="1"/>
  <c r="L2142" i="3" s="1"/>
  <c r="K2142" i="3"/>
  <c r="F2143" i="3"/>
  <c r="G2143" i="3" s="1"/>
  <c r="H2143" i="3"/>
  <c r="I2143" i="3" s="1"/>
  <c r="J2143" i="3" s="1"/>
  <c r="L2143" i="3" s="1" a="1"/>
  <c r="L2143" i="3" s="1"/>
  <c r="K2143" i="3"/>
  <c r="F2144" i="3"/>
  <c r="H2144" i="3" s="1"/>
  <c r="I2144" i="3" s="1"/>
  <c r="J2144" i="3" s="1"/>
  <c r="L2144" i="3" s="1" a="1"/>
  <c r="L2144" i="3" s="1"/>
  <c r="F2145" i="3"/>
  <c r="H2145" i="3" s="1"/>
  <c r="I2145" i="3" s="1"/>
  <c r="J2145" i="3" s="1"/>
  <c r="L2145" i="3" s="1" a="1"/>
  <c r="L2145" i="3" s="1"/>
  <c r="G2145" i="3"/>
  <c r="F2146" i="3"/>
  <c r="K2146" i="3"/>
  <c r="F2147" i="3"/>
  <c r="G2147" i="3" s="1"/>
  <c r="K2147" i="3"/>
  <c r="F2148" i="3"/>
  <c r="G2148" i="3" s="1"/>
  <c r="F2149" i="3"/>
  <c r="H2149" i="3" s="1"/>
  <c r="I2149" i="3" s="1"/>
  <c r="J2149" i="3" s="1"/>
  <c r="L2149" i="3" s="1" a="1"/>
  <c r="L2149" i="3" s="1"/>
  <c r="G2149" i="3"/>
  <c r="F2150" i="3"/>
  <c r="H2150" i="3" s="1"/>
  <c r="I2150" i="3" s="1"/>
  <c r="J2150" i="3" s="1"/>
  <c r="L2150" i="3" s="1" a="1"/>
  <c r="L2150" i="3" s="1"/>
  <c r="G2150" i="3"/>
  <c r="F2151" i="3"/>
  <c r="G2151" i="3" s="1"/>
  <c r="H2151" i="3"/>
  <c r="I2151" i="3" s="1"/>
  <c r="J2151" i="3" s="1"/>
  <c r="L2151" i="3" s="1" a="1"/>
  <c r="L2151" i="3" s="1"/>
  <c r="K2151" i="3"/>
  <c r="F2152" i="3"/>
  <c r="G2152" i="3"/>
  <c r="H2152" i="3"/>
  <c r="I2152" i="3"/>
  <c r="J2152" i="3" s="1"/>
  <c r="L2152" i="3" s="1" a="1"/>
  <c r="L2152" i="3" s="1"/>
  <c r="K2152" i="3"/>
  <c r="F2153" i="3"/>
  <c r="F2154" i="3"/>
  <c r="G2154" i="3" s="1"/>
  <c r="H2154" i="3"/>
  <c r="I2154" i="3" s="1"/>
  <c r="J2154" i="3" s="1"/>
  <c r="L2154" i="3" s="1" a="1"/>
  <c r="L2154" i="3" s="1"/>
  <c r="F2155" i="3"/>
  <c r="H2155" i="3" s="1"/>
  <c r="I2155" i="3" s="1"/>
  <c r="J2155" i="3" s="1"/>
  <c r="L2155" i="3" s="1" a="1"/>
  <c r="L2155" i="3" s="1"/>
  <c r="G2155" i="3"/>
  <c r="K2155" i="3"/>
  <c r="F2156" i="3"/>
  <c r="H2156" i="3" s="1"/>
  <c r="I2156" i="3" s="1"/>
  <c r="J2156" i="3" s="1"/>
  <c r="L2156" i="3" s="1" a="1"/>
  <c r="L2156" i="3" s="1"/>
  <c r="F2157" i="3"/>
  <c r="H2157" i="3" s="1"/>
  <c r="I2157" i="3" s="1"/>
  <c r="J2157" i="3" s="1"/>
  <c r="L2157" i="3" s="1" a="1"/>
  <c r="L2157" i="3" s="1"/>
  <c r="F2158" i="3"/>
  <c r="G2158" i="3" s="1"/>
  <c r="F2159" i="3"/>
  <c r="H2159" i="3" s="1"/>
  <c r="I2159" i="3" s="1"/>
  <c r="J2159" i="3" s="1"/>
  <c r="G2159" i="3"/>
  <c r="L2159" i="3" a="1"/>
  <c r="L2159" i="3"/>
  <c r="F2160" i="3"/>
  <c r="G2160" i="3" s="1"/>
  <c r="F2161" i="3"/>
  <c r="G2161" i="3" s="1"/>
  <c r="H2161" i="3"/>
  <c r="I2161" i="3" s="1"/>
  <c r="J2161" i="3" s="1"/>
  <c r="L2161" i="3" s="1" a="1"/>
  <c r="L2161" i="3" s="1"/>
  <c r="F2162" i="3"/>
  <c r="H2162" i="3" s="1"/>
  <c r="I2162" i="3" s="1"/>
  <c r="J2162" i="3" s="1"/>
  <c r="L2162" i="3" s="1" a="1"/>
  <c r="L2162" i="3" s="1"/>
  <c r="G2162" i="3"/>
  <c r="F2163" i="3"/>
  <c r="G2163" i="3" s="1"/>
  <c r="F2164" i="3"/>
  <c r="F2165" i="3"/>
  <c r="G2165" i="3" s="1"/>
  <c r="H2165" i="3"/>
  <c r="I2165" i="3" s="1"/>
  <c r="J2165" i="3" s="1"/>
  <c r="L2165" i="3" s="1" a="1"/>
  <c r="L2165" i="3" s="1"/>
  <c r="F2166" i="3"/>
  <c r="G2166" i="3"/>
  <c r="H2166" i="3"/>
  <c r="I2166" i="3" s="1"/>
  <c r="J2166" i="3" s="1"/>
  <c r="L2166" i="3" s="1" a="1"/>
  <c r="L2166" i="3" s="1"/>
  <c r="K2166" i="3"/>
  <c r="F2167" i="3"/>
  <c r="K2167" i="3"/>
  <c r="F2168" i="3"/>
  <c r="K2168" i="3"/>
  <c r="F2169" i="3"/>
  <c r="K2169" i="3"/>
  <c r="F2170" i="3"/>
  <c r="H2170" i="3" s="1"/>
  <c r="G2170" i="3"/>
  <c r="I2170" i="3"/>
  <c r="J2170" i="3" s="1"/>
  <c r="L2170" i="3" s="1" a="1"/>
  <c r="L2170" i="3" s="1"/>
  <c r="F2171" i="3"/>
  <c r="G2171" i="3" s="1"/>
  <c r="K2171" i="3"/>
  <c r="F2172" i="3"/>
  <c r="G2172" i="3" s="1"/>
  <c r="K2172" i="3"/>
  <c r="F2173" i="3"/>
  <c r="H2173" i="3" s="1"/>
  <c r="I2173" i="3" s="1"/>
  <c r="J2173" i="3" s="1"/>
  <c r="L2173" i="3" s="1" a="1"/>
  <c r="L2173" i="3" s="1"/>
  <c r="F2174" i="3"/>
  <c r="G2174" i="3" s="1"/>
  <c r="F2175" i="3"/>
  <c r="G2175" i="3" s="1"/>
  <c r="H2175" i="3"/>
  <c r="I2175" i="3" s="1"/>
  <c r="J2175" i="3" s="1"/>
  <c r="L2175" i="3" s="1" a="1"/>
  <c r="L2175" i="3" s="1"/>
  <c r="F2176" i="3"/>
  <c r="G2176" i="3" s="1"/>
  <c r="H2176" i="3"/>
  <c r="I2176" i="3"/>
  <c r="J2176" i="3" s="1"/>
  <c r="L2176" i="3" s="1" a="1"/>
  <c r="L2176" i="3" s="1"/>
  <c r="F2177" i="3"/>
  <c r="G2177" i="3" s="1"/>
  <c r="F2178" i="3"/>
  <c r="G2178" i="3"/>
  <c r="H2178" i="3"/>
  <c r="I2178" i="3" s="1"/>
  <c r="J2178" i="3" s="1"/>
  <c r="L2178" i="3" s="1" a="1"/>
  <c r="L2178" i="3" s="1"/>
  <c r="F2179" i="3"/>
  <c r="F2180" i="3"/>
  <c r="G2180" i="3" s="1"/>
  <c r="F2181" i="3"/>
  <c r="G2181" i="3"/>
  <c r="H2181" i="3"/>
  <c r="I2181" i="3"/>
  <c r="J2181" i="3"/>
  <c r="L2181" i="3" s="1" a="1"/>
  <c r="L2181" i="3" s="1"/>
  <c r="F2182" i="3"/>
  <c r="H2182" i="3" s="1"/>
  <c r="I2182" i="3" s="1"/>
  <c r="J2182" i="3" s="1"/>
  <c r="L2182" i="3" s="1" a="1"/>
  <c r="L2182" i="3" s="1"/>
  <c r="G2182" i="3"/>
  <c r="F2183" i="3"/>
  <c r="G2183" i="3" s="1"/>
  <c r="F2184" i="3"/>
  <c r="G2184" i="3" s="1"/>
  <c r="H2184" i="3"/>
  <c r="I2184" i="3" s="1"/>
  <c r="J2184" i="3" s="1"/>
  <c r="L2184" i="3" a="1"/>
  <c r="L2184" i="3" s="1"/>
  <c r="F2185" i="3"/>
  <c r="H2185" i="3" s="1"/>
  <c r="I2185" i="3" s="1"/>
  <c r="J2185" i="3" s="1"/>
  <c r="L2185" i="3" s="1" a="1"/>
  <c r="L2185" i="3" s="1"/>
  <c r="K2185" i="3"/>
  <c r="F2186" i="3"/>
  <c r="F2187" i="3"/>
  <c r="F2188" i="3"/>
  <c r="H2188" i="3" s="1"/>
  <c r="I2188" i="3" s="1"/>
  <c r="G2188" i="3"/>
  <c r="J2188" i="3"/>
  <c r="L2188" i="3" s="1" a="1"/>
  <c r="L2188" i="3" s="1"/>
  <c r="F2189" i="3"/>
  <c r="G2189" i="3" s="1"/>
  <c r="K2189" i="3"/>
  <c r="F2190" i="3"/>
  <c r="K2190" i="3"/>
  <c r="F2191" i="3"/>
  <c r="G2191" i="3" s="1"/>
  <c r="K2191" i="3"/>
  <c r="F2192" i="3"/>
  <c r="H2192" i="3" s="1"/>
  <c r="I2192" i="3" s="1"/>
  <c r="J2192" i="3" s="1"/>
  <c r="L2192" i="3" s="1" a="1"/>
  <c r="L2192" i="3" s="1"/>
  <c r="F2193" i="3"/>
  <c r="F2194" i="3"/>
  <c r="G2194" i="3" s="1"/>
  <c r="K2194" i="3"/>
  <c r="F2195" i="3"/>
  <c r="G2195" i="3" s="1"/>
  <c r="K2195" i="3"/>
  <c r="F2196" i="3"/>
  <c r="H2196" i="3" s="1"/>
  <c r="I2196" i="3" s="1"/>
  <c r="J2196" i="3" s="1"/>
  <c r="L2196" i="3" s="1" a="1"/>
  <c r="L2196" i="3" s="1"/>
  <c r="G2196" i="3"/>
  <c r="F2197" i="3"/>
  <c r="G2197" i="3"/>
  <c r="H2197" i="3"/>
  <c r="I2197" i="3" s="1"/>
  <c r="J2197" i="3" s="1"/>
  <c r="L2197" i="3" s="1" a="1"/>
  <c r="L2197" i="3" s="1"/>
  <c r="F2198" i="3"/>
  <c r="G2198" i="3"/>
  <c r="H2198" i="3"/>
  <c r="I2198" i="3" s="1"/>
  <c r="J2198" i="3" s="1"/>
  <c r="L2198" i="3" s="1" a="1"/>
  <c r="L2198" i="3" s="1"/>
  <c r="K2198" i="3"/>
  <c r="F2199" i="3"/>
  <c r="G2199" i="3" s="1"/>
  <c r="K2199" i="3"/>
  <c r="F2200" i="3"/>
  <c r="H2200" i="3" s="1"/>
  <c r="I2200" i="3" s="1"/>
  <c r="J2200" i="3" s="1"/>
  <c r="L2200" i="3" s="1" a="1"/>
  <c r="L2200" i="3" s="1"/>
  <c r="G2200" i="3"/>
  <c r="F2201" i="3"/>
  <c r="G2201" i="3" s="1"/>
  <c r="H2201" i="3"/>
  <c r="I2201" i="3" s="1"/>
  <c r="J2201" i="3"/>
  <c r="K2201" i="3"/>
  <c r="L2201" i="3" a="1"/>
  <c r="L2201" i="3" s="1"/>
  <c r="F2202" i="3"/>
  <c r="H2202" i="3" s="1"/>
  <c r="I2202" i="3" s="1"/>
  <c r="J2202" i="3"/>
  <c r="L2202" i="3" s="1" a="1"/>
  <c r="L2202" i="3" s="1"/>
  <c r="F2203" i="3"/>
  <c r="G2203" i="3"/>
  <c r="H2203" i="3"/>
  <c r="I2203" i="3"/>
  <c r="J2203" i="3" s="1"/>
  <c r="L2203" i="3" s="1" a="1"/>
  <c r="L2203" i="3" s="1"/>
  <c r="K2203" i="3"/>
  <c r="F2204" i="3"/>
  <c r="G2204" i="3" s="1"/>
  <c r="F2205" i="3"/>
  <c r="F2206" i="3"/>
  <c r="G2206" i="3"/>
  <c r="H2206" i="3"/>
  <c r="I2206" i="3" s="1"/>
  <c r="J2206" i="3" s="1"/>
  <c r="L2206" i="3" s="1" a="1"/>
  <c r="L2206" i="3" s="1"/>
  <c r="K2206" i="3"/>
  <c r="F2207" i="3"/>
  <c r="G2207" i="3" s="1"/>
  <c r="H2207" i="3"/>
  <c r="I2207" i="3" s="1"/>
  <c r="J2207" i="3" s="1"/>
  <c r="L2207" i="3" s="1" a="1"/>
  <c r="L2207" i="3" s="1"/>
  <c r="K2207" i="3"/>
  <c r="F2208" i="3"/>
  <c r="G2208" i="3" s="1"/>
  <c r="K2208" i="3"/>
  <c r="L3" i="3" a="1"/>
  <c r="L3" i="3" s="1"/>
  <c r="E4" i="3"/>
  <c r="K4" i="3" s="1"/>
  <c r="E5" i="3"/>
  <c r="K5" i="3" s="1"/>
  <c r="E6" i="3"/>
  <c r="K6" i="3" s="1"/>
  <c r="E7" i="3"/>
  <c r="K7" i="3" s="1"/>
  <c r="E8" i="3"/>
  <c r="K8" i="3" s="1"/>
  <c r="E9" i="3"/>
  <c r="K9" i="3" s="1"/>
  <c r="E10" i="3"/>
  <c r="K10" i="3" s="1"/>
  <c r="E11" i="3"/>
  <c r="K11" i="3" s="1"/>
  <c r="E12" i="3"/>
  <c r="K12" i="3" s="1"/>
  <c r="E13" i="3"/>
  <c r="K13" i="3" s="1"/>
  <c r="E14" i="3"/>
  <c r="K14" i="3" s="1"/>
  <c r="E15" i="3"/>
  <c r="K15" i="3" s="1"/>
  <c r="E16" i="3"/>
  <c r="K16" i="3" s="1"/>
  <c r="E17" i="3"/>
  <c r="K17" i="3" s="1"/>
  <c r="E18" i="3"/>
  <c r="K18" i="3" s="1"/>
  <c r="E19" i="3"/>
  <c r="K19" i="3" s="1"/>
  <c r="E20" i="3"/>
  <c r="K20" i="3" s="1"/>
  <c r="E21" i="3"/>
  <c r="K21" i="3" s="1"/>
  <c r="E22" i="3"/>
  <c r="K22" i="3" s="1"/>
  <c r="E23" i="3"/>
  <c r="K23" i="3" s="1"/>
  <c r="E24" i="3"/>
  <c r="K24" i="3" s="1"/>
  <c r="E25" i="3"/>
  <c r="K25" i="3" s="1"/>
  <c r="E26" i="3"/>
  <c r="K26" i="3" s="1"/>
  <c r="E27" i="3"/>
  <c r="K27" i="3" s="1"/>
  <c r="E28" i="3"/>
  <c r="K28" i="3" s="1"/>
  <c r="E29" i="3"/>
  <c r="K29" i="3" s="1"/>
  <c r="E30" i="3"/>
  <c r="K30" i="3" s="1"/>
  <c r="E31" i="3"/>
  <c r="K31" i="3" s="1"/>
  <c r="E32" i="3"/>
  <c r="K32" i="3" s="1"/>
  <c r="E33" i="3"/>
  <c r="K33" i="3" s="1"/>
  <c r="E34" i="3"/>
  <c r="K34" i="3" s="1"/>
  <c r="E35" i="3"/>
  <c r="K35" i="3" s="1"/>
  <c r="E36" i="3"/>
  <c r="K36" i="3" s="1"/>
  <c r="E37" i="3"/>
  <c r="K37" i="3" s="1"/>
  <c r="E38" i="3"/>
  <c r="K38" i="3" s="1"/>
  <c r="E39" i="3"/>
  <c r="K39" i="3" s="1"/>
  <c r="E40" i="3"/>
  <c r="K40" i="3" s="1"/>
  <c r="E41" i="3"/>
  <c r="K41" i="3" s="1"/>
  <c r="E42" i="3"/>
  <c r="K42" i="3" s="1"/>
  <c r="E43" i="3"/>
  <c r="K43" i="3" s="1"/>
  <c r="E44" i="3"/>
  <c r="K44" i="3" s="1"/>
  <c r="E45" i="3"/>
  <c r="K45" i="3" s="1"/>
  <c r="E46" i="3"/>
  <c r="K46" i="3" s="1"/>
  <c r="E47" i="3"/>
  <c r="K47" i="3" s="1"/>
  <c r="E48" i="3"/>
  <c r="K48" i="3" s="1"/>
  <c r="E49" i="3"/>
  <c r="K49" i="3" s="1"/>
  <c r="E50" i="3"/>
  <c r="K50" i="3" s="1"/>
  <c r="E51" i="3"/>
  <c r="K51" i="3" s="1"/>
  <c r="E52" i="3"/>
  <c r="K52" i="3" s="1"/>
  <c r="E53" i="3"/>
  <c r="K53" i="3" s="1"/>
  <c r="E54" i="3"/>
  <c r="K54" i="3" s="1"/>
  <c r="E55" i="3"/>
  <c r="K55" i="3" s="1"/>
  <c r="E56" i="3"/>
  <c r="K56" i="3" s="1"/>
  <c r="E57" i="3"/>
  <c r="K57" i="3" s="1"/>
  <c r="E58" i="3"/>
  <c r="K58" i="3" s="1"/>
  <c r="E59" i="3"/>
  <c r="K59" i="3" s="1"/>
  <c r="E60" i="3"/>
  <c r="K60" i="3" s="1"/>
  <c r="E61" i="3"/>
  <c r="K61" i="3" s="1"/>
  <c r="E62" i="3"/>
  <c r="K62" i="3" s="1"/>
  <c r="E63" i="3"/>
  <c r="K63" i="3" s="1"/>
  <c r="E64" i="3"/>
  <c r="K64" i="3" s="1"/>
  <c r="E65" i="3"/>
  <c r="K65" i="3" s="1"/>
  <c r="E66" i="3"/>
  <c r="K66" i="3" s="1"/>
  <c r="E67" i="3"/>
  <c r="K67" i="3" s="1"/>
  <c r="E68" i="3"/>
  <c r="K68" i="3" s="1"/>
  <c r="E69" i="3"/>
  <c r="K69" i="3" s="1"/>
  <c r="E70" i="3"/>
  <c r="K70" i="3" s="1"/>
  <c r="E71" i="3"/>
  <c r="K71" i="3" s="1"/>
  <c r="E72" i="3"/>
  <c r="K72" i="3" s="1"/>
  <c r="E73" i="3"/>
  <c r="K73" i="3" s="1"/>
  <c r="E74" i="3"/>
  <c r="K74" i="3" s="1"/>
  <c r="E75" i="3"/>
  <c r="K75" i="3" s="1"/>
  <c r="E76" i="3"/>
  <c r="K76" i="3" s="1"/>
  <c r="E77" i="3"/>
  <c r="K77" i="3" s="1"/>
  <c r="E78" i="3"/>
  <c r="K78" i="3" s="1"/>
  <c r="E79" i="3"/>
  <c r="K79" i="3" s="1"/>
  <c r="E80" i="3"/>
  <c r="K80" i="3" s="1"/>
  <c r="E81" i="3"/>
  <c r="K81" i="3" s="1"/>
  <c r="E82" i="3"/>
  <c r="K82" i="3" s="1"/>
  <c r="E83" i="3"/>
  <c r="K83" i="3" s="1"/>
  <c r="E84" i="3"/>
  <c r="K84" i="3" s="1"/>
  <c r="E85" i="3"/>
  <c r="K85" i="3" s="1"/>
  <c r="E86" i="3"/>
  <c r="K86" i="3" s="1"/>
  <c r="E87" i="3"/>
  <c r="K87" i="3" s="1"/>
  <c r="E88" i="3"/>
  <c r="K88" i="3" s="1"/>
  <c r="E89" i="3"/>
  <c r="K89" i="3" s="1"/>
  <c r="E90" i="3"/>
  <c r="K90" i="3" s="1"/>
  <c r="E91" i="3"/>
  <c r="K91" i="3" s="1"/>
  <c r="E92" i="3"/>
  <c r="K92" i="3" s="1"/>
  <c r="E93" i="3"/>
  <c r="K93" i="3" s="1"/>
  <c r="E94" i="3"/>
  <c r="K94" i="3" s="1"/>
  <c r="E95" i="3"/>
  <c r="K95" i="3" s="1"/>
  <c r="E96" i="3"/>
  <c r="K96" i="3" s="1"/>
  <c r="E97" i="3"/>
  <c r="K97" i="3" s="1"/>
  <c r="E98" i="3"/>
  <c r="K98" i="3" s="1"/>
  <c r="E99" i="3"/>
  <c r="K99" i="3" s="1"/>
  <c r="E100" i="3"/>
  <c r="K100" i="3" s="1"/>
  <c r="E101" i="3"/>
  <c r="K101" i="3" s="1"/>
  <c r="E102" i="3"/>
  <c r="K102" i="3" s="1"/>
  <c r="E103" i="3"/>
  <c r="K103" i="3" s="1"/>
  <c r="E104" i="3"/>
  <c r="K104" i="3" s="1"/>
  <c r="E105" i="3"/>
  <c r="K105" i="3" s="1"/>
  <c r="E106" i="3"/>
  <c r="K106" i="3" s="1"/>
  <c r="E107" i="3"/>
  <c r="K107" i="3" s="1"/>
  <c r="E108" i="3"/>
  <c r="K108" i="3" s="1"/>
  <c r="E109" i="3"/>
  <c r="K109" i="3" s="1"/>
  <c r="E110" i="3"/>
  <c r="K110" i="3" s="1"/>
  <c r="E111" i="3"/>
  <c r="K111" i="3" s="1"/>
  <c r="E112" i="3"/>
  <c r="K112" i="3" s="1"/>
  <c r="E113" i="3"/>
  <c r="K113" i="3" s="1"/>
  <c r="E114" i="3"/>
  <c r="K114" i="3" s="1"/>
  <c r="E115" i="3"/>
  <c r="K115" i="3" s="1"/>
  <c r="E116" i="3"/>
  <c r="K116" i="3" s="1"/>
  <c r="E117" i="3"/>
  <c r="K117" i="3" s="1"/>
  <c r="E118" i="3"/>
  <c r="K118" i="3" s="1"/>
  <c r="E119" i="3"/>
  <c r="K119" i="3" s="1"/>
  <c r="E120" i="3"/>
  <c r="K120" i="3" s="1"/>
  <c r="E121" i="3"/>
  <c r="K121" i="3" s="1"/>
  <c r="E122" i="3"/>
  <c r="K122" i="3" s="1"/>
  <c r="E123" i="3"/>
  <c r="K123" i="3" s="1"/>
  <c r="E124" i="3"/>
  <c r="K124" i="3" s="1"/>
  <c r="E125" i="3"/>
  <c r="K125" i="3" s="1"/>
  <c r="E126" i="3"/>
  <c r="K126" i="3" s="1"/>
  <c r="E127" i="3"/>
  <c r="K127" i="3" s="1"/>
  <c r="E128" i="3"/>
  <c r="K128" i="3" s="1"/>
  <c r="E129" i="3"/>
  <c r="K129" i="3" s="1"/>
  <c r="E130" i="3"/>
  <c r="K130" i="3" s="1"/>
  <c r="E131" i="3"/>
  <c r="K131" i="3" s="1"/>
  <c r="E132" i="3"/>
  <c r="K132" i="3" s="1"/>
  <c r="E133" i="3"/>
  <c r="K133" i="3" s="1"/>
  <c r="E134" i="3"/>
  <c r="K134" i="3" s="1"/>
  <c r="E135" i="3"/>
  <c r="K135" i="3" s="1"/>
  <c r="E136" i="3"/>
  <c r="K136" i="3" s="1"/>
  <c r="E137" i="3"/>
  <c r="K137" i="3" s="1"/>
  <c r="E138" i="3"/>
  <c r="K138" i="3" s="1"/>
  <c r="E139" i="3"/>
  <c r="K139" i="3" s="1"/>
  <c r="E140" i="3"/>
  <c r="K140" i="3" s="1"/>
  <c r="E141" i="3"/>
  <c r="K141" i="3" s="1"/>
  <c r="E142" i="3"/>
  <c r="K142" i="3" s="1"/>
  <c r="E143" i="3"/>
  <c r="K143" i="3" s="1"/>
  <c r="E144" i="3"/>
  <c r="K144" i="3" s="1"/>
  <c r="E145" i="3"/>
  <c r="K145" i="3" s="1"/>
  <c r="E146" i="3"/>
  <c r="K146" i="3" s="1"/>
  <c r="E147" i="3"/>
  <c r="K147" i="3" s="1"/>
  <c r="E148" i="3"/>
  <c r="K148" i="3" s="1"/>
  <c r="E149" i="3"/>
  <c r="K149" i="3" s="1"/>
  <c r="E150" i="3"/>
  <c r="K150" i="3" s="1"/>
  <c r="E151" i="3"/>
  <c r="K151" i="3" s="1"/>
  <c r="E152" i="3"/>
  <c r="K152" i="3" s="1"/>
  <c r="E153" i="3"/>
  <c r="K153" i="3" s="1"/>
  <c r="E154" i="3"/>
  <c r="K154" i="3" s="1"/>
  <c r="E155" i="3"/>
  <c r="K155" i="3" s="1"/>
  <c r="E156" i="3"/>
  <c r="K156" i="3" s="1"/>
  <c r="E157" i="3"/>
  <c r="K157" i="3" s="1"/>
  <c r="E158" i="3"/>
  <c r="K158" i="3" s="1"/>
  <c r="E159" i="3"/>
  <c r="K159" i="3" s="1"/>
  <c r="E160" i="3"/>
  <c r="K160" i="3" s="1"/>
  <c r="E161" i="3"/>
  <c r="K161" i="3" s="1"/>
  <c r="E162" i="3"/>
  <c r="K162" i="3" s="1"/>
  <c r="E163" i="3"/>
  <c r="K163" i="3" s="1"/>
  <c r="E164" i="3"/>
  <c r="K164" i="3" s="1"/>
  <c r="E165" i="3"/>
  <c r="K165" i="3" s="1"/>
  <c r="E166" i="3"/>
  <c r="K166" i="3" s="1"/>
  <c r="E167" i="3"/>
  <c r="K167" i="3" s="1"/>
  <c r="E168" i="3"/>
  <c r="K168" i="3" s="1"/>
  <c r="E169" i="3"/>
  <c r="K169" i="3" s="1"/>
  <c r="E170" i="3"/>
  <c r="K170" i="3" s="1"/>
  <c r="E171" i="3"/>
  <c r="K171" i="3" s="1"/>
  <c r="E172" i="3"/>
  <c r="K172" i="3" s="1"/>
  <c r="E173" i="3"/>
  <c r="K173" i="3" s="1"/>
  <c r="E174" i="3"/>
  <c r="K174" i="3" s="1"/>
  <c r="E175" i="3"/>
  <c r="K175" i="3" s="1"/>
  <c r="E176" i="3"/>
  <c r="K176" i="3" s="1"/>
  <c r="E177" i="3"/>
  <c r="K177" i="3" s="1"/>
  <c r="E178" i="3"/>
  <c r="K178" i="3" s="1"/>
  <c r="E179" i="3"/>
  <c r="K179" i="3" s="1"/>
  <c r="E180" i="3"/>
  <c r="K180" i="3" s="1"/>
  <c r="E181" i="3"/>
  <c r="K181" i="3" s="1"/>
  <c r="E182" i="3"/>
  <c r="K182" i="3" s="1"/>
  <c r="E183" i="3"/>
  <c r="K183" i="3" s="1"/>
  <c r="E184" i="3"/>
  <c r="K184" i="3" s="1"/>
  <c r="E185" i="3"/>
  <c r="K185" i="3" s="1"/>
  <c r="E186" i="3"/>
  <c r="K186" i="3" s="1"/>
  <c r="E187" i="3"/>
  <c r="K187" i="3" s="1"/>
  <c r="E188" i="3"/>
  <c r="K188" i="3" s="1"/>
  <c r="E189" i="3"/>
  <c r="K189" i="3" s="1"/>
  <c r="E190" i="3"/>
  <c r="K190" i="3" s="1"/>
  <c r="E191" i="3"/>
  <c r="K191" i="3" s="1"/>
  <c r="E192" i="3"/>
  <c r="K192" i="3" s="1"/>
  <c r="E193" i="3"/>
  <c r="K193" i="3" s="1"/>
  <c r="E194" i="3"/>
  <c r="K194" i="3" s="1"/>
  <c r="E195" i="3"/>
  <c r="K195" i="3" s="1"/>
  <c r="E196" i="3"/>
  <c r="K196" i="3" s="1"/>
  <c r="E197" i="3"/>
  <c r="K197" i="3" s="1"/>
  <c r="E198" i="3"/>
  <c r="K198" i="3" s="1"/>
  <c r="E199" i="3"/>
  <c r="K199" i="3" s="1"/>
  <c r="E200" i="3"/>
  <c r="K200" i="3" s="1"/>
  <c r="E201" i="3"/>
  <c r="K201" i="3" s="1"/>
  <c r="E202" i="3"/>
  <c r="K202" i="3" s="1"/>
  <c r="E203" i="3"/>
  <c r="K203" i="3" s="1"/>
  <c r="E204" i="3"/>
  <c r="K204" i="3" s="1"/>
  <c r="E205" i="3"/>
  <c r="K205" i="3" s="1"/>
  <c r="E206" i="3"/>
  <c r="K206" i="3" s="1"/>
  <c r="E207" i="3"/>
  <c r="K207" i="3" s="1"/>
  <c r="E208" i="3"/>
  <c r="K208" i="3" s="1"/>
  <c r="E209" i="3"/>
  <c r="K209" i="3" s="1"/>
  <c r="E210" i="3"/>
  <c r="K210" i="3" s="1"/>
  <c r="E211" i="3"/>
  <c r="K211" i="3" s="1"/>
  <c r="E212" i="3"/>
  <c r="K212" i="3" s="1"/>
  <c r="E213" i="3"/>
  <c r="K213" i="3" s="1"/>
  <c r="E214" i="3"/>
  <c r="K214" i="3" s="1"/>
  <c r="E215" i="3"/>
  <c r="K215" i="3" s="1"/>
  <c r="E216" i="3"/>
  <c r="K216" i="3" s="1"/>
  <c r="E217" i="3"/>
  <c r="K217" i="3" s="1"/>
  <c r="E218" i="3"/>
  <c r="K218" i="3" s="1"/>
  <c r="E219" i="3"/>
  <c r="K219" i="3" s="1"/>
  <c r="E220" i="3"/>
  <c r="K220" i="3" s="1"/>
  <c r="E221" i="3"/>
  <c r="K221" i="3" s="1"/>
  <c r="E222" i="3"/>
  <c r="K222" i="3" s="1"/>
  <c r="E223" i="3"/>
  <c r="K223" i="3" s="1"/>
  <c r="E224" i="3"/>
  <c r="K224" i="3" s="1"/>
  <c r="E225" i="3"/>
  <c r="K225" i="3" s="1"/>
  <c r="E226" i="3"/>
  <c r="K226" i="3" s="1"/>
  <c r="E227" i="3"/>
  <c r="K227" i="3" s="1"/>
  <c r="E228" i="3"/>
  <c r="K228" i="3" s="1"/>
  <c r="E229" i="3"/>
  <c r="K229" i="3" s="1"/>
  <c r="E230" i="3"/>
  <c r="K230" i="3" s="1"/>
  <c r="E231" i="3"/>
  <c r="K231" i="3" s="1"/>
  <c r="E232" i="3"/>
  <c r="K232" i="3" s="1"/>
  <c r="E233" i="3"/>
  <c r="K233" i="3" s="1"/>
  <c r="E234" i="3"/>
  <c r="K234" i="3" s="1"/>
  <c r="E235" i="3"/>
  <c r="K235" i="3" s="1"/>
  <c r="E236" i="3"/>
  <c r="K236" i="3" s="1"/>
  <c r="E237" i="3"/>
  <c r="K237" i="3" s="1"/>
  <c r="E238" i="3"/>
  <c r="K238" i="3" s="1"/>
  <c r="E239" i="3"/>
  <c r="K239" i="3" s="1"/>
  <c r="E240" i="3"/>
  <c r="K240" i="3" s="1"/>
  <c r="E241" i="3"/>
  <c r="K241" i="3" s="1"/>
  <c r="E242" i="3"/>
  <c r="K242" i="3" s="1"/>
  <c r="E243" i="3"/>
  <c r="K243" i="3" s="1"/>
  <c r="E244" i="3"/>
  <c r="K244" i="3" s="1"/>
  <c r="E245" i="3"/>
  <c r="K245" i="3" s="1"/>
  <c r="E246" i="3"/>
  <c r="K246" i="3" s="1"/>
  <c r="E247" i="3"/>
  <c r="K247" i="3" s="1"/>
  <c r="E248" i="3"/>
  <c r="K248" i="3" s="1"/>
  <c r="E249" i="3"/>
  <c r="K249" i="3" s="1"/>
  <c r="E250" i="3"/>
  <c r="K250" i="3" s="1"/>
  <c r="E251" i="3"/>
  <c r="K251" i="3" s="1"/>
  <c r="E252" i="3"/>
  <c r="K252" i="3" s="1"/>
  <c r="E253" i="3"/>
  <c r="K253" i="3" s="1"/>
  <c r="E254" i="3"/>
  <c r="K254" i="3" s="1"/>
  <c r="E255" i="3"/>
  <c r="K255" i="3" s="1"/>
  <c r="E256" i="3"/>
  <c r="K256" i="3" s="1"/>
  <c r="E257" i="3"/>
  <c r="K257" i="3" s="1"/>
  <c r="E258" i="3"/>
  <c r="K258" i="3" s="1"/>
  <c r="E259" i="3"/>
  <c r="K259" i="3" s="1"/>
  <c r="E260" i="3"/>
  <c r="K260" i="3" s="1"/>
  <c r="E261" i="3"/>
  <c r="K261" i="3" s="1"/>
  <c r="E262" i="3"/>
  <c r="K262" i="3" s="1"/>
  <c r="E263" i="3"/>
  <c r="K263" i="3" s="1"/>
  <c r="E264" i="3"/>
  <c r="K264" i="3" s="1"/>
  <c r="E265" i="3"/>
  <c r="K265" i="3" s="1"/>
  <c r="E266" i="3"/>
  <c r="K266" i="3" s="1"/>
  <c r="E267" i="3"/>
  <c r="K267" i="3" s="1"/>
  <c r="E268" i="3"/>
  <c r="K268" i="3" s="1"/>
  <c r="E269" i="3"/>
  <c r="K269" i="3" s="1"/>
  <c r="E270" i="3"/>
  <c r="K270" i="3" s="1"/>
  <c r="E271" i="3"/>
  <c r="K271" i="3" s="1"/>
  <c r="E272" i="3"/>
  <c r="K272" i="3" s="1"/>
  <c r="E273" i="3"/>
  <c r="K273" i="3" s="1"/>
  <c r="E274" i="3"/>
  <c r="K274" i="3" s="1"/>
  <c r="E275" i="3"/>
  <c r="K275" i="3" s="1"/>
  <c r="E276" i="3"/>
  <c r="K276" i="3" s="1"/>
  <c r="E277" i="3"/>
  <c r="K277" i="3" s="1"/>
  <c r="E278" i="3"/>
  <c r="K278" i="3" s="1"/>
  <c r="E279" i="3"/>
  <c r="K279" i="3" s="1"/>
  <c r="E280" i="3"/>
  <c r="K280" i="3" s="1"/>
  <c r="E281" i="3"/>
  <c r="K281" i="3" s="1"/>
  <c r="E282" i="3"/>
  <c r="K282" i="3" s="1"/>
  <c r="E283" i="3"/>
  <c r="K283" i="3" s="1"/>
  <c r="E284" i="3"/>
  <c r="K284" i="3" s="1"/>
  <c r="E285" i="3"/>
  <c r="K285" i="3" s="1"/>
  <c r="E286" i="3"/>
  <c r="K286" i="3" s="1"/>
  <c r="E287" i="3"/>
  <c r="K287" i="3" s="1"/>
  <c r="E288" i="3"/>
  <c r="K288" i="3" s="1"/>
  <c r="E289" i="3"/>
  <c r="K289" i="3" s="1"/>
  <c r="E290" i="3"/>
  <c r="K290" i="3" s="1"/>
  <c r="E291" i="3"/>
  <c r="K291" i="3" s="1"/>
  <c r="E292" i="3"/>
  <c r="K292" i="3" s="1"/>
  <c r="E293" i="3"/>
  <c r="K293" i="3" s="1"/>
  <c r="E294" i="3"/>
  <c r="K294" i="3" s="1"/>
  <c r="E295" i="3"/>
  <c r="K295" i="3" s="1"/>
  <c r="E296" i="3"/>
  <c r="K296" i="3" s="1"/>
  <c r="E297" i="3"/>
  <c r="K297" i="3" s="1"/>
  <c r="E298" i="3"/>
  <c r="K298" i="3" s="1"/>
  <c r="E299" i="3"/>
  <c r="K299" i="3" s="1"/>
  <c r="E300" i="3"/>
  <c r="K300" i="3" s="1"/>
  <c r="E301" i="3"/>
  <c r="K301" i="3" s="1"/>
  <c r="E302" i="3"/>
  <c r="K302" i="3" s="1"/>
  <c r="E303" i="3"/>
  <c r="K303" i="3" s="1"/>
  <c r="E304" i="3"/>
  <c r="K304" i="3" s="1"/>
  <c r="E305" i="3"/>
  <c r="K305" i="3" s="1"/>
  <c r="E306" i="3"/>
  <c r="K306" i="3" s="1"/>
  <c r="E307" i="3"/>
  <c r="K307" i="3" s="1"/>
  <c r="E308" i="3"/>
  <c r="K308" i="3" s="1"/>
  <c r="E309" i="3"/>
  <c r="K309" i="3" s="1"/>
  <c r="E310" i="3"/>
  <c r="K310" i="3" s="1"/>
  <c r="E311" i="3"/>
  <c r="K311" i="3" s="1"/>
  <c r="E312" i="3"/>
  <c r="K312" i="3" s="1"/>
  <c r="E313" i="3"/>
  <c r="K313" i="3" s="1"/>
  <c r="E314" i="3"/>
  <c r="K314" i="3" s="1"/>
  <c r="E315" i="3"/>
  <c r="K315" i="3" s="1"/>
  <c r="E316" i="3"/>
  <c r="K316" i="3" s="1"/>
  <c r="E317" i="3"/>
  <c r="K317" i="3" s="1"/>
  <c r="E318" i="3"/>
  <c r="K318" i="3" s="1"/>
  <c r="E319" i="3"/>
  <c r="K319" i="3" s="1"/>
  <c r="E320" i="3"/>
  <c r="K320" i="3" s="1"/>
  <c r="E321" i="3"/>
  <c r="K321" i="3" s="1"/>
  <c r="E322" i="3"/>
  <c r="K322" i="3" s="1"/>
  <c r="E323" i="3"/>
  <c r="K323" i="3" s="1"/>
  <c r="E324" i="3"/>
  <c r="K324" i="3" s="1"/>
  <c r="E325" i="3"/>
  <c r="K325" i="3" s="1"/>
  <c r="E326" i="3"/>
  <c r="K326" i="3" s="1"/>
  <c r="E327" i="3"/>
  <c r="K327" i="3" s="1"/>
  <c r="E328" i="3"/>
  <c r="K328" i="3" s="1"/>
  <c r="E329" i="3"/>
  <c r="K329" i="3" s="1"/>
  <c r="E330" i="3"/>
  <c r="K330" i="3" s="1"/>
  <c r="E331" i="3"/>
  <c r="K331" i="3" s="1"/>
  <c r="E332" i="3"/>
  <c r="K332" i="3" s="1"/>
  <c r="E333" i="3"/>
  <c r="K333" i="3" s="1"/>
  <c r="E334" i="3"/>
  <c r="K334" i="3" s="1"/>
  <c r="E335" i="3"/>
  <c r="K335" i="3" s="1"/>
  <c r="E336" i="3"/>
  <c r="K336" i="3" s="1"/>
  <c r="E337" i="3"/>
  <c r="K337" i="3" s="1"/>
  <c r="E338" i="3"/>
  <c r="K338" i="3" s="1"/>
  <c r="E339" i="3"/>
  <c r="K339" i="3" s="1"/>
  <c r="E340" i="3"/>
  <c r="K340" i="3" s="1"/>
  <c r="E341" i="3"/>
  <c r="K341" i="3" s="1"/>
  <c r="E342" i="3"/>
  <c r="K342" i="3" s="1"/>
  <c r="E343" i="3"/>
  <c r="K343" i="3" s="1"/>
  <c r="E344" i="3"/>
  <c r="K344" i="3" s="1"/>
  <c r="E345" i="3"/>
  <c r="K345" i="3" s="1"/>
  <c r="E346" i="3"/>
  <c r="K346" i="3" s="1"/>
  <c r="E347" i="3"/>
  <c r="K347" i="3" s="1"/>
  <c r="E348" i="3"/>
  <c r="K348" i="3" s="1"/>
  <c r="E349" i="3"/>
  <c r="K349" i="3" s="1"/>
  <c r="E350" i="3"/>
  <c r="K350" i="3" s="1"/>
  <c r="E351" i="3"/>
  <c r="K351" i="3" s="1"/>
  <c r="E352" i="3"/>
  <c r="K352" i="3" s="1"/>
  <c r="E353" i="3"/>
  <c r="K353" i="3" s="1"/>
  <c r="E354" i="3"/>
  <c r="K354" i="3" s="1"/>
  <c r="E355" i="3"/>
  <c r="K355" i="3" s="1"/>
  <c r="E356" i="3"/>
  <c r="K356" i="3" s="1"/>
  <c r="E357" i="3"/>
  <c r="K357" i="3" s="1"/>
  <c r="E358" i="3"/>
  <c r="K358" i="3" s="1"/>
  <c r="E359" i="3"/>
  <c r="K359" i="3" s="1"/>
  <c r="E360" i="3"/>
  <c r="K360" i="3" s="1"/>
  <c r="E361" i="3"/>
  <c r="K361" i="3" s="1"/>
  <c r="E362" i="3"/>
  <c r="K362" i="3" s="1"/>
  <c r="E363" i="3"/>
  <c r="K363" i="3" s="1"/>
  <c r="E364" i="3"/>
  <c r="K364" i="3" s="1"/>
  <c r="E365" i="3"/>
  <c r="K365" i="3" s="1"/>
  <c r="E366" i="3"/>
  <c r="K366" i="3" s="1"/>
  <c r="E367" i="3"/>
  <c r="K367" i="3" s="1"/>
  <c r="E368" i="3"/>
  <c r="K368" i="3" s="1"/>
  <c r="E369" i="3"/>
  <c r="K369" i="3" s="1"/>
  <c r="E370" i="3"/>
  <c r="K370" i="3" s="1"/>
  <c r="E371" i="3"/>
  <c r="K371" i="3" s="1"/>
  <c r="E372" i="3"/>
  <c r="K372" i="3" s="1"/>
  <c r="E373" i="3"/>
  <c r="K373" i="3" s="1"/>
  <c r="E374" i="3"/>
  <c r="K374" i="3" s="1"/>
  <c r="E375" i="3"/>
  <c r="K375" i="3" s="1"/>
  <c r="E376" i="3"/>
  <c r="K376" i="3" s="1"/>
  <c r="E377" i="3"/>
  <c r="K377" i="3" s="1"/>
  <c r="E378" i="3"/>
  <c r="K378" i="3" s="1"/>
  <c r="E379" i="3"/>
  <c r="K379" i="3" s="1"/>
  <c r="E380" i="3"/>
  <c r="K380" i="3" s="1"/>
  <c r="E381" i="3"/>
  <c r="K381" i="3" s="1"/>
  <c r="E382" i="3"/>
  <c r="K382" i="3" s="1"/>
  <c r="E383" i="3"/>
  <c r="K383" i="3" s="1"/>
  <c r="E384" i="3"/>
  <c r="K384" i="3" s="1"/>
  <c r="E385" i="3"/>
  <c r="K385" i="3" s="1"/>
  <c r="E386" i="3"/>
  <c r="K386" i="3" s="1"/>
  <c r="E387" i="3"/>
  <c r="K387" i="3" s="1"/>
  <c r="E388" i="3"/>
  <c r="K388" i="3" s="1"/>
  <c r="E389" i="3"/>
  <c r="K389" i="3" s="1"/>
  <c r="E390" i="3"/>
  <c r="K390" i="3" s="1"/>
  <c r="E391" i="3"/>
  <c r="K391" i="3" s="1"/>
  <c r="E392" i="3"/>
  <c r="K392" i="3" s="1"/>
  <c r="E393" i="3"/>
  <c r="K393" i="3" s="1"/>
  <c r="E394" i="3"/>
  <c r="K394" i="3" s="1"/>
  <c r="E395" i="3"/>
  <c r="K395" i="3" s="1"/>
  <c r="E396" i="3"/>
  <c r="K396" i="3" s="1"/>
  <c r="E397" i="3"/>
  <c r="K397" i="3" s="1"/>
  <c r="E398" i="3"/>
  <c r="K398" i="3" s="1"/>
  <c r="E399" i="3"/>
  <c r="K399" i="3" s="1"/>
  <c r="E400" i="3"/>
  <c r="K400" i="3" s="1"/>
  <c r="E401" i="3"/>
  <c r="K401" i="3" s="1"/>
  <c r="E402" i="3"/>
  <c r="K402" i="3" s="1"/>
  <c r="E403" i="3"/>
  <c r="K403" i="3" s="1"/>
  <c r="E404" i="3"/>
  <c r="K404" i="3" s="1"/>
  <c r="E405" i="3"/>
  <c r="K405" i="3" s="1"/>
  <c r="E406" i="3"/>
  <c r="K406" i="3" s="1"/>
  <c r="E407" i="3"/>
  <c r="K407" i="3" s="1"/>
  <c r="E408" i="3"/>
  <c r="K408" i="3" s="1"/>
  <c r="E409" i="3"/>
  <c r="K409" i="3" s="1"/>
  <c r="E410" i="3"/>
  <c r="K410" i="3" s="1"/>
  <c r="E411" i="3"/>
  <c r="K411" i="3" s="1"/>
  <c r="E412" i="3"/>
  <c r="K412" i="3" s="1"/>
  <c r="E413" i="3"/>
  <c r="K413" i="3" s="1"/>
  <c r="E414" i="3"/>
  <c r="K414" i="3" s="1"/>
  <c r="E415" i="3"/>
  <c r="K415" i="3" s="1"/>
  <c r="E416" i="3"/>
  <c r="K416" i="3" s="1"/>
  <c r="E417" i="3"/>
  <c r="K417" i="3" s="1"/>
  <c r="E418" i="3"/>
  <c r="K418" i="3" s="1"/>
  <c r="E419" i="3"/>
  <c r="K419" i="3" s="1"/>
  <c r="E420" i="3"/>
  <c r="K420" i="3" s="1"/>
  <c r="E421" i="3"/>
  <c r="K421" i="3" s="1"/>
  <c r="E422" i="3"/>
  <c r="K422" i="3" s="1"/>
  <c r="E423" i="3"/>
  <c r="K423" i="3" s="1"/>
  <c r="E424" i="3"/>
  <c r="K424" i="3" s="1"/>
  <c r="E425" i="3"/>
  <c r="K425" i="3" s="1"/>
  <c r="E426" i="3"/>
  <c r="K426" i="3" s="1"/>
  <c r="E427" i="3"/>
  <c r="K427" i="3" s="1"/>
  <c r="E428" i="3"/>
  <c r="K428" i="3" s="1"/>
  <c r="E429" i="3"/>
  <c r="K429" i="3" s="1"/>
  <c r="E430" i="3"/>
  <c r="K430" i="3" s="1"/>
  <c r="E431" i="3"/>
  <c r="K431" i="3" s="1"/>
  <c r="E432" i="3"/>
  <c r="K432" i="3" s="1"/>
  <c r="E433" i="3"/>
  <c r="K433" i="3" s="1"/>
  <c r="E434" i="3"/>
  <c r="K434" i="3" s="1"/>
  <c r="E435" i="3"/>
  <c r="K435" i="3" s="1"/>
  <c r="E436" i="3"/>
  <c r="K436" i="3" s="1"/>
  <c r="E437" i="3"/>
  <c r="K437" i="3" s="1"/>
  <c r="E438" i="3"/>
  <c r="K438" i="3" s="1"/>
  <c r="E439" i="3"/>
  <c r="K439" i="3" s="1"/>
  <c r="E440" i="3"/>
  <c r="K440" i="3" s="1"/>
  <c r="E441" i="3"/>
  <c r="K441" i="3" s="1"/>
  <c r="E442" i="3"/>
  <c r="K442" i="3" s="1"/>
  <c r="E443" i="3"/>
  <c r="K443" i="3" s="1"/>
  <c r="E444" i="3"/>
  <c r="K444" i="3" s="1"/>
  <c r="E445" i="3"/>
  <c r="K445" i="3" s="1"/>
  <c r="E446" i="3"/>
  <c r="K446" i="3" s="1"/>
  <c r="E447" i="3"/>
  <c r="K447" i="3" s="1"/>
  <c r="E448" i="3"/>
  <c r="K448" i="3" s="1"/>
  <c r="E449" i="3"/>
  <c r="K449" i="3" s="1"/>
  <c r="E450" i="3"/>
  <c r="K450" i="3" s="1"/>
  <c r="E451" i="3"/>
  <c r="K451" i="3" s="1"/>
  <c r="E452" i="3"/>
  <c r="K452" i="3" s="1"/>
  <c r="E453" i="3"/>
  <c r="K453" i="3" s="1"/>
  <c r="E454" i="3"/>
  <c r="K454" i="3" s="1"/>
  <c r="E455" i="3"/>
  <c r="K455" i="3" s="1"/>
  <c r="E456" i="3"/>
  <c r="K456" i="3" s="1"/>
  <c r="E457" i="3"/>
  <c r="K457" i="3" s="1"/>
  <c r="E458" i="3"/>
  <c r="K458" i="3" s="1"/>
  <c r="E459" i="3"/>
  <c r="K459" i="3" s="1"/>
  <c r="E460" i="3"/>
  <c r="K460" i="3" s="1"/>
  <c r="E461" i="3"/>
  <c r="K461" i="3" s="1"/>
  <c r="E462" i="3"/>
  <c r="K462" i="3" s="1"/>
  <c r="E463" i="3"/>
  <c r="K463" i="3" s="1"/>
  <c r="E464" i="3"/>
  <c r="K464" i="3" s="1"/>
  <c r="E465" i="3"/>
  <c r="K465" i="3" s="1"/>
  <c r="E466" i="3"/>
  <c r="K466" i="3" s="1"/>
  <c r="E467" i="3"/>
  <c r="K467" i="3" s="1"/>
  <c r="E468" i="3"/>
  <c r="K468" i="3" s="1"/>
  <c r="E469" i="3"/>
  <c r="K469" i="3" s="1"/>
  <c r="E470" i="3"/>
  <c r="K470" i="3" s="1"/>
  <c r="E471" i="3"/>
  <c r="K471" i="3" s="1"/>
  <c r="E472" i="3"/>
  <c r="K472" i="3" s="1"/>
  <c r="E473" i="3"/>
  <c r="K473" i="3" s="1"/>
  <c r="E474" i="3"/>
  <c r="K474" i="3" s="1"/>
  <c r="E475" i="3"/>
  <c r="K475" i="3" s="1"/>
  <c r="E476" i="3"/>
  <c r="K476" i="3" s="1"/>
  <c r="E477" i="3"/>
  <c r="K477" i="3" s="1"/>
  <c r="E478" i="3"/>
  <c r="K478" i="3" s="1"/>
  <c r="E479" i="3"/>
  <c r="K479" i="3" s="1"/>
  <c r="E480" i="3"/>
  <c r="K480" i="3" s="1"/>
  <c r="E481" i="3"/>
  <c r="K481" i="3" s="1"/>
  <c r="E482" i="3"/>
  <c r="K482" i="3" s="1"/>
  <c r="E483" i="3"/>
  <c r="K483" i="3" s="1"/>
  <c r="E484" i="3"/>
  <c r="K484" i="3" s="1"/>
  <c r="E485" i="3"/>
  <c r="K485" i="3" s="1"/>
  <c r="E486" i="3"/>
  <c r="K486" i="3" s="1"/>
  <c r="E487" i="3"/>
  <c r="K487" i="3" s="1"/>
  <c r="E488" i="3"/>
  <c r="K488" i="3" s="1"/>
  <c r="E489" i="3"/>
  <c r="K489" i="3" s="1"/>
  <c r="E490" i="3"/>
  <c r="K490" i="3" s="1"/>
  <c r="E491" i="3"/>
  <c r="K491" i="3" s="1"/>
  <c r="E492" i="3"/>
  <c r="K492" i="3" s="1"/>
  <c r="E493" i="3"/>
  <c r="K493" i="3" s="1"/>
  <c r="E494" i="3"/>
  <c r="K494" i="3" s="1"/>
  <c r="E495" i="3"/>
  <c r="K495" i="3" s="1"/>
  <c r="E496" i="3"/>
  <c r="K496" i="3" s="1"/>
  <c r="E497" i="3"/>
  <c r="K497" i="3" s="1"/>
  <c r="E498" i="3"/>
  <c r="K498" i="3" s="1"/>
  <c r="E499" i="3"/>
  <c r="K499" i="3" s="1"/>
  <c r="E500" i="3"/>
  <c r="K500" i="3" s="1"/>
  <c r="E501" i="3"/>
  <c r="K501" i="3" s="1"/>
  <c r="E502" i="3"/>
  <c r="K502" i="3" s="1"/>
  <c r="E503" i="3"/>
  <c r="K503" i="3" s="1"/>
  <c r="E504" i="3"/>
  <c r="K504" i="3" s="1"/>
  <c r="E505" i="3"/>
  <c r="K505" i="3" s="1"/>
  <c r="E506" i="3"/>
  <c r="K506" i="3" s="1"/>
  <c r="E507" i="3"/>
  <c r="K507" i="3" s="1"/>
  <c r="E508" i="3"/>
  <c r="K508" i="3" s="1"/>
  <c r="E509" i="3"/>
  <c r="K509" i="3" s="1"/>
  <c r="E510" i="3"/>
  <c r="K510" i="3" s="1"/>
  <c r="E511" i="3"/>
  <c r="K511" i="3" s="1"/>
  <c r="E512" i="3"/>
  <c r="K512" i="3" s="1"/>
  <c r="E513" i="3"/>
  <c r="K513" i="3" s="1"/>
  <c r="E514" i="3"/>
  <c r="K514" i="3" s="1"/>
  <c r="E515" i="3"/>
  <c r="K515" i="3" s="1"/>
  <c r="E516" i="3"/>
  <c r="K516" i="3" s="1"/>
  <c r="E517" i="3"/>
  <c r="K517" i="3" s="1"/>
  <c r="E518" i="3"/>
  <c r="K518" i="3" s="1"/>
  <c r="E519" i="3"/>
  <c r="K519" i="3" s="1"/>
  <c r="E520" i="3"/>
  <c r="K520" i="3" s="1"/>
  <c r="E521" i="3"/>
  <c r="K521" i="3" s="1"/>
  <c r="E522" i="3"/>
  <c r="K522" i="3" s="1"/>
  <c r="E523" i="3"/>
  <c r="K523" i="3" s="1"/>
  <c r="E524" i="3"/>
  <c r="K524" i="3" s="1"/>
  <c r="E525" i="3"/>
  <c r="K525" i="3" s="1"/>
  <c r="E526" i="3"/>
  <c r="K526" i="3" s="1"/>
  <c r="E527" i="3"/>
  <c r="K527" i="3" s="1"/>
  <c r="E528" i="3"/>
  <c r="K528" i="3" s="1"/>
  <c r="E529" i="3"/>
  <c r="K529" i="3" s="1"/>
  <c r="E530" i="3"/>
  <c r="K530" i="3" s="1"/>
  <c r="E531" i="3"/>
  <c r="K531" i="3" s="1"/>
  <c r="E532" i="3"/>
  <c r="K532" i="3" s="1"/>
  <c r="E533" i="3"/>
  <c r="K533" i="3" s="1"/>
  <c r="E534" i="3"/>
  <c r="K534" i="3" s="1"/>
  <c r="E535" i="3"/>
  <c r="K535" i="3" s="1"/>
  <c r="E536" i="3"/>
  <c r="K536" i="3" s="1"/>
  <c r="E537" i="3"/>
  <c r="K537" i="3" s="1"/>
  <c r="E538" i="3"/>
  <c r="K538" i="3" s="1"/>
  <c r="E539" i="3"/>
  <c r="K539" i="3" s="1"/>
  <c r="E540" i="3"/>
  <c r="K540" i="3" s="1"/>
  <c r="E541" i="3"/>
  <c r="K541" i="3" s="1"/>
  <c r="E542" i="3"/>
  <c r="K542" i="3" s="1"/>
  <c r="E543" i="3"/>
  <c r="K543" i="3" s="1"/>
  <c r="E544" i="3"/>
  <c r="K544" i="3" s="1"/>
  <c r="E545" i="3"/>
  <c r="K545" i="3" s="1"/>
  <c r="E546" i="3"/>
  <c r="K546" i="3" s="1"/>
  <c r="E547" i="3"/>
  <c r="K547" i="3" s="1"/>
  <c r="E548" i="3"/>
  <c r="K548" i="3" s="1"/>
  <c r="E549" i="3"/>
  <c r="K549" i="3" s="1"/>
  <c r="E550" i="3"/>
  <c r="K550" i="3" s="1"/>
  <c r="E551" i="3"/>
  <c r="K551" i="3" s="1"/>
  <c r="E552" i="3"/>
  <c r="K552" i="3" s="1"/>
  <c r="E553" i="3"/>
  <c r="K553" i="3" s="1"/>
  <c r="E554" i="3"/>
  <c r="K554" i="3" s="1"/>
  <c r="E555" i="3"/>
  <c r="K555" i="3" s="1"/>
  <c r="E556" i="3"/>
  <c r="K556" i="3" s="1"/>
  <c r="E557" i="3"/>
  <c r="K557" i="3" s="1"/>
  <c r="E558" i="3"/>
  <c r="K558" i="3" s="1"/>
  <c r="E559" i="3"/>
  <c r="K559" i="3" s="1"/>
  <c r="E560" i="3"/>
  <c r="K560" i="3" s="1"/>
  <c r="E561" i="3"/>
  <c r="K561" i="3" s="1"/>
  <c r="E562" i="3"/>
  <c r="K562" i="3" s="1"/>
  <c r="E563" i="3"/>
  <c r="K563" i="3" s="1"/>
  <c r="E564" i="3"/>
  <c r="K564" i="3" s="1"/>
  <c r="E565" i="3"/>
  <c r="K565" i="3" s="1"/>
  <c r="E566" i="3"/>
  <c r="K566" i="3" s="1"/>
  <c r="E567" i="3"/>
  <c r="K567" i="3" s="1"/>
  <c r="E568" i="3"/>
  <c r="K568" i="3" s="1"/>
  <c r="E569" i="3"/>
  <c r="K569" i="3" s="1"/>
  <c r="E570" i="3"/>
  <c r="K570" i="3" s="1"/>
  <c r="E571" i="3"/>
  <c r="K571" i="3" s="1"/>
  <c r="E572" i="3"/>
  <c r="K572" i="3" s="1"/>
  <c r="E573" i="3"/>
  <c r="K573" i="3" s="1"/>
  <c r="E574" i="3"/>
  <c r="K574" i="3" s="1"/>
  <c r="E575" i="3"/>
  <c r="K575" i="3" s="1"/>
  <c r="E576" i="3"/>
  <c r="K576" i="3" s="1"/>
  <c r="E577" i="3"/>
  <c r="K577" i="3" s="1"/>
  <c r="E578" i="3"/>
  <c r="K578" i="3" s="1"/>
  <c r="E579" i="3"/>
  <c r="K579" i="3" s="1"/>
  <c r="E580" i="3"/>
  <c r="K580" i="3" s="1"/>
  <c r="E581" i="3"/>
  <c r="K581" i="3" s="1"/>
  <c r="E582" i="3"/>
  <c r="K582" i="3" s="1"/>
  <c r="E583" i="3"/>
  <c r="K583" i="3" s="1"/>
  <c r="E584" i="3"/>
  <c r="K584" i="3" s="1"/>
  <c r="E585" i="3"/>
  <c r="K585" i="3" s="1"/>
  <c r="E586" i="3"/>
  <c r="K586" i="3" s="1"/>
  <c r="E587" i="3"/>
  <c r="K587" i="3" s="1"/>
  <c r="E588" i="3"/>
  <c r="K588" i="3" s="1"/>
  <c r="E589" i="3"/>
  <c r="K589" i="3" s="1"/>
  <c r="E590" i="3"/>
  <c r="K590" i="3" s="1"/>
  <c r="E591" i="3"/>
  <c r="K591" i="3" s="1"/>
  <c r="E592" i="3"/>
  <c r="K592" i="3" s="1"/>
  <c r="E593" i="3"/>
  <c r="K593" i="3" s="1"/>
  <c r="E594" i="3"/>
  <c r="K594" i="3" s="1"/>
  <c r="E595" i="3"/>
  <c r="K595" i="3" s="1"/>
  <c r="E596" i="3"/>
  <c r="K596" i="3" s="1"/>
  <c r="E597" i="3"/>
  <c r="K597" i="3" s="1"/>
  <c r="E598" i="3"/>
  <c r="K598" i="3" s="1"/>
  <c r="E599" i="3"/>
  <c r="K599" i="3" s="1"/>
  <c r="E600" i="3"/>
  <c r="K600" i="3" s="1"/>
  <c r="E601" i="3"/>
  <c r="K601" i="3" s="1"/>
  <c r="E602" i="3"/>
  <c r="K602" i="3" s="1"/>
  <c r="E603" i="3"/>
  <c r="K603" i="3" s="1"/>
  <c r="E604" i="3"/>
  <c r="K604" i="3" s="1"/>
  <c r="E605" i="3"/>
  <c r="K605" i="3" s="1"/>
  <c r="E606" i="3"/>
  <c r="K606" i="3" s="1"/>
  <c r="E607" i="3"/>
  <c r="K607" i="3" s="1"/>
  <c r="E608" i="3"/>
  <c r="K608" i="3" s="1"/>
  <c r="E609" i="3"/>
  <c r="K609" i="3" s="1"/>
  <c r="E610" i="3"/>
  <c r="K610" i="3" s="1"/>
  <c r="E611" i="3"/>
  <c r="K611" i="3" s="1"/>
  <c r="E612" i="3"/>
  <c r="K612" i="3" s="1"/>
  <c r="E613" i="3"/>
  <c r="K613" i="3" s="1"/>
  <c r="E614" i="3"/>
  <c r="K614" i="3" s="1"/>
  <c r="E615" i="3"/>
  <c r="K615" i="3" s="1"/>
  <c r="E616" i="3"/>
  <c r="K616" i="3" s="1"/>
  <c r="E617" i="3"/>
  <c r="K617" i="3" s="1"/>
  <c r="E618" i="3"/>
  <c r="K618" i="3" s="1"/>
  <c r="E619" i="3"/>
  <c r="K619" i="3" s="1"/>
  <c r="E620" i="3"/>
  <c r="K620" i="3" s="1"/>
  <c r="E621" i="3"/>
  <c r="K621" i="3" s="1"/>
  <c r="E622" i="3"/>
  <c r="K622" i="3" s="1"/>
  <c r="E623" i="3"/>
  <c r="K623" i="3" s="1"/>
  <c r="E624" i="3"/>
  <c r="K624" i="3" s="1"/>
  <c r="E625" i="3"/>
  <c r="K625" i="3" s="1"/>
  <c r="E626" i="3"/>
  <c r="K626" i="3" s="1"/>
  <c r="E627" i="3"/>
  <c r="K627" i="3" s="1"/>
  <c r="E628" i="3"/>
  <c r="K628" i="3" s="1"/>
  <c r="E629" i="3"/>
  <c r="K629" i="3" s="1"/>
  <c r="E630" i="3"/>
  <c r="K630" i="3" s="1"/>
  <c r="E631" i="3"/>
  <c r="K631" i="3" s="1"/>
  <c r="E632" i="3"/>
  <c r="K632" i="3" s="1"/>
  <c r="E633" i="3"/>
  <c r="K633" i="3" s="1"/>
  <c r="E634" i="3"/>
  <c r="K634" i="3" s="1"/>
  <c r="E635" i="3"/>
  <c r="K635" i="3" s="1"/>
  <c r="E636" i="3"/>
  <c r="K636" i="3" s="1"/>
  <c r="E637" i="3"/>
  <c r="K637" i="3" s="1"/>
  <c r="E638" i="3"/>
  <c r="K638" i="3" s="1"/>
  <c r="E639" i="3"/>
  <c r="K639" i="3" s="1"/>
  <c r="E640" i="3"/>
  <c r="K640" i="3" s="1"/>
  <c r="E641" i="3"/>
  <c r="K641" i="3" s="1"/>
  <c r="E642" i="3"/>
  <c r="K642" i="3" s="1"/>
  <c r="E643" i="3"/>
  <c r="K643" i="3" s="1"/>
  <c r="E644" i="3"/>
  <c r="K644" i="3" s="1"/>
  <c r="E645" i="3"/>
  <c r="K645" i="3" s="1"/>
  <c r="E646" i="3"/>
  <c r="K646" i="3" s="1"/>
  <c r="E647" i="3"/>
  <c r="K647" i="3" s="1"/>
  <c r="E648" i="3"/>
  <c r="K648" i="3" s="1"/>
  <c r="E649" i="3"/>
  <c r="K649" i="3" s="1"/>
  <c r="E650" i="3"/>
  <c r="K650" i="3" s="1"/>
  <c r="E651" i="3"/>
  <c r="K651" i="3" s="1"/>
  <c r="E652" i="3"/>
  <c r="K652" i="3" s="1"/>
  <c r="E653" i="3"/>
  <c r="K653" i="3" s="1"/>
  <c r="E654" i="3"/>
  <c r="K654" i="3" s="1"/>
  <c r="E655" i="3"/>
  <c r="K655" i="3" s="1"/>
  <c r="E656" i="3"/>
  <c r="K656" i="3" s="1"/>
  <c r="E657" i="3"/>
  <c r="K657" i="3" s="1"/>
  <c r="E658" i="3"/>
  <c r="K658" i="3" s="1"/>
  <c r="E659" i="3"/>
  <c r="K659" i="3" s="1"/>
  <c r="E660" i="3"/>
  <c r="K660" i="3" s="1"/>
  <c r="E661" i="3"/>
  <c r="K661" i="3" s="1"/>
  <c r="E662" i="3"/>
  <c r="K662" i="3" s="1"/>
  <c r="E663" i="3"/>
  <c r="K663" i="3" s="1"/>
  <c r="E664" i="3"/>
  <c r="K664" i="3" s="1"/>
  <c r="E665" i="3"/>
  <c r="K665" i="3" s="1"/>
  <c r="E666" i="3"/>
  <c r="K666" i="3" s="1"/>
  <c r="E667" i="3"/>
  <c r="K667" i="3" s="1"/>
  <c r="E668" i="3"/>
  <c r="K668" i="3" s="1"/>
  <c r="E669" i="3"/>
  <c r="K669" i="3" s="1"/>
  <c r="E670" i="3"/>
  <c r="K670" i="3" s="1"/>
  <c r="E671" i="3"/>
  <c r="K671" i="3" s="1"/>
  <c r="E672" i="3"/>
  <c r="K672" i="3" s="1"/>
  <c r="E673" i="3"/>
  <c r="K673" i="3" s="1"/>
  <c r="E674" i="3"/>
  <c r="K674" i="3" s="1"/>
  <c r="E675" i="3"/>
  <c r="K675" i="3" s="1"/>
  <c r="E676" i="3"/>
  <c r="K676" i="3" s="1"/>
  <c r="E677" i="3"/>
  <c r="K677" i="3" s="1"/>
  <c r="E678" i="3"/>
  <c r="K678" i="3" s="1"/>
  <c r="E679" i="3"/>
  <c r="K679" i="3" s="1"/>
  <c r="E680" i="3"/>
  <c r="K680" i="3" s="1"/>
  <c r="E681" i="3"/>
  <c r="K681" i="3" s="1"/>
  <c r="E682" i="3"/>
  <c r="K682" i="3" s="1"/>
  <c r="E683" i="3"/>
  <c r="K683" i="3" s="1"/>
  <c r="E684" i="3"/>
  <c r="K684" i="3" s="1"/>
  <c r="E685" i="3"/>
  <c r="K685" i="3" s="1"/>
  <c r="E686" i="3"/>
  <c r="K686" i="3" s="1"/>
  <c r="E687" i="3"/>
  <c r="K687" i="3" s="1"/>
  <c r="E688" i="3"/>
  <c r="K688" i="3" s="1"/>
  <c r="E689" i="3"/>
  <c r="K689" i="3" s="1"/>
  <c r="E690" i="3"/>
  <c r="K690" i="3" s="1"/>
  <c r="E691" i="3"/>
  <c r="K691" i="3" s="1"/>
  <c r="E692" i="3"/>
  <c r="K692" i="3" s="1"/>
  <c r="E693" i="3"/>
  <c r="K693" i="3" s="1"/>
  <c r="E694" i="3"/>
  <c r="K694" i="3" s="1"/>
  <c r="E695" i="3"/>
  <c r="K695" i="3" s="1"/>
  <c r="E696" i="3"/>
  <c r="K696" i="3" s="1"/>
  <c r="E697" i="3"/>
  <c r="K697" i="3" s="1"/>
  <c r="E698" i="3"/>
  <c r="K698" i="3" s="1"/>
  <c r="E699" i="3"/>
  <c r="K699" i="3" s="1"/>
  <c r="E700" i="3"/>
  <c r="K700" i="3" s="1"/>
  <c r="E701" i="3"/>
  <c r="K701" i="3" s="1"/>
  <c r="E702" i="3"/>
  <c r="K702" i="3" s="1"/>
  <c r="E703" i="3"/>
  <c r="K703" i="3" s="1"/>
  <c r="E704" i="3"/>
  <c r="K704" i="3" s="1"/>
  <c r="E705" i="3"/>
  <c r="K705" i="3" s="1"/>
  <c r="E706" i="3"/>
  <c r="K706" i="3" s="1"/>
  <c r="E707" i="3"/>
  <c r="K707" i="3" s="1"/>
  <c r="E708" i="3"/>
  <c r="K708" i="3" s="1"/>
  <c r="E709" i="3"/>
  <c r="K709" i="3" s="1"/>
  <c r="E710" i="3"/>
  <c r="K710" i="3" s="1"/>
  <c r="E711" i="3"/>
  <c r="K711" i="3" s="1"/>
  <c r="E712" i="3"/>
  <c r="K712" i="3" s="1"/>
  <c r="E713" i="3"/>
  <c r="K713" i="3" s="1"/>
  <c r="E714" i="3"/>
  <c r="K714" i="3" s="1"/>
  <c r="E715" i="3"/>
  <c r="K715" i="3" s="1"/>
  <c r="E716" i="3"/>
  <c r="K716" i="3" s="1"/>
  <c r="E717" i="3"/>
  <c r="K717" i="3" s="1"/>
  <c r="E718" i="3"/>
  <c r="E719" i="3"/>
  <c r="K719" i="3" s="1"/>
  <c r="E720" i="3"/>
  <c r="K720" i="3" s="1"/>
  <c r="E721" i="3"/>
  <c r="K721" i="3" s="1"/>
  <c r="E722" i="3"/>
  <c r="K722" i="3" s="1"/>
  <c r="E723" i="3"/>
  <c r="K723" i="3" s="1"/>
  <c r="E724" i="3"/>
  <c r="K724" i="3" s="1"/>
  <c r="E725" i="3"/>
  <c r="K725" i="3" s="1"/>
  <c r="E726" i="3"/>
  <c r="K726" i="3" s="1"/>
  <c r="E727" i="3"/>
  <c r="K727" i="3" s="1"/>
  <c r="E728" i="3"/>
  <c r="K728" i="3" s="1"/>
  <c r="E729" i="3"/>
  <c r="K729" i="3" s="1"/>
  <c r="E730" i="3"/>
  <c r="K730" i="3" s="1"/>
  <c r="E731" i="3"/>
  <c r="K731" i="3" s="1"/>
  <c r="E732" i="3"/>
  <c r="K732" i="3" s="1"/>
  <c r="E733" i="3"/>
  <c r="K733" i="3" s="1"/>
  <c r="E734" i="3"/>
  <c r="K734" i="3" s="1"/>
  <c r="E735" i="3"/>
  <c r="K735" i="3" s="1"/>
  <c r="E736" i="3"/>
  <c r="K736" i="3" s="1"/>
  <c r="E737" i="3"/>
  <c r="K737" i="3" s="1"/>
  <c r="E738" i="3"/>
  <c r="K738" i="3" s="1"/>
  <c r="E739" i="3"/>
  <c r="K739" i="3" s="1"/>
  <c r="E740" i="3"/>
  <c r="K740" i="3" s="1"/>
  <c r="E741" i="3"/>
  <c r="K741" i="3" s="1"/>
  <c r="E742" i="3"/>
  <c r="K742" i="3" s="1"/>
  <c r="E743" i="3"/>
  <c r="K743" i="3" s="1"/>
  <c r="E744" i="3"/>
  <c r="K744" i="3" s="1"/>
  <c r="E745" i="3"/>
  <c r="K745" i="3" s="1"/>
  <c r="E746" i="3"/>
  <c r="K746" i="3" s="1"/>
  <c r="E747" i="3"/>
  <c r="K747" i="3" s="1"/>
  <c r="E748" i="3"/>
  <c r="K748" i="3" s="1"/>
  <c r="E749" i="3"/>
  <c r="K749" i="3" s="1"/>
  <c r="E750" i="3"/>
  <c r="K750" i="3" s="1"/>
  <c r="E751" i="3"/>
  <c r="K751" i="3" s="1"/>
  <c r="E752" i="3"/>
  <c r="K752" i="3" s="1"/>
  <c r="E753" i="3"/>
  <c r="K753" i="3" s="1"/>
  <c r="E754" i="3"/>
  <c r="K754" i="3" s="1"/>
  <c r="E755" i="3"/>
  <c r="K755" i="3" s="1"/>
  <c r="E756" i="3"/>
  <c r="K756" i="3" s="1"/>
  <c r="E757" i="3"/>
  <c r="K757" i="3" s="1"/>
  <c r="E758" i="3"/>
  <c r="K758" i="3" s="1"/>
  <c r="E759" i="3"/>
  <c r="K759" i="3" s="1"/>
  <c r="E760" i="3"/>
  <c r="K760" i="3" s="1"/>
  <c r="E761" i="3"/>
  <c r="K761" i="3" s="1"/>
  <c r="E762" i="3"/>
  <c r="K762" i="3" s="1"/>
  <c r="E763" i="3"/>
  <c r="K763" i="3" s="1"/>
  <c r="E764" i="3"/>
  <c r="K764" i="3" s="1"/>
  <c r="E765" i="3"/>
  <c r="K765" i="3" s="1"/>
  <c r="E766" i="3"/>
  <c r="K766" i="3" s="1"/>
  <c r="E767" i="3"/>
  <c r="K767" i="3" s="1"/>
  <c r="E768" i="3"/>
  <c r="K768" i="3" s="1"/>
  <c r="E769" i="3"/>
  <c r="K769" i="3" s="1"/>
  <c r="E770" i="3"/>
  <c r="K770" i="3" s="1"/>
  <c r="E771" i="3"/>
  <c r="K771" i="3" s="1"/>
  <c r="E772" i="3"/>
  <c r="K772" i="3" s="1"/>
  <c r="E773" i="3"/>
  <c r="K773" i="3" s="1"/>
  <c r="E774" i="3"/>
  <c r="K774" i="3" s="1"/>
  <c r="E775" i="3"/>
  <c r="K775" i="3" s="1"/>
  <c r="E776" i="3"/>
  <c r="K776" i="3" s="1"/>
  <c r="E777" i="3"/>
  <c r="K777" i="3" s="1"/>
  <c r="E778" i="3"/>
  <c r="K778" i="3" s="1"/>
  <c r="E779" i="3"/>
  <c r="K779" i="3" s="1"/>
  <c r="E780" i="3"/>
  <c r="K780" i="3" s="1"/>
  <c r="E781" i="3"/>
  <c r="K781" i="3" s="1"/>
  <c r="E782" i="3"/>
  <c r="E783" i="3"/>
  <c r="K783" i="3" s="1"/>
  <c r="E784" i="3"/>
  <c r="E785" i="3"/>
  <c r="K785" i="3" s="1"/>
  <c r="E786" i="3"/>
  <c r="K786" i="3" s="1"/>
  <c r="E787" i="3"/>
  <c r="K787" i="3" s="1"/>
  <c r="E788" i="3"/>
  <c r="K788" i="3" s="1"/>
  <c r="E789" i="3"/>
  <c r="K789" i="3" s="1"/>
  <c r="E790" i="3"/>
  <c r="K790" i="3" s="1"/>
  <c r="E791" i="3"/>
  <c r="K791" i="3" s="1"/>
  <c r="E792" i="3"/>
  <c r="K792" i="3" s="1"/>
  <c r="E793" i="3"/>
  <c r="K793" i="3" s="1"/>
  <c r="E794" i="3"/>
  <c r="K794" i="3" s="1"/>
  <c r="E795" i="3"/>
  <c r="K795" i="3" s="1"/>
  <c r="E796" i="3"/>
  <c r="K796" i="3" s="1"/>
  <c r="E797" i="3"/>
  <c r="K797" i="3" s="1"/>
  <c r="E798" i="3"/>
  <c r="K798" i="3" s="1"/>
  <c r="E799" i="3"/>
  <c r="K799" i="3" s="1"/>
  <c r="E800" i="3"/>
  <c r="K800" i="3" s="1"/>
  <c r="E801" i="3"/>
  <c r="K801" i="3" s="1"/>
  <c r="E802" i="3"/>
  <c r="K802" i="3" s="1"/>
  <c r="E803" i="3"/>
  <c r="K803" i="3" s="1"/>
  <c r="E804" i="3"/>
  <c r="K804" i="3" s="1"/>
  <c r="E805" i="3"/>
  <c r="K805" i="3" s="1"/>
  <c r="E806" i="3"/>
  <c r="K806" i="3" s="1"/>
  <c r="E807" i="3"/>
  <c r="K807" i="3" s="1"/>
  <c r="E808" i="3"/>
  <c r="K808" i="3" s="1"/>
  <c r="E809" i="3"/>
  <c r="K809" i="3" s="1"/>
  <c r="E810" i="3"/>
  <c r="K810" i="3" s="1"/>
  <c r="E811" i="3"/>
  <c r="K811" i="3" s="1"/>
  <c r="E812" i="3"/>
  <c r="K812" i="3" s="1"/>
  <c r="E813" i="3"/>
  <c r="K813" i="3" s="1"/>
  <c r="E814" i="3"/>
  <c r="K814" i="3" s="1"/>
  <c r="E815" i="3"/>
  <c r="K815" i="3" s="1"/>
  <c r="E816" i="3"/>
  <c r="K816" i="3" s="1"/>
  <c r="E817" i="3"/>
  <c r="K817" i="3" s="1"/>
  <c r="E818" i="3"/>
  <c r="K818" i="3" s="1"/>
  <c r="E819" i="3"/>
  <c r="K819" i="3" s="1"/>
  <c r="E820" i="3"/>
  <c r="K820" i="3" s="1"/>
  <c r="E821" i="3"/>
  <c r="K821" i="3" s="1"/>
  <c r="E822" i="3"/>
  <c r="K822" i="3" s="1"/>
  <c r="E823" i="3"/>
  <c r="K823" i="3" s="1"/>
  <c r="E824" i="3"/>
  <c r="K824" i="3" s="1"/>
  <c r="E825" i="3"/>
  <c r="K825" i="3" s="1"/>
  <c r="E826" i="3"/>
  <c r="K826" i="3" s="1"/>
  <c r="E827" i="3"/>
  <c r="K827" i="3" s="1"/>
  <c r="E828" i="3"/>
  <c r="K828" i="3" s="1"/>
  <c r="E829" i="3"/>
  <c r="K829" i="3" s="1"/>
  <c r="E830" i="3"/>
  <c r="K830" i="3" s="1"/>
  <c r="E831" i="3"/>
  <c r="K831" i="3" s="1"/>
  <c r="E832" i="3"/>
  <c r="K832" i="3" s="1"/>
  <c r="E833" i="3"/>
  <c r="K833" i="3" s="1"/>
  <c r="E834" i="3"/>
  <c r="K834" i="3" s="1"/>
  <c r="E835" i="3"/>
  <c r="K835" i="3" s="1"/>
  <c r="E836" i="3"/>
  <c r="K836" i="3" s="1"/>
  <c r="E837" i="3"/>
  <c r="K837" i="3" s="1"/>
  <c r="E838" i="3"/>
  <c r="K838" i="3" s="1"/>
  <c r="E839" i="3"/>
  <c r="K839" i="3" s="1"/>
  <c r="E840" i="3"/>
  <c r="K840" i="3" s="1"/>
  <c r="E841" i="3"/>
  <c r="K841" i="3" s="1"/>
  <c r="E842" i="3"/>
  <c r="K842" i="3" s="1"/>
  <c r="E843" i="3"/>
  <c r="K843" i="3" s="1"/>
  <c r="E844" i="3"/>
  <c r="K844" i="3" s="1"/>
  <c r="E845" i="3"/>
  <c r="K845" i="3" s="1"/>
  <c r="E846" i="3"/>
  <c r="K846" i="3" s="1"/>
  <c r="E847" i="3"/>
  <c r="K847" i="3" s="1"/>
  <c r="E848" i="3"/>
  <c r="K848" i="3" s="1"/>
  <c r="E849" i="3"/>
  <c r="K849" i="3" s="1"/>
  <c r="E850" i="3"/>
  <c r="E851" i="3"/>
  <c r="K851" i="3" s="1"/>
  <c r="E852" i="3"/>
  <c r="K852" i="3" s="1"/>
  <c r="E853" i="3"/>
  <c r="K853" i="3" s="1"/>
  <c r="E854" i="3"/>
  <c r="K854" i="3" s="1"/>
  <c r="E855" i="3"/>
  <c r="K855" i="3" s="1"/>
  <c r="E856" i="3"/>
  <c r="K856" i="3" s="1"/>
  <c r="E857" i="3"/>
  <c r="K857" i="3" s="1"/>
  <c r="E858" i="3"/>
  <c r="K858" i="3" s="1"/>
  <c r="E859" i="3"/>
  <c r="K859" i="3" s="1"/>
  <c r="E860" i="3"/>
  <c r="K860" i="3" s="1"/>
  <c r="E861" i="3"/>
  <c r="K861" i="3" s="1"/>
  <c r="E862" i="3"/>
  <c r="K862" i="3" s="1"/>
  <c r="E863" i="3"/>
  <c r="K863" i="3" s="1"/>
  <c r="E864" i="3"/>
  <c r="K864" i="3" s="1"/>
  <c r="E865" i="3"/>
  <c r="K865" i="3" s="1"/>
  <c r="E866" i="3"/>
  <c r="K866" i="3" s="1"/>
  <c r="E867" i="3"/>
  <c r="K867" i="3" s="1"/>
  <c r="E868" i="3"/>
  <c r="K868" i="3" s="1"/>
  <c r="E869" i="3"/>
  <c r="K869" i="3" s="1"/>
  <c r="E870" i="3"/>
  <c r="K870" i="3" s="1"/>
  <c r="E871" i="3"/>
  <c r="K871" i="3" s="1"/>
  <c r="E872" i="3"/>
  <c r="K872" i="3" s="1"/>
  <c r="E873" i="3"/>
  <c r="K873" i="3" s="1"/>
  <c r="E874" i="3"/>
  <c r="K874" i="3" s="1"/>
  <c r="E875" i="3"/>
  <c r="K875" i="3" s="1"/>
  <c r="E876" i="3"/>
  <c r="K876" i="3" s="1"/>
  <c r="E877" i="3"/>
  <c r="K877" i="3" s="1"/>
  <c r="E878" i="3"/>
  <c r="K878" i="3" s="1"/>
  <c r="E879" i="3"/>
  <c r="K879" i="3" s="1"/>
  <c r="E880" i="3"/>
  <c r="K880" i="3" s="1"/>
  <c r="E881" i="3"/>
  <c r="K881" i="3" s="1"/>
  <c r="E882" i="3"/>
  <c r="K882" i="3" s="1"/>
  <c r="E883" i="3"/>
  <c r="K883" i="3" s="1"/>
  <c r="E884" i="3"/>
  <c r="K884" i="3" s="1"/>
  <c r="E885" i="3"/>
  <c r="K885" i="3" s="1"/>
  <c r="E886" i="3"/>
  <c r="K886" i="3" s="1"/>
  <c r="E887" i="3"/>
  <c r="K887" i="3" s="1"/>
  <c r="E888" i="3"/>
  <c r="K888" i="3" s="1"/>
  <c r="E889" i="3"/>
  <c r="K889" i="3" s="1"/>
  <c r="E890" i="3"/>
  <c r="K890" i="3" s="1"/>
  <c r="E891" i="3"/>
  <c r="K891" i="3" s="1"/>
  <c r="E892" i="3"/>
  <c r="K892" i="3" s="1"/>
  <c r="E893" i="3"/>
  <c r="K893" i="3" s="1"/>
  <c r="E894" i="3"/>
  <c r="K894" i="3" s="1"/>
  <c r="E895" i="3"/>
  <c r="K895" i="3" s="1"/>
  <c r="E896" i="3"/>
  <c r="K896" i="3" s="1"/>
  <c r="E897" i="3"/>
  <c r="K897" i="3" s="1"/>
  <c r="E898" i="3"/>
  <c r="K898" i="3" s="1"/>
  <c r="E899" i="3"/>
  <c r="K899" i="3" s="1"/>
  <c r="E900" i="3"/>
  <c r="K900" i="3" s="1"/>
  <c r="E901" i="3"/>
  <c r="K901" i="3" s="1"/>
  <c r="E902" i="3"/>
  <c r="K902" i="3" s="1"/>
  <c r="E903" i="3"/>
  <c r="K903" i="3" s="1"/>
  <c r="E904" i="3"/>
  <c r="K904" i="3" s="1"/>
  <c r="E905" i="3"/>
  <c r="K905" i="3" s="1"/>
  <c r="E906" i="3"/>
  <c r="K906" i="3" s="1"/>
  <c r="E907" i="3"/>
  <c r="K907" i="3" s="1"/>
  <c r="E908" i="3"/>
  <c r="K908" i="3" s="1"/>
  <c r="E909" i="3"/>
  <c r="K909" i="3" s="1"/>
  <c r="E910" i="3"/>
  <c r="K910" i="3" s="1"/>
  <c r="E911" i="3"/>
  <c r="K911" i="3" s="1"/>
  <c r="E912" i="3"/>
  <c r="K912" i="3" s="1"/>
  <c r="E913" i="3"/>
  <c r="K913" i="3" s="1"/>
  <c r="E914" i="3"/>
  <c r="K914" i="3" s="1"/>
  <c r="E915" i="3"/>
  <c r="K915" i="3" s="1"/>
  <c r="E916" i="3"/>
  <c r="K916" i="3" s="1"/>
  <c r="E917" i="3"/>
  <c r="K917" i="3" s="1"/>
  <c r="E918" i="3"/>
  <c r="K918" i="3" s="1"/>
  <c r="E919" i="3"/>
  <c r="K919" i="3" s="1"/>
  <c r="E920" i="3"/>
  <c r="K920" i="3" s="1"/>
  <c r="E921" i="3"/>
  <c r="K921" i="3" s="1"/>
  <c r="E922" i="3"/>
  <c r="K922" i="3" s="1"/>
  <c r="E923" i="3"/>
  <c r="K923" i="3" s="1"/>
  <c r="E924" i="3"/>
  <c r="K924" i="3" s="1"/>
  <c r="E925" i="3"/>
  <c r="K925" i="3" s="1"/>
  <c r="E926" i="3"/>
  <c r="K926" i="3" s="1"/>
  <c r="E927" i="3"/>
  <c r="E928" i="3"/>
  <c r="E929" i="3"/>
  <c r="K929" i="3" s="1"/>
  <c r="E930" i="3"/>
  <c r="K930" i="3" s="1"/>
  <c r="E931" i="3"/>
  <c r="K931" i="3" s="1"/>
  <c r="E932" i="3"/>
  <c r="K932" i="3" s="1"/>
  <c r="E933" i="3"/>
  <c r="K933" i="3" s="1"/>
  <c r="E934" i="3"/>
  <c r="K934" i="3" s="1"/>
  <c r="E935" i="3"/>
  <c r="K935" i="3" s="1"/>
  <c r="E936" i="3"/>
  <c r="K936" i="3" s="1"/>
  <c r="E937" i="3"/>
  <c r="K937" i="3" s="1"/>
  <c r="E938" i="3"/>
  <c r="K938" i="3" s="1"/>
  <c r="E939" i="3"/>
  <c r="K939" i="3" s="1"/>
  <c r="E940" i="3"/>
  <c r="K940" i="3" s="1"/>
  <c r="E941" i="3"/>
  <c r="K941" i="3" s="1"/>
  <c r="E942" i="3"/>
  <c r="K942" i="3" s="1"/>
  <c r="E943" i="3"/>
  <c r="K943" i="3" s="1"/>
  <c r="E944" i="3"/>
  <c r="K944" i="3" s="1"/>
  <c r="E945" i="3"/>
  <c r="K945" i="3" s="1"/>
  <c r="E946" i="3"/>
  <c r="K946" i="3" s="1"/>
  <c r="E947" i="3"/>
  <c r="K947" i="3" s="1"/>
  <c r="E948" i="3"/>
  <c r="K948" i="3" s="1"/>
  <c r="E949" i="3"/>
  <c r="K949" i="3" s="1"/>
  <c r="E950" i="3"/>
  <c r="K950" i="3" s="1"/>
  <c r="E951" i="3"/>
  <c r="K951" i="3" s="1"/>
  <c r="E952" i="3"/>
  <c r="K952" i="3" s="1"/>
  <c r="E953" i="3"/>
  <c r="K953" i="3" s="1"/>
  <c r="E954" i="3"/>
  <c r="K954" i="3" s="1"/>
  <c r="E955" i="3"/>
  <c r="K955" i="3" s="1"/>
  <c r="E956" i="3"/>
  <c r="K956" i="3" s="1"/>
  <c r="E957" i="3"/>
  <c r="K957" i="3" s="1"/>
  <c r="E958" i="3"/>
  <c r="K958" i="3" s="1"/>
  <c r="E959" i="3"/>
  <c r="K959" i="3" s="1"/>
  <c r="E960" i="3"/>
  <c r="K960" i="3" s="1"/>
  <c r="E961" i="3"/>
  <c r="K961" i="3" s="1"/>
  <c r="E962" i="3"/>
  <c r="K962" i="3" s="1"/>
  <c r="E963" i="3"/>
  <c r="K963" i="3" s="1"/>
  <c r="E964" i="3"/>
  <c r="K964" i="3" s="1"/>
  <c r="E965" i="3"/>
  <c r="K965" i="3" s="1"/>
  <c r="E966" i="3"/>
  <c r="K966" i="3" s="1"/>
  <c r="E967" i="3"/>
  <c r="K967" i="3" s="1"/>
  <c r="E968" i="3"/>
  <c r="K968" i="3" s="1"/>
  <c r="E969" i="3"/>
  <c r="K969" i="3" s="1"/>
  <c r="E970" i="3"/>
  <c r="K970" i="3" s="1"/>
  <c r="E971" i="3"/>
  <c r="K971" i="3" s="1"/>
  <c r="E972" i="3"/>
  <c r="K972" i="3" s="1"/>
  <c r="E973" i="3"/>
  <c r="K973" i="3" s="1"/>
  <c r="E974" i="3"/>
  <c r="E975" i="3"/>
  <c r="K975" i="3" s="1"/>
  <c r="E976" i="3"/>
  <c r="E977" i="3"/>
  <c r="K977" i="3" s="1"/>
  <c r="E978" i="3"/>
  <c r="K978" i="3" s="1"/>
  <c r="E979" i="3"/>
  <c r="K979" i="3" s="1"/>
  <c r="E980" i="3"/>
  <c r="E981" i="3"/>
  <c r="K981" i="3" s="1"/>
  <c r="E982" i="3"/>
  <c r="K982" i="3" s="1"/>
  <c r="E983" i="3"/>
  <c r="K983" i="3" s="1"/>
  <c r="E984" i="3"/>
  <c r="K984" i="3" s="1"/>
  <c r="E985" i="3"/>
  <c r="K985" i="3" s="1"/>
  <c r="E986" i="3"/>
  <c r="K986" i="3" s="1"/>
  <c r="E987" i="3"/>
  <c r="K987" i="3" s="1"/>
  <c r="E988" i="3"/>
  <c r="K988" i="3" s="1"/>
  <c r="E989" i="3"/>
  <c r="K989" i="3" s="1"/>
  <c r="E990" i="3"/>
  <c r="K990" i="3" s="1"/>
  <c r="E991" i="3"/>
  <c r="E992" i="3"/>
  <c r="K992" i="3" s="1"/>
  <c r="E993" i="3"/>
  <c r="K993" i="3" s="1"/>
  <c r="E994" i="3"/>
  <c r="K994" i="3" s="1"/>
  <c r="E995" i="3"/>
  <c r="K995" i="3" s="1"/>
  <c r="E996" i="3"/>
  <c r="K996" i="3" s="1"/>
  <c r="E997" i="3"/>
  <c r="K997" i="3" s="1"/>
  <c r="E998" i="3"/>
  <c r="K998" i="3" s="1"/>
  <c r="E999" i="3"/>
  <c r="E1000" i="3"/>
  <c r="K1000" i="3" s="1"/>
  <c r="E1001" i="3"/>
  <c r="K1001" i="3" s="1"/>
  <c r="E1002" i="3"/>
  <c r="K1002" i="3" s="1"/>
  <c r="E1003" i="3"/>
  <c r="K1003" i="3" s="1"/>
  <c r="E1004" i="3"/>
  <c r="K1004" i="3" s="1"/>
  <c r="E1005" i="3"/>
  <c r="K1005" i="3" s="1"/>
  <c r="E1006" i="3"/>
  <c r="K1006" i="3" s="1"/>
  <c r="E1007" i="3"/>
  <c r="K1007" i="3" s="1"/>
  <c r="E1008" i="3"/>
  <c r="K1008" i="3" s="1"/>
  <c r="E1009" i="3"/>
  <c r="K1009" i="3" s="1"/>
  <c r="E1010" i="3"/>
  <c r="K1010" i="3" s="1"/>
  <c r="E1011" i="3"/>
  <c r="K1011" i="3" s="1"/>
  <c r="E1012" i="3"/>
  <c r="K1012" i="3" s="1"/>
  <c r="E1013" i="3"/>
  <c r="K1013" i="3" s="1"/>
  <c r="E1014" i="3"/>
  <c r="K1014" i="3" s="1"/>
  <c r="E1015" i="3"/>
  <c r="K1015" i="3" s="1"/>
  <c r="E1016" i="3"/>
  <c r="K1016" i="3" s="1"/>
  <c r="E1017" i="3"/>
  <c r="K1017" i="3" s="1"/>
  <c r="E1018" i="3"/>
  <c r="K1018" i="3" s="1"/>
  <c r="E1019" i="3"/>
  <c r="K1019" i="3" s="1"/>
  <c r="E1020" i="3"/>
  <c r="K1020" i="3" s="1"/>
  <c r="E1021" i="3"/>
  <c r="K1021" i="3" s="1"/>
  <c r="E1022" i="3"/>
  <c r="K1022" i="3" s="1"/>
  <c r="E1023" i="3"/>
  <c r="K1023" i="3" s="1"/>
  <c r="E1024" i="3"/>
  <c r="K1024" i="3" s="1"/>
  <c r="E1025" i="3"/>
  <c r="K1025" i="3" s="1"/>
  <c r="E1026" i="3"/>
  <c r="K1026" i="3" s="1"/>
  <c r="E1027" i="3"/>
  <c r="K1027" i="3" s="1"/>
  <c r="E1028" i="3"/>
  <c r="K1028" i="3" s="1"/>
  <c r="E1029" i="3"/>
  <c r="K1029" i="3" s="1"/>
  <c r="E1030" i="3"/>
  <c r="K1030" i="3" s="1"/>
  <c r="E1031" i="3"/>
  <c r="K1031" i="3" s="1"/>
  <c r="E1032" i="3"/>
  <c r="K1032" i="3" s="1"/>
  <c r="E1033" i="3"/>
  <c r="K1033" i="3" s="1"/>
  <c r="E1034" i="3"/>
  <c r="K1034" i="3" s="1"/>
  <c r="E1035" i="3"/>
  <c r="K1035" i="3" s="1"/>
  <c r="E1036" i="3"/>
  <c r="K1036" i="3" s="1"/>
  <c r="E1037" i="3"/>
  <c r="K1037" i="3" s="1"/>
  <c r="E1038" i="3"/>
  <c r="E1039" i="3"/>
  <c r="K1039" i="3" s="1"/>
  <c r="E1040" i="3"/>
  <c r="E1041" i="3"/>
  <c r="K1041" i="3" s="1"/>
  <c r="E1042" i="3"/>
  <c r="E1043" i="3"/>
  <c r="K1043" i="3" s="1"/>
  <c r="E1044" i="3"/>
  <c r="K1044" i="3" s="1"/>
  <c r="E1045" i="3"/>
  <c r="K1045" i="3" s="1"/>
  <c r="E1046" i="3"/>
  <c r="K1046" i="3" s="1"/>
  <c r="E1047" i="3"/>
  <c r="K1047" i="3" s="1"/>
  <c r="E1048" i="3"/>
  <c r="K1048" i="3" s="1"/>
  <c r="E1049" i="3"/>
  <c r="K1049" i="3" s="1"/>
  <c r="E1050" i="3"/>
  <c r="K1050" i="3" s="1"/>
  <c r="E1051" i="3"/>
  <c r="K1051" i="3" s="1"/>
  <c r="E1052" i="3"/>
  <c r="K1052" i="3" s="1"/>
  <c r="E1053" i="3"/>
  <c r="K1053" i="3" s="1"/>
  <c r="E1054" i="3"/>
  <c r="K1054" i="3" s="1"/>
  <c r="E1055" i="3"/>
  <c r="E1056" i="3"/>
  <c r="K1056" i="3" s="1"/>
  <c r="E1057" i="3"/>
  <c r="K1057" i="3" s="1"/>
  <c r="E1058" i="3"/>
  <c r="K1058" i="3" s="1"/>
  <c r="E1059" i="3"/>
  <c r="K1059" i="3" s="1"/>
  <c r="E1060" i="3"/>
  <c r="K1060" i="3" s="1"/>
  <c r="E1061" i="3"/>
  <c r="K1061" i="3" s="1"/>
  <c r="E1062" i="3"/>
  <c r="K1062" i="3" s="1"/>
  <c r="E1063" i="3"/>
  <c r="E1064" i="3"/>
  <c r="K1064" i="3" s="1"/>
  <c r="E1065" i="3"/>
  <c r="K1065" i="3" s="1"/>
  <c r="E1066" i="3"/>
  <c r="K1066" i="3" s="1"/>
  <c r="E1067" i="3"/>
  <c r="K1067" i="3" s="1"/>
  <c r="E1068" i="3"/>
  <c r="K1068" i="3" s="1"/>
  <c r="E1069" i="3"/>
  <c r="K1069" i="3" s="1"/>
  <c r="E1070" i="3"/>
  <c r="K1070" i="3" s="1"/>
  <c r="E1071" i="3"/>
  <c r="K1071" i="3" s="1"/>
  <c r="E1072" i="3"/>
  <c r="K1072" i="3" s="1"/>
  <c r="E1073" i="3"/>
  <c r="K1073" i="3" s="1"/>
  <c r="E1074" i="3"/>
  <c r="K1074" i="3" s="1"/>
  <c r="E1075" i="3"/>
  <c r="K1075" i="3" s="1"/>
  <c r="E1076" i="3"/>
  <c r="K1076" i="3" s="1"/>
  <c r="E1077" i="3"/>
  <c r="K1077" i="3" s="1"/>
  <c r="E1078" i="3"/>
  <c r="K1078" i="3" s="1"/>
  <c r="E1079" i="3"/>
  <c r="K1079" i="3" s="1"/>
  <c r="E1080" i="3"/>
  <c r="K1080" i="3" s="1"/>
  <c r="E1081" i="3"/>
  <c r="K1081" i="3" s="1"/>
  <c r="E1082" i="3"/>
  <c r="K1082" i="3" s="1"/>
  <c r="E1083" i="3"/>
  <c r="K1083" i="3" s="1"/>
  <c r="E1084" i="3"/>
  <c r="K1084" i="3" s="1"/>
  <c r="E1085" i="3"/>
  <c r="K1085" i="3" s="1"/>
  <c r="E1086" i="3"/>
  <c r="K1086" i="3" s="1"/>
  <c r="E1087" i="3"/>
  <c r="K1087" i="3" s="1"/>
  <c r="E1088" i="3"/>
  <c r="K1088" i="3" s="1"/>
  <c r="E1089" i="3"/>
  <c r="K1089" i="3" s="1"/>
  <c r="E1090" i="3"/>
  <c r="K1090" i="3" s="1"/>
  <c r="E1091" i="3"/>
  <c r="K1091" i="3" s="1"/>
  <c r="E1092" i="3"/>
  <c r="K1092" i="3" s="1"/>
  <c r="E1093" i="3"/>
  <c r="K1093" i="3" s="1"/>
  <c r="E1094" i="3"/>
  <c r="K1094" i="3" s="1"/>
  <c r="E1095" i="3"/>
  <c r="K1095" i="3" s="1"/>
  <c r="E1096" i="3"/>
  <c r="K1096" i="3" s="1"/>
  <c r="E1097" i="3"/>
  <c r="K1097" i="3" s="1"/>
  <c r="E1098" i="3"/>
  <c r="K1098" i="3" s="1"/>
  <c r="E1099" i="3"/>
  <c r="K1099" i="3" s="1"/>
  <c r="E1100" i="3"/>
  <c r="K1100" i="3" s="1"/>
  <c r="E1101" i="3"/>
  <c r="K1101" i="3" s="1"/>
  <c r="E1102" i="3"/>
  <c r="E1103" i="3"/>
  <c r="E1104" i="3"/>
  <c r="E1105" i="3"/>
  <c r="K1105" i="3" s="1"/>
  <c r="E1106" i="3"/>
  <c r="K1106" i="3" s="1"/>
  <c r="E1107" i="3"/>
  <c r="K1107" i="3" s="1"/>
  <c r="E1108" i="3"/>
  <c r="K1108" i="3" s="1"/>
  <c r="E1109" i="3"/>
  <c r="K1109" i="3" s="1"/>
  <c r="E1110" i="3"/>
  <c r="K1110" i="3" s="1"/>
  <c r="E1111" i="3"/>
  <c r="K1111" i="3" s="1"/>
  <c r="E1112" i="3"/>
  <c r="K1112" i="3" s="1"/>
  <c r="E1113" i="3"/>
  <c r="K1113" i="3" s="1"/>
  <c r="E1114" i="3"/>
  <c r="K1114" i="3" s="1"/>
  <c r="E1115" i="3"/>
  <c r="K1115" i="3" s="1"/>
  <c r="E1116" i="3"/>
  <c r="K1116" i="3" s="1"/>
  <c r="E1117" i="3"/>
  <c r="K1117" i="3" s="1"/>
  <c r="E1118" i="3"/>
  <c r="K1118" i="3" s="1"/>
  <c r="E1119" i="3"/>
  <c r="E1120" i="3"/>
  <c r="K1120" i="3" s="1"/>
  <c r="E1121" i="3"/>
  <c r="K1121" i="3" s="1"/>
  <c r="E1122" i="3"/>
  <c r="K1122" i="3" s="1"/>
  <c r="E1123" i="3"/>
  <c r="K1123" i="3" s="1"/>
  <c r="E1124" i="3"/>
  <c r="K1124" i="3" s="1"/>
  <c r="E1125" i="3"/>
  <c r="K1125" i="3" s="1"/>
  <c r="E1126" i="3"/>
  <c r="K1126" i="3" s="1"/>
  <c r="E1127" i="3"/>
  <c r="E1128" i="3"/>
  <c r="K1128" i="3" s="1"/>
  <c r="E1129" i="3"/>
  <c r="K1129" i="3" s="1"/>
  <c r="E1130" i="3"/>
  <c r="K1130" i="3" s="1"/>
  <c r="E1131" i="3"/>
  <c r="K1131" i="3" s="1"/>
  <c r="E1132" i="3"/>
  <c r="K1132" i="3" s="1"/>
  <c r="E1133" i="3"/>
  <c r="K1133" i="3" s="1"/>
  <c r="E1134" i="3"/>
  <c r="K1134" i="3" s="1"/>
  <c r="E1135" i="3"/>
  <c r="K1135" i="3" s="1"/>
  <c r="E1136" i="3"/>
  <c r="K1136" i="3" s="1"/>
  <c r="E1137" i="3"/>
  <c r="K1137" i="3" s="1"/>
  <c r="E1138" i="3"/>
  <c r="K1138" i="3" s="1"/>
  <c r="E1139" i="3"/>
  <c r="K1139" i="3" s="1"/>
  <c r="E1140" i="3"/>
  <c r="K1140" i="3" s="1"/>
  <c r="E1141" i="3"/>
  <c r="K1141" i="3" s="1"/>
  <c r="E1142" i="3"/>
  <c r="K1142" i="3" s="1"/>
  <c r="E1143" i="3"/>
  <c r="K1143" i="3" s="1"/>
  <c r="E1144" i="3"/>
  <c r="K1144" i="3" s="1"/>
  <c r="E1145" i="3"/>
  <c r="K1145" i="3" s="1"/>
  <c r="E1146" i="3"/>
  <c r="K1146" i="3" s="1"/>
  <c r="E1147" i="3"/>
  <c r="K1147" i="3" s="1"/>
  <c r="E1148" i="3"/>
  <c r="K1148" i="3" s="1"/>
  <c r="E1149" i="3"/>
  <c r="K1149" i="3" s="1"/>
  <c r="E1150" i="3"/>
  <c r="K1150" i="3" s="1"/>
  <c r="E1151" i="3"/>
  <c r="K1151" i="3" s="1"/>
  <c r="E1152" i="3"/>
  <c r="K1152" i="3" s="1"/>
  <c r="E1153" i="3"/>
  <c r="K1153" i="3" s="1"/>
  <c r="E1154" i="3"/>
  <c r="K1154" i="3" s="1"/>
  <c r="E1155" i="3"/>
  <c r="K1155" i="3" s="1"/>
  <c r="E1156" i="3"/>
  <c r="K1156" i="3" s="1"/>
  <c r="E1157" i="3"/>
  <c r="K1157" i="3" s="1"/>
  <c r="E1158" i="3"/>
  <c r="K1158" i="3" s="1"/>
  <c r="E1159" i="3"/>
  <c r="K1159" i="3" s="1"/>
  <c r="E1160" i="3"/>
  <c r="K1160" i="3" s="1"/>
  <c r="E1161" i="3"/>
  <c r="K1161" i="3" s="1"/>
  <c r="E1162" i="3"/>
  <c r="K1162" i="3" s="1"/>
  <c r="E1163" i="3"/>
  <c r="K1163" i="3" s="1"/>
  <c r="E1164" i="3"/>
  <c r="K1164" i="3" s="1"/>
  <c r="E1165" i="3"/>
  <c r="E1166" i="3"/>
  <c r="E1167" i="3"/>
  <c r="K1167" i="3" s="1"/>
  <c r="E1168" i="3"/>
  <c r="E1169" i="3"/>
  <c r="K1169" i="3" s="1"/>
  <c r="E1170" i="3"/>
  <c r="K1170" i="3" s="1"/>
  <c r="E1171" i="3"/>
  <c r="K1171" i="3" s="1"/>
  <c r="E1172" i="3"/>
  <c r="E1173" i="3"/>
  <c r="K1173" i="3" s="1"/>
  <c r="E1174" i="3"/>
  <c r="K1174" i="3" s="1"/>
  <c r="E1175" i="3"/>
  <c r="K1175" i="3" s="1"/>
  <c r="E1176" i="3"/>
  <c r="K1176" i="3" s="1"/>
  <c r="E1177" i="3"/>
  <c r="K1177" i="3" s="1"/>
  <c r="E1178" i="3"/>
  <c r="K1178" i="3" s="1"/>
  <c r="E1179" i="3"/>
  <c r="K1179" i="3" s="1"/>
  <c r="E1180" i="3"/>
  <c r="K1180" i="3" s="1"/>
  <c r="E1181" i="3"/>
  <c r="K1181" i="3" s="1"/>
  <c r="E1182" i="3"/>
  <c r="K1182" i="3" s="1"/>
  <c r="E1183" i="3"/>
  <c r="K1183" i="3" s="1"/>
  <c r="E1184" i="3"/>
  <c r="K1184" i="3" s="1"/>
  <c r="E1185" i="3"/>
  <c r="K1185" i="3" s="1"/>
  <c r="E1186" i="3"/>
  <c r="K1186" i="3" s="1"/>
  <c r="E1187" i="3"/>
  <c r="K1187" i="3" s="1"/>
  <c r="E1188" i="3"/>
  <c r="K1188" i="3" s="1"/>
  <c r="E1189" i="3"/>
  <c r="K1189" i="3" s="1"/>
  <c r="E1190" i="3"/>
  <c r="K1190" i="3" s="1"/>
  <c r="E1191" i="3"/>
  <c r="E1192" i="3"/>
  <c r="K1192" i="3" s="1"/>
  <c r="E1193" i="3"/>
  <c r="K1193" i="3" s="1"/>
  <c r="E1194" i="3"/>
  <c r="K1194" i="3" s="1"/>
  <c r="E1195" i="3"/>
  <c r="K1195" i="3" s="1"/>
  <c r="E1196" i="3"/>
  <c r="K1196" i="3" s="1"/>
  <c r="E1197" i="3"/>
  <c r="K1197" i="3" s="1"/>
  <c r="E1198" i="3"/>
  <c r="K1198" i="3" s="1"/>
  <c r="E1199" i="3"/>
  <c r="K1199" i="3" s="1"/>
  <c r="E1200" i="3"/>
  <c r="K1200" i="3" s="1"/>
  <c r="E1201" i="3"/>
  <c r="K1201" i="3" s="1"/>
  <c r="E1202" i="3"/>
  <c r="K1202" i="3" s="1"/>
  <c r="E1203" i="3"/>
  <c r="K1203" i="3" s="1"/>
  <c r="E1204" i="3"/>
  <c r="K1204" i="3" s="1"/>
  <c r="E1205" i="3"/>
  <c r="K1205" i="3" s="1"/>
  <c r="E1206" i="3"/>
  <c r="K1206" i="3" s="1"/>
  <c r="E1207" i="3"/>
  <c r="K1207" i="3" s="1"/>
  <c r="E1208" i="3"/>
  <c r="K1208" i="3" s="1"/>
  <c r="E1209" i="3"/>
  <c r="K1209" i="3" s="1"/>
  <c r="E1210" i="3"/>
  <c r="K1210" i="3" s="1"/>
  <c r="E1211" i="3"/>
  <c r="K1211" i="3" s="1"/>
  <c r="E1212" i="3"/>
  <c r="K1212" i="3" s="1"/>
  <c r="E1213" i="3"/>
  <c r="K1213" i="3" s="1"/>
  <c r="E1214" i="3"/>
  <c r="K1214" i="3" s="1"/>
  <c r="E1215" i="3"/>
  <c r="K1215" i="3" s="1"/>
  <c r="E1216" i="3"/>
  <c r="K1216" i="3" s="1"/>
  <c r="E1217" i="3"/>
  <c r="K1217" i="3" s="1"/>
  <c r="E1218" i="3"/>
  <c r="K1218" i="3" s="1"/>
  <c r="E1219" i="3"/>
  <c r="K1219" i="3" s="1"/>
  <c r="E1220" i="3"/>
  <c r="K1220" i="3" s="1"/>
  <c r="E1221" i="3"/>
  <c r="K1221" i="3" s="1"/>
  <c r="E1222" i="3"/>
  <c r="K1222" i="3" s="1"/>
  <c r="E1223" i="3"/>
  <c r="K1223" i="3" s="1"/>
  <c r="E1224" i="3"/>
  <c r="K1224" i="3" s="1"/>
  <c r="E1225" i="3"/>
  <c r="K1225" i="3" s="1"/>
  <c r="E1226" i="3"/>
  <c r="K1226" i="3" s="1"/>
  <c r="E1227" i="3"/>
  <c r="K1227" i="3" s="1"/>
  <c r="E1228" i="3"/>
  <c r="K1228" i="3" s="1"/>
  <c r="E1229" i="3"/>
  <c r="K1229" i="3" s="1"/>
  <c r="E1230" i="3"/>
  <c r="E1231" i="3"/>
  <c r="K1231" i="3" s="1"/>
  <c r="E1232" i="3"/>
  <c r="E1233" i="3"/>
  <c r="K1233" i="3" s="1"/>
  <c r="E1234" i="3"/>
  <c r="E1235" i="3"/>
  <c r="K1235" i="3" s="1"/>
  <c r="E1236" i="3"/>
  <c r="K1236" i="3" s="1"/>
  <c r="E1237" i="3"/>
  <c r="K1237" i="3" s="1"/>
  <c r="E1238" i="3"/>
  <c r="K1238" i="3" s="1"/>
  <c r="E1239" i="3"/>
  <c r="K1239" i="3" s="1"/>
  <c r="E1240" i="3"/>
  <c r="K1240" i="3" s="1"/>
  <c r="E1241" i="3"/>
  <c r="K1241" i="3" s="1"/>
  <c r="E1242" i="3"/>
  <c r="K1242" i="3" s="1"/>
  <c r="E1243" i="3"/>
  <c r="K1243" i="3" s="1"/>
  <c r="E1244" i="3"/>
  <c r="K1244" i="3" s="1"/>
  <c r="E1245" i="3"/>
  <c r="K1245" i="3" s="1"/>
  <c r="E1246" i="3"/>
  <c r="K1246" i="3" s="1"/>
  <c r="E1247" i="3"/>
  <c r="E1248" i="3"/>
  <c r="E1249" i="3"/>
  <c r="K1249" i="3" s="1"/>
  <c r="E1250" i="3"/>
  <c r="K1250" i="3" s="1"/>
  <c r="E1251" i="3"/>
  <c r="K1251" i="3" s="1"/>
  <c r="E1252" i="3"/>
  <c r="K1252" i="3" s="1"/>
  <c r="E1253" i="3"/>
  <c r="K1253" i="3" s="1"/>
  <c r="E1254" i="3"/>
  <c r="K1254" i="3" s="1"/>
  <c r="E1255" i="3"/>
  <c r="E1256" i="3"/>
  <c r="K1256" i="3" s="1"/>
  <c r="E1257" i="3"/>
  <c r="K1257" i="3" s="1"/>
  <c r="E1258" i="3"/>
  <c r="K1258" i="3" s="1"/>
  <c r="E1259" i="3"/>
  <c r="K1259" i="3" s="1"/>
  <c r="E1260" i="3"/>
  <c r="K1260" i="3" s="1"/>
  <c r="E1261" i="3"/>
  <c r="K1261" i="3" s="1"/>
  <c r="E1262" i="3"/>
  <c r="K1262" i="3" s="1"/>
  <c r="E1263" i="3"/>
  <c r="K1263" i="3" s="1"/>
  <c r="E1264" i="3"/>
  <c r="K1264" i="3" s="1"/>
  <c r="E1265" i="3"/>
  <c r="K1265" i="3" s="1"/>
  <c r="E1266" i="3"/>
  <c r="K1266" i="3" s="1"/>
  <c r="E1267" i="3"/>
  <c r="K1267" i="3" s="1"/>
  <c r="E1268" i="3"/>
  <c r="K1268" i="3" s="1"/>
  <c r="E1269" i="3"/>
  <c r="K1269" i="3" s="1"/>
  <c r="E1270" i="3"/>
  <c r="K1270" i="3" s="1"/>
  <c r="E1271" i="3"/>
  <c r="K1271" i="3" s="1"/>
  <c r="E1272" i="3"/>
  <c r="K1272" i="3" s="1"/>
  <c r="E1273" i="3"/>
  <c r="K1273" i="3" s="1"/>
  <c r="E1274" i="3"/>
  <c r="K1274" i="3" s="1"/>
  <c r="E1275" i="3"/>
  <c r="K1275" i="3" s="1"/>
  <c r="E1276" i="3"/>
  <c r="K1276" i="3" s="1"/>
  <c r="E1277" i="3"/>
  <c r="K1277" i="3" s="1"/>
  <c r="E1278" i="3"/>
  <c r="K1278" i="3" s="1"/>
  <c r="E1279" i="3"/>
  <c r="K1279" i="3" s="1"/>
  <c r="E1280" i="3"/>
  <c r="K1280" i="3" s="1"/>
  <c r="E1281" i="3"/>
  <c r="K1281" i="3" s="1"/>
  <c r="E1282" i="3"/>
  <c r="K1282" i="3" s="1"/>
  <c r="E1283" i="3"/>
  <c r="K1283" i="3" s="1"/>
  <c r="E1284" i="3"/>
  <c r="K1284" i="3" s="1"/>
  <c r="E1285" i="3"/>
  <c r="K1285" i="3" s="1"/>
  <c r="E1286" i="3"/>
  <c r="K1286" i="3" s="1"/>
  <c r="E1287" i="3"/>
  <c r="K1287" i="3" s="1"/>
  <c r="E1288" i="3"/>
  <c r="K1288" i="3" s="1"/>
  <c r="E1289" i="3"/>
  <c r="K1289" i="3" s="1"/>
  <c r="E1290" i="3"/>
  <c r="K1290" i="3" s="1"/>
  <c r="E1291" i="3"/>
  <c r="K1291" i="3" s="1"/>
  <c r="E1292" i="3"/>
  <c r="K1292" i="3" s="1"/>
  <c r="E1293" i="3"/>
  <c r="K1293" i="3" s="1"/>
  <c r="E1294" i="3"/>
  <c r="E1295" i="3"/>
  <c r="K1295" i="3" s="1"/>
  <c r="E1296" i="3"/>
  <c r="K1296" i="3" s="1"/>
  <c r="E1297" i="3"/>
  <c r="K1297" i="3" s="1"/>
  <c r="E1298" i="3"/>
  <c r="E1299" i="3"/>
  <c r="E1300" i="3"/>
  <c r="K1300" i="3" s="1"/>
  <c r="E1301" i="3"/>
  <c r="K1301" i="3" s="1"/>
  <c r="E1302" i="3"/>
  <c r="K1302" i="3" s="1"/>
  <c r="E1303" i="3"/>
  <c r="K1303" i="3" s="1"/>
  <c r="E1304" i="3"/>
  <c r="K1304" i="3" s="1"/>
  <c r="E1305" i="3"/>
  <c r="K1305" i="3" s="1"/>
  <c r="E1306" i="3"/>
  <c r="K1306" i="3" s="1"/>
  <c r="E1307" i="3"/>
  <c r="K1307" i="3" s="1"/>
  <c r="E1308" i="3"/>
  <c r="K1308" i="3" s="1"/>
  <c r="E1309" i="3"/>
  <c r="K1309" i="3" s="1"/>
  <c r="E1310" i="3"/>
  <c r="K1310" i="3" s="1"/>
  <c r="E1311" i="3"/>
  <c r="E1312" i="3"/>
  <c r="E1313" i="3"/>
  <c r="K1313" i="3" s="1"/>
  <c r="E1314" i="3"/>
  <c r="K1314" i="3" s="1"/>
  <c r="E1315" i="3"/>
  <c r="K1315" i="3" s="1"/>
  <c r="E1316" i="3"/>
  <c r="K1316" i="3" s="1"/>
  <c r="E1317" i="3"/>
  <c r="K1317" i="3" s="1"/>
  <c r="E1318" i="3"/>
  <c r="K1318" i="3" s="1"/>
  <c r="E1319" i="3"/>
  <c r="E1320" i="3"/>
  <c r="K1320" i="3" s="1"/>
  <c r="E1321" i="3"/>
  <c r="K1321" i="3" s="1"/>
  <c r="E1322" i="3"/>
  <c r="K1322" i="3" s="1"/>
  <c r="E1323" i="3"/>
  <c r="K1323" i="3" s="1"/>
  <c r="E1324" i="3"/>
  <c r="K1324" i="3" s="1"/>
  <c r="E1325" i="3"/>
  <c r="K1325" i="3" s="1"/>
  <c r="E1326" i="3"/>
  <c r="K1326" i="3" s="1"/>
  <c r="E1327" i="3"/>
  <c r="K1327" i="3" s="1"/>
  <c r="E1328" i="3"/>
  <c r="K1328" i="3" s="1"/>
  <c r="E1329" i="3"/>
  <c r="K1329" i="3" s="1"/>
  <c r="E1330" i="3"/>
  <c r="K1330" i="3" s="1"/>
  <c r="E1331" i="3"/>
  <c r="K1331" i="3" s="1"/>
  <c r="E1332" i="3"/>
  <c r="K1332" i="3" s="1"/>
  <c r="E1333" i="3"/>
  <c r="K1333" i="3" s="1"/>
  <c r="E1334" i="3"/>
  <c r="K1334" i="3" s="1"/>
  <c r="E1335" i="3"/>
  <c r="K1335" i="3" s="1"/>
  <c r="E1336" i="3"/>
  <c r="K1336" i="3" s="1"/>
  <c r="E1337" i="3"/>
  <c r="K1337" i="3" s="1"/>
  <c r="E1338" i="3"/>
  <c r="K1338" i="3" s="1"/>
  <c r="E1339" i="3"/>
  <c r="K1339" i="3" s="1"/>
  <c r="E1340" i="3"/>
  <c r="K1340" i="3" s="1"/>
  <c r="E1341" i="3"/>
  <c r="K1341" i="3" s="1"/>
  <c r="E1342" i="3"/>
  <c r="K1342" i="3" s="1"/>
  <c r="E1343" i="3"/>
  <c r="K1343" i="3" s="1"/>
  <c r="E1344" i="3"/>
  <c r="K1344" i="3" s="1"/>
  <c r="E1345" i="3"/>
  <c r="K1345" i="3" s="1"/>
  <c r="E1346" i="3"/>
  <c r="K1346" i="3" s="1"/>
  <c r="E1347" i="3"/>
  <c r="K1347" i="3" s="1"/>
  <c r="E1348" i="3"/>
  <c r="K1348" i="3" s="1"/>
  <c r="E1349" i="3"/>
  <c r="K1349" i="3" s="1"/>
  <c r="E1350" i="3"/>
  <c r="K1350" i="3" s="1"/>
  <c r="E1351" i="3"/>
  <c r="K1351" i="3" s="1"/>
  <c r="E1352" i="3"/>
  <c r="K1352" i="3" s="1"/>
  <c r="E1353" i="3"/>
  <c r="K1353" i="3" s="1"/>
  <c r="E1354" i="3"/>
  <c r="K1354" i="3" s="1"/>
  <c r="E1355" i="3"/>
  <c r="K1355" i="3" s="1"/>
  <c r="E1356" i="3"/>
  <c r="K1356" i="3" s="1"/>
  <c r="E1357" i="3"/>
  <c r="E1358" i="3"/>
  <c r="E1359" i="3"/>
  <c r="E1360" i="3"/>
  <c r="E1361" i="3"/>
  <c r="E1362" i="3"/>
  <c r="K1362" i="3" s="1"/>
  <c r="E1363" i="3"/>
  <c r="K1363" i="3" s="1"/>
  <c r="E1364" i="3"/>
  <c r="K1364" i="3" s="1"/>
  <c r="E1365" i="3"/>
  <c r="K1365" i="3" s="1"/>
  <c r="E1366" i="3"/>
  <c r="K1366" i="3" s="1"/>
  <c r="E1367" i="3"/>
  <c r="K1367" i="3" s="1"/>
  <c r="E1368" i="3"/>
  <c r="K1368" i="3" s="1"/>
  <c r="E1369" i="3"/>
  <c r="K1369" i="3" s="1"/>
  <c r="E1370" i="3"/>
  <c r="K1370" i="3" s="1"/>
  <c r="E1371" i="3"/>
  <c r="K1371" i="3" s="1"/>
  <c r="E1372" i="3"/>
  <c r="K1372" i="3" s="1"/>
  <c r="E1373" i="3"/>
  <c r="K1373" i="3" s="1"/>
  <c r="E1374" i="3"/>
  <c r="K1374" i="3" s="1"/>
  <c r="E1375" i="3"/>
  <c r="E1376" i="3"/>
  <c r="E1377" i="3"/>
  <c r="K1377" i="3" s="1"/>
  <c r="E1378" i="3"/>
  <c r="K1378" i="3" s="1"/>
  <c r="E1379" i="3"/>
  <c r="K1379" i="3" s="1"/>
  <c r="E1380" i="3"/>
  <c r="K1380" i="3" s="1"/>
  <c r="E1381" i="3"/>
  <c r="K1381" i="3" s="1"/>
  <c r="E1382" i="3"/>
  <c r="K1382" i="3" s="1"/>
  <c r="E1383" i="3"/>
  <c r="E1384" i="3"/>
  <c r="K1384" i="3" s="1"/>
  <c r="E1385" i="3"/>
  <c r="K1385" i="3" s="1"/>
  <c r="E1386" i="3"/>
  <c r="K1386" i="3" s="1"/>
  <c r="E1387" i="3"/>
  <c r="K1387" i="3" s="1"/>
  <c r="E1388" i="3"/>
  <c r="K1388" i="3" s="1"/>
  <c r="E1389" i="3"/>
  <c r="K1389" i="3" s="1"/>
  <c r="E1390" i="3"/>
  <c r="K1390" i="3" s="1"/>
  <c r="E1391" i="3"/>
  <c r="K1391" i="3" s="1"/>
  <c r="E1392" i="3"/>
  <c r="K1392" i="3" s="1"/>
  <c r="E1393" i="3"/>
  <c r="K1393" i="3" s="1"/>
  <c r="E1394" i="3"/>
  <c r="K1394" i="3" s="1"/>
  <c r="E1395" i="3"/>
  <c r="K1395" i="3" s="1"/>
  <c r="E1396" i="3"/>
  <c r="K1396" i="3" s="1"/>
  <c r="E1397" i="3"/>
  <c r="K1397" i="3" s="1"/>
  <c r="E1398" i="3"/>
  <c r="E1399" i="3"/>
  <c r="K1399" i="3" s="1"/>
  <c r="E1400" i="3"/>
  <c r="E1401" i="3"/>
  <c r="E1402" i="3"/>
  <c r="K1402" i="3" s="1"/>
  <c r="E1403" i="3"/>
  <c r="K1403" i="3" s="1"/>
  <c r="E1404" i="3"/>
  <c r="K1404" i="3" s="1"/>
  <c r="E1405" i="3"/>
  <c r="K1405" i="3" s="1"/>
  <c r="E1406" i="3"/>
  <c r="K1406" i="3" s="1"/>
  <c r="E1407" i="3"/>
  <c r="K1407" i="3" s="1"/>
  <c r="E1408" i="3"/>
  <c r="K1408" i="3" s="1"/>
  <c r="E1409" i="3"/>
  <c r="K1409" i="3" s="1"/>
  <c r="E1410" i="3"/>
  <c r="K1410" i="3" s="1"/>
  <c r="E1411" i="3"/>
  <c r="K1411" i="3" s="1"/>
  <c r="E1412" i="3"/>
  <c r="K1412" i="3" s="1"/>
  <c r="E1413" i="3"/>
  <c r="K1413" i="3" s="1"/>
  <c r="E1414" i="3"/>
  <c r="K1414" i="3" s="1"/>
  <c r="E1415" i="3"/>
  <c r="K1415" i="3" s="1"/>
  <c r="E1416" i="3"/>
  <c r="K1416" i="3" s="1"/>
  <c r="E1417" i="3"/>
  <c r="K1417" i="3" s="1"/>
  <c r="E1418" i="3"/>
  <c r="K1418" i="3" s="1"/>
  <c r="E1419" i="3"/>
  <c r="K1419" i="3" s="1"/>
  <c r="E1420" i="3"/>
  <c r="K1420" i="3" s="1"/>
  <c r="E1421" i="3"/>
  <c r="E1422" i="3"/>
  <c r="E1423" i="3"/>
  <c r="E1424" i="3"/>
  <c r="E1425" i="3"/>
  <c r="K1425" i="3" s="1"/>
  <c r="E1426" i="3"/>
  <c r="E1427" i="3"/>
  <c r="E1428" i="3"/>
  <c r="K1428" i="3" s="1"/>
  <c r="E1429" i="3"/>
  <c r="K1429" i="3" s="1"/>
  <c r="E1430" i="3"/>
  <c r="K1430" i="3" s="1"/>
  <c r="E1431" i="3"/>
  <c r="K1431" i="3" s="1"/>
  <c r="E1432" i="3"/>
  <c r="K1432" i="3" s="1"/>
  <c r="E1433" i="3"/>
  <c r="K1433" i="3" s="1"/>
  <c r="E1434" i="3"/>
  <c r="K1434" i="3" s="1"/>
  <c r="E1435" i="3"/>
  <c r="K1435" i="3" s="1"/>
  <c r="E1436" i="3"/>
  <c r="K1436" i="3" s="1"/>
  <c r="E1437" i="3"/>
  <c r="K1437" i="3" s="1"/>
  <c r="E1438" i="3"/>
  <c r="K1438" i="3" s="1"/>
  <c r="E1439" i="3"/>
  <c r="E1440" i="3"/>
  <c r="E1441" i="3"/>
  <c r="K1441" i="3" s="1"/>
  <c r="E1442" i="3"/>
  <c r="K1442" i="3" s="1"/>
  <c r="E1443" i="3"/>
  <c r="K1443" i="3" s="1"/>
  <c r="E1444" i="3"/>
  <c r="K1444" i="3" s="1"/>
  <c r="E1445" i="3"/>
  <c r="K1445" i="3" s="1"/>
  <c r="E1446" i="3"/>
  <c r="K1446" i="3" s="1"/>
  <c r="E1447" i="3"/>
  <c r="E1448" i="3"/>
  <c r="K1448" i="3" s="1"/>
  <c r="E1449" i="3"/>
  <c r="K1449" i="3" s="1"/>
  <c r="E1450" i="3"/>
  <c r="K1450" i="3" s="1"/>
  <c r="E1451" i="3"/>
  <c r="K1451" i="3" s="1"/>
  <c r="E1452" i="3"/>
  <c r="K1452" i="3" s="1"/>
  <c r="E1453" i="3"/>
  <c r="K1453" i="3" s="1"/>
  <c r="E1454" i="3"/>
  <c r="K1454" i="3" s="1"/>
  <c r="E1455" i="3"/>
  <c r="K1455" i="3" s="1"/>
  <c r="E1456" i="3"/>
  <c r="K1456" i="3" s="1"/>
  <c r="E1457" i="3"/>
  <c r="K1457" i="3" s="1"/>
  <c r="E1458" i="3"/>
  <c r="K1458" i="3" s="1"/>
  <c r="E1459" i="3"/>
  <c r="K1459" i="3" s="1"/>
  <c r="E1460" i="3"/>
  <c r="K1460" i="3" s="1"/>
  <c r="E1461" i="3"/>
  <c r="K1461" i="3" s="1"/>
  <c r="E1462" i="3"/>
  <c r="K1462" i="3" s="1"/>
  <c r="E1463" i="3"/>
  <c r="K1463" i="3" s="1"/>
  <c r="E1464" i="3"/>
  <c r="E1465" i="3"/>
  <c r="K1465" i="3" s="1"/>
  <c r="E1466" i="3"/>
  <c r="K1466" i="3" s="1"/>
  <c r="E1467" i="3"/>
  <c r="K1467" i="3" s="1"/>
  <c r="E1468" i="3"/>
  <c r="K1468" i="3" s="1"/>
  <c r="E1469" i="3"/>
  <c r="K1469" i="3" s="1"/>
  <c r="E1470" i="3"/>
  <c r="K1470" i="3" s="1"/>
  <c r="E1471" i="3"/>
  <c r="K1471" i="3" s="1"/>
  <c r="E1472" i="3"/>
  <c r="K1472" i="3" s="1"/>
  <c r="E1473" i="3"/>
  <c r="K1473" i="3" s="1"/>
  <c r="E1474" i="3"/>
  <c r="K1474" i="3" s="1"/>
  <c r="E1475" i="3"/>
  <c r="K1475" i="3" s="1"/>
  <c r="E1476" i="3"/>
  <c r="K1476" i="3" s="1"/>
  <c r="E1477" i="3"/>
  <c r="K1477" i="3" s="1"/>
  <c r="E1478" i="3"/>
  <c r="K1478" i="3" s="1"/>
  <c r="E1479" i="3"/>
  <c r="K1479" i="3" s="1"/>
  <c r="E1480" i="3"/>
  <c r="K1480" i="3" s="1"/>
  <c r="E1481" i="3"/>
  <c r="K1481" i="3" s="1"/>
  <c r="E1482" i="3"/>
  <c r="K1482" i="3" s="1"/>
  <c r="E1483" i="3"/>
  <c r="K1483" i="3" s="1"/>
  <c r="E1484" i="3"/>
  <c r="K1484" i="3" s="1"/>
  <c r="E1485" i="3"/>
  <c r="E1486" i="3"/>
  <c r="K1486" i="3" s="1"/>
  <c r="E1487" i="3"/>
  <c r="K1487" i="3" s="1"/>
  <c r="E1488" i="3"/>
  <c r="E1489" i="3"/>
  <c r="K1489" i="3" s="1"/>
  <c r="E1490" i="3"/>
  <c r="E1491" i="3"/>
  <c r="K1491" i="3" s="1"/>
  <c r="E1492" i="3"/>
  <c r="K1492" i="3" s="1"/>
  <c r="E1493" i="3"/>
  <c r="K1493" i="3" s="1"/>
  <c r="E1494" i="3"/>
  <c r="K1494" i="3" s="1"/>
  <c r="E1495" i="3"/>
  <c r="E1496" i="3"/>
  <c r="K1496" i="3" s="1"/>
  <c r="E1497" i="3"/>
  <c r="K1497" i="3" s="1"/>
  <c r="E1498" i="3"/>
  <c r="K1498" i="3" s="1"/>
  <c r="E1499" i="3"/>
  <c r="K1499" i="3" s="1"/>
  <c r="E1500" i="3"/>
  <c r="K1500" i="3" s="1"/>
  <c r="E1501" i="3"/>
  <c r="K1501" i="3" s="1"/>
  <c r="E1502" i="3"/>
  <c r="K1502" i="3" s="1"/>
  <c r="E1503" i="3"/>
  <c r="E1504" i="3"/>
  <c r="E1505" i="3"/>
  <c r="K1505" i="3" s="1"/>
  <c r="E1506" i="3"/>
  <c r="K1506" i="3" s="1"/>
  <c r="E1507" i="3"/>
  <c r="K1507" i="3" s="1"/>
  <c r="E1508" i="3"/>
  <c r="K1508" i="3" s="1"/>
  <c r="E1509" i="3"/>
  <c r="K1509" i="3" s="1"/>
  <c r="E1510" i="3"/>
  <c r="K1510" i="3" s="1"/>
  <c r="E1511" i="3"/>
  <c r="E1512" i="3"/>
  <c r="K1512" i="3" s="1"/>
  <c r="E1513" i="3"/>
  <c r="K1513" i="3" s="1"/>
  <c r="E1514" i="3"/>
  <c r="K1514" i="3" s="1"/>
  <c r="E1515" i="3"/>
  <c r="K1515" i="3" s="1"/>
  <c r="E1516" i="3"/>
  <c r="E1517" i="3"/>
  <c r="K1517" i="3" s="1"/>
  <c r="E1518" i="3"/>
  <c r="K1518" i="3" s="1"/>
  <c r="E1519" i="3"/>
  <c r="K1519" i="3" s="1"/>
  <c r="E1520" i="3"/>
  <c r="K1520" i="3" s="1"/>
  <c r="E1521" i="3"/>
  <c r="K1521" i="3" s="1"/>
  <c r="E1522" i="3"/>
  <c r="K1522" i="3" s="1"/>
  <c r="E1523" i="3"/>
  <c r="K1523" i="3" s="1"/>
  <c r="E1524" i="3"/>
  <c r="K1524" i="3" s="1"/>
  <c r="E1525" i="3"/>
  <c r="K1525" i="3" s="1"/>
  <c r="E1526" i="3"/>
  <c r="E1527" i="3"/>
  <c r="K1527" i="3" s="1"/>
  <c r="E1528" i="3"/>
  <c r="E1529" i="3"/>
  <c r="K1529" i="3" s="1"/>
  <c r="E1530" i="3"/>
  <c r="K1530" i="3" s="1"/>
  <c r="E1531" i="3"/>
  <c r="K1531" i="3" s="1"/>
  <c r="E1532" i="3"/>
  <c r="K1532" i="3" s="1"/>
  <c r="E1533" i="3"/>
  <c r="K1533" i="3" s="1"/>
  <c r="E1534" i="3"/>
  <c r="K1534" i="3" s="1"/>
  <c r="E1535" i="3"/>
  <c r="K1535" i="3" s="1"/>
  <c r="E1536" i="3"/>
  <c r="K1536" i="3" s="1"/>
  <c r="E1537" i="3"/>
  <c r="K1537" i="3" s="1"/>
  <c r="E1538" i="3"/>
  <c r="K1538" i="3" s="1"/>
  <c r="E1539" i="3"/>
  <c r="K1539" i="3" s="1"/>
  <c r="E1540" i="3"/>
  <c r="K1540" i="3" s="1"/>
  <c r="E1541" i="3"/>
  <c r="K1541" i="3" s="1"/>
  <c r="E1542" i="3"/>
  <c r="K1542" i="3" s="1"/>
  <c r="E1543" i="3"/>
  <c r="K1543" i="3" s="1"/>
  <c r="E1544" i="3"/>
  <c r="K1544" i="3" s="1"/>
  <c r="E1545" i="3"/>
  <c r="K1545" i="3" s="1"/>
  <c r="E1546" i="3"/>
  <c r="K1546" i="3" s="1"/>
  <c r="E1547" i="3"/>
  <c r="K1547" i="3" s="1"/>
  <c r="E1548" i="3"/>
  <c r="E1549" i="3"/>
  <c r="K1549" i="3" s="1"/>
  <c r="E1550" i="3"/>
  <c r="E1551" i="3"/>
  <c r="K1551" i="3" s="1"/>
  <c r="E1552" i="3"/>
  <c r="K1552" i="3" s="1"/>
  <c r="E1553" i="3"/>
  <c r="K1553" i="3" s="1"/>
  <c r="E1554" i="3"/>
  <c r="K1554" i="3" s="1"/>
  <c r="E1555" i="3"/>
  <c r="E1556" i="3"/>
  <c r="K1556" i="3" s="1"/>
  <c r="E1557" i="3"/>
  <c r="E1558" i="3"/>
  <c r="K1558" i="3" s="1"/>
  <c r="E1559" i="3"/>
  <c r="K1559" i="3" s="1"/>
  <c r="E1560" i="3"/>
  <c r="E1561" i="3"/>
  <c r="K1561" i="3" s="1"/>
  <c r="E1562" i="3"/>
  <c r="K1562" i="3" s="1"/>
  <c r="E1563" i="3"/>
  <c r="K1563" i="3" s="1"/>
  <c r="E1564" i="3"/>
  <c r="K1564" i="3" s="1"/>
  <c r="E1565" i="3"/>
  <c r="K1565" i="3" s="1"/>
  <c r="E1566" i="3"/>
  <c r="K1566" i="3" s="1"/>
  <c r="E1567" i="3"/>
  <c r="K1567" i="3" s="1"/>
  <c r="E1568" i="3"/>
  <c r="K1568" i="3" s="1"/>
  <c r="E1569" i="3"/>
  <c r="K1569" i="3" s="1"/>
  <c r="E1570" i="3"/>
  <c r="K1570" i="3" s="1"/>
  <c r="E1571" i="3"/>
  <c r="K1571" i="3" s="1"/>
  <c r="E1572" i="3"/>
  <c r="K1572" i="3" s="1"/>
  <c r="E1573" i="3"/>
  <c r="K1573" i="3" s="1"/>
  <c r="E1574" i="3"/>
  <c r="K1574" i="3" s="1"/>
  <c r="E1575" i="3"/>
  <c r="K1575" i="3" s="1"/>
  <c r="E1576" i="3"/>
  <c r="E1577" i="3"/>
  <c r="K1577" i="3" s="1"/>
  <c r="E1578" i="3"/>
  <c r="K1578" i="3" s="1"/>
  <c r="E1579" i="3"/>
  <c r="K1579" i="3" s="1"/>
  <c r="E1580" i="3"/>
  <c r="K1580" i="3" s="1"/>
  <c r="E1581" i="3"/>
  <c r="K1581" i="3" s="1"/>
  <c r="E1582" i="3"/>
  <c r="K1582" i="3" s="1"/>
  <c r="E1583" i="3"/>
  <c r="K1583" i="3" s="1"/>
  <c r="E1584" i="3"/>
  <c r="K1584" i="3" s="1"/>
  <c r="E1585" i="3"/>
  <c r="K1585" i="3" s="1"/>
  <c r="E1586" i="3"/>
  <c r="K1586" i="3" s="1"/>
  <c r="E1587" i="3"/>
  <c r="K1587" i="3" s="1"/>
  <c r="E1588" i="3"/>
  <c r="K1588" i="3" s="1"/>
  <c r="E1589" i="3"/>
  <c r="K1589" i="3" s="1"/>
  <c r="E1590" i="3"/>
  <c r="K1590" i="3" s="1"/>
  <c r="E1591" i="3"/>
  <c r="E1592" i="3"/>
  <c r="K1592" i="3" s="1"/>
  <c r="E1593" i="3"/>
  <c r="E1594" i="3"/>
  <c r="K1594" i="3" s="1"/>
  <c r="E1595" i="3"/>
  <c r="K1595" i="3" s="1"/>
  <c r="E1596" i="3"/>
  <c r="K1596" i="3" s="1"/>
  <c r="E1597" i="3"/>
  <c r="K1597" i="3" s="1"/>
  <c r="E1598" i="3"/>
  <c r="K1598" i="3" s="1"/>
  <c r="E1599" i="3"/>
  <c r="K1599" i="3" s="1"/>
  <c r="E1600" i="3"/>
  <c r="K1600" i="3" s="1"/>
  <c r="E1601" i="3"/>
  <c r="K1601" i="3" s="1"/>
  <c r="E1602" i="3"/>
  <c r="K1602" i="3" s="1"/>
  <c r="E1603" i="3"/>
  <c r="K1603" i="3" s="1"/>
  <c r="E1604" i="3"/>
  <c r="K1604" i="3" s="1"/>
  <c r="E1605" i="3"/>
  <c r="K1605" i="3" s="1"/>
  <c r="E1606" i="3"/>
  <c r="K1606" i="3" s="1"/>
  <c r="E1607" i="3"/>
  <c r="K1607" i="3" s="1"/>
  <c r="E1608" i="3"/>
  <c r="K1608" i="3" s="1"/>
  <c r="E1609" i="3"/>
  <c r="K1609" i="3" s="1"/>
  <c r="E1610" i="3"/>
  <c r="K1610" i="3" s="1"/>
  <c r="E1611" i="3"/>
  <c r="K1611" i="3" s="1"/>
  <c r="E1612" i="3"/>
  <c r="K1612" i="3" s="1"/>
  <c r="E1613" i="3"/>
  <c r="K1613" i="3" s="1"/>
  <c r="E1614" i="3"/>
  <c r="E1615" i="3"/>
  <c r="K1615" i="3" s="1"/>
  <c r="E1616" i="3"/>
  <c r="E1617" i="3"/>
  <c r="E1618" i="3"/>
  <c r="E1619" i="3"/>
  <c r="E1620" i="3"/>
  <c r="K1620" i="3" s="1"/>
  <c r="E1621" i="3"/>
  <c r="K1621" i="3" s="1"/>
  <c r="E1622" i="3"/>
  <c r="K1622" i="3" s="1"/>
  <c r="E1623" i="3"/>
  <c r="K1623" i="3" s="1"/>
  <c r="E1624" i="3"/>
  <c r="K1624" i="3" s="1"/>
  <c r="E1625" i="3"/>
  <c r="K1625" i="3" s="1"/>
  <c r="E1626" i="3"/>
  <c r="K1626" i="3" s="1"/>
  <c r="E1627" i="3"/>
  <c r="K1627" i="3" s="1"/>
  <c r="E1628" i="3"/>
  <c r="K1628" i="3" s="1"/>
  <c r="E1629" i="3"/>
  <c r="K1629" i="3" s="1"/>
  <c r="E1630" i="3"/>
  <c r="K1630" i="3" s="1"/>
  <c r="E1631" i="3"/>
  <c r="E1632" i="3"/>
  <c r="K1632" i="3" s="1"/>
  <c r="E1633" i="3"/>
  <c r="E1634" i="3"/>
  <c r="K1634" i="3" s="1"/>
  <c r="E1635" i="3"/>
  <c r="K1635" i="3" s="1"/>
  <c r="E1636" i="3"/>
  <c r="K1636" i="3" s="1"/>
  <c r="E1637" i="3"/>
  <c r="K1637" i="3" s="1"/>
  <c r="E1638" i="3"/>
  <c r="K1638" i="3" s="1"/>
  <c r="E1639" i="3"/>
  <c r="E1640" i="3"/>
  <c r="K1640" i="3" s="1"/>
  <c r="E1641" i="3"/>
  <c r="E1642" i="3"/>
  <c r="K1642" i="3" s="1"/>
  <c r="E1643" i="3"/>
  <c r="E1644" i="3"/>
  <c r="K1644" i="3" s="1"/>
  <c r="E1645" i="3"/>
  <c r="K1645" i="3" s="1"/>
  <c r="E1646" i="3"/>
  <c r="E1647" i="3"/>
  <c r="K1647" i="3" s="1"/>
  <c r="E1648" i="3"/>
  <c r="K1648" i="3" s="1"/>
  <c r="E1649" i="3"/>
  <c r="K1649" i="3" s="1"/>
  <c r="E1650" i="3"/>
  <c r="K1650" i="3" s="1"/>
  <c r="E1651" i="3"/>
  <c r="K1651" i="3" s="1"/>
  <c r="E1652" i="3"/>
  <c r="K1652" i="3" s="1"/>
  <c r="E1653" i="3"/>
  <c r="K1653" i="3" s="1"/>
  <c r="E1654" i="3"/>
  <c r="K1654" i="3" s="1"/>
  <c r="E1655" i="3"/>
  <c r="K1655" i="3" s="1"/>
  <c r="E1656" i="3"/>
  <c r="E1657" i="3"/>
  <c r="K1657" i="3" s="1"/>
  <c r="E1658" i="3"/>
  <c r="K1658" i="3" s="1"/>
  <c r="E1659" i="3"/>
  <c r="K1659" i="3" s="1"/>
  <c r="E1660" i="3"/>
  <c r="K1660" i="3" s="1"/>
  <c r="E1661" i="3"/>
  <c r="K1661" i="3" s="1"/>
  <c r="E1662" i="3"/>
  <c r="K1662" i="3" s="1"/>
  <c r="E1663" i="3"/>
  <c r="K1663" i="3" s="1"/>
  <c r="E1664" i="3"/>
  <c r="K1664" i="3" s="1"/>
  <c r="E1665" i="3"/>
  <c r="K1665" i="3" s="1"/>
  <c r="E1666" i="3"/>
  <c r="K1666" i="3" s="1"/>
  <c r="E1667" i="3"/>
  <c r="K1667" i="3" s="1"/>
  <c r="E1668" i="3"/>
  <c r="K1668" i="3" s="1"/>
  <c r="E1669" i="3"/>
  <c r="K1669" i="3" s="1"/>
  <c r="E1670" i="3"/>
  <c r="K1670" i="3" s="1"/>
  <c r="E1671" i="3"/>
  <c r="K1671" i="3" s="1"/>
  <c r="E1672" i="3"/>
  <c r="K1672" i="3" s="1"/>
  <c r="E1673" i="3"/>
  <c r="K1673" i="3" s="1"/>
  <c r="E1674" i="3"/>
  <c r="K1674" i="3" s="1"/>
  <c r="E1675" i="3"/>
  <c r="K1675" i="3" s="1"/>
  <c r="E1676" i="3"/>
  <c r="K1676" i="3" s="1"/>
  <c r="E1677" i="3"/>
  <c r="E1678" i="3"/>
  <c r="E1679" i="3"/>
  <c r="K1679" i="3" s="1"/>
  <c r="E1680" i="3"/>
  <c r="E1681" i="3"/>
  <c r="K1681" i="3" s="1"/>
  <c r="E1682" i="3"/>
  <c r="E1683" i="3"/>
  <c r="E1684" i="3"/>
  <c r="K1684" i="3" s="1"/>
  <c r="E1685" i="3"/>
  <c r="K1685" i="3" s="1"/>
  <c r="E1686" i="3"/>
  <c r="K1686" i="3" s="1"/>
  <c r="E1687" i="3"/>
  <c r="K1687" i="3" s="1"/>
  <c r="E1688" i="3"/>
  <c r="E1689" i="3"/>
  <c r="K1689" i="3" s="1"/>
  <c r="E1690" i="3"/>
  <c r="K1690" i="3" s="1"/>
  <c r="E1691" i="3"/>
  <c r="K1691" i="3" s="1"/>
  <c r="E1692" i="3"/>
  <c r="E1693" i="3"/>
  <c r="K1693" i="3" s="1"/>
  <c r="E1694" i="3"/>
  <c r="K1694" i="3" s="1"/>
  <c r="E1695" i="3"/>
  <c r="E1696" i="3"/>
  <c r="E1697" i="3"/>
  <c r="E1698" i="3"/>
  <c r="K1698" i="3" s="1"/>
  <c r="E1699" i="3"/>
  <c r="K1699" i="3" s="1"/>
  <c r="E1700" i="3"/>
  <c r="K1700" i="3" s="1"/>
  <c r="E1701" i="3"/>
  <c r="K1701" i="3" s="1"/>
  <c r="E1702" i="3"/>
  <c r="K1702" i="3" s="1"/>
  <c r="E1703" i="3"/>
  <c r="E1704" i="3"/>
  <c r="K1704" i="3" s="1"/>
  <c r="E1705" i="3"/>
  <c r="K1705" i="3" s="1"/>
  <c r="E1706" i="3"/>
  <c r="K1706" i="3" s="1"/>
  <c r="E1707" i="3"/>
  <c r="K1707" i="3" s="1"/>
  <c r="E1708" i="3"/>
  <c r="K1708" i="3" s="1"/>
  <c r="E1709" i="3"/>
  <c r="K1709" i="3" s="1"/>
  <c r="E1710" i="3"/>
  <c r="K1710" i="3" s="1"/>
  <c r="E1711" i="3"/>
  <c r="K1711" i="3" s="1"/>
  <c r="E1712" i="3"/>
  <c r="K1712" i="3" s="1"/>
  <c r="E1713" i="3"/>
  <c r="K1713" i="3" s="1"/>
  <c r="E1714" i="3"/>
  <c r="K1714" i="3" s="1"/>
  <c r="E1715" i="3"/>
  <c r="K1715" i="3" s="1"/>
  <c r="E1716" i="3"/>
  <c r="K1716" i="3" s="1"/>
  <c r="E1717" i="3"/>
  <c r="K1717" i="3" s="1"/>
  <c r="E1718" i="3"/>
  <c r="E1719" i="3"/>
  <c r="K1719" i="3" s="1"/>
  <c r="E1720" i="3"/>
  <c r="K1720" i="3" s="1"/>
  <c r="E1721" i="3"/>
  <c r="E1722" i="3"/>
  <c r="K1722" i="3" s="1"/>
  <c r="E1723" i="3"/>
  <c r="K1723" i="3" s="1"/>
  <c r="E1724" i="3"/>
  <c r="K1724" i="3" s="1"/>
  <c r="E1725" i="3"/>
  <c r="K1725" i="3" s="1"/>
  <c r="E1726" i="3"/>
  <c r="K1726" i="3" s="1"/>
  <c r="E1727" i="3"/>
  <c r="K1727" i="3" s="1"/>
  <c r="E1728" i="3"/>
  <c r="K1728" i="3" s="1"/>
  <c r="E1729" i="3"/>
  <c r="K1729" i="3" s="1"/>
  <c r="E1730" i="3"/>
  <c r="K1730" i="3" s="1"/>
  <c r="E1731" i="3"/>
  <c r="K1731" i="3" s="1"/>
  <c r="E1732" i="3"/>
  <c r="K1732" i="3" s="1"/>
  <c r="E1733" i="3"/>
  <c r="K1733" i="3" s="1"/>
  <c r="E1734" i="3"/>
  <c r="K1734" i="3" s="1"/>
  <c r="E1735" i="3"/>
  <c r="K1735" i="3" s="1"/>
  <c r="E1736" i="3"/>
  <c r="K1736" i="3" s="1"/>
  <c r="E1737" i="3"/>
  <c r="K1737" i="3" s="1"/>
  <c r="E1738" i="3"/>
  <c r="K1738" i="3" s="1"/>
  <c r="E1739" i="3"/>
  <c r="K1739" i="3" s="1"/>
  <c r="E1740" i="3"/>
  <c r="K1740" i="3" s="1"/>
  <c r="E1741" i="3"/>
  <c r="E1742" i="3"/>
  <c r="E1743" i="3"/>
  <c r="E1744" i="3"/>
  <c r="K1744" i="3" s="1"/>
  <c r="E1745" i="3"/>
  <c r="K1745" i="3" s="1"/>
  <c r="E1746" i="3"/>
  <c r="E1747" i="3"/>
  <c r="E1748" i="3"/>
  <c r="E1749" i="3"/>
  <c r="K1749" i="3" s="1"/>
  <c r="E1750" i="3"/>
  <c r="E1751" i="3"/>
  <c r="K1751" i="3" s="1"/>
  <c r="E1752" i="3"/>
  <c r="K1752" i="3" s="1"/>
  <c r="E1753" i="3"/>
  <c r="K1753" i="3" s="1"/>
  <c r="E1754" i="3"/>
  <c r="E1755" i="3"/>
  <c r="K1755" i="3" s="1"/>
  <c r="E1756" i="3"/>
  <c r="K1756" i="3" s="1"/>
  <c r="E1757" i="3"/>
  <c r="E1758" i="3"/>
  <c r="E1759" i="3"/>
  <c r="E1760" i="3"/>
  <c r="E1761" i="3"/>
  <c r="E1762" i="3"/>
  <c r="K1762" i="3" s="1"/>
  <c r="E1763" i="3"/>
  <c r="K1763" i="3" s="1"/>
  <c r="E1764" i="3"/>
  <c r="K1764" i="3" s="1"/>
  <c r="E1765" i="3"/>
  <c r="K1765" i="3" s="1"/>
  <c r="E1766" i="3"/>
  <c r="K1766" i="3" s="1"/>
  <c r="E1767" i="3"/>
  <c r="K1767" i="3" s="1"/>
  <c r="E1768" i="3"/>
  <c r="E1769" i="3"/>
  <c r="K1769" i="3" s="1"/>
  <c r="E1770" i="3"/>
  <c r="K1770" i="3" s="1"/>
  <c r="E1771" i="3"/>
  <c r="E1772" i="3"/>
  <c r="K1772" i="3" s="1"/>
  <c r="E1773" i="3"/>
  <c r="K1773" i="3" s="1"/>
  <c r="E1774" i="3"/>
  <c r="K1774" i="3" s="1"/>
  <c r="E1775" i="3"/>
  <c r="K1775" i="3" s="1"/>
  <c r="E1776" i="3"/>
  <c r="K1776" i="3" s="1"/>
  <c r="E1777" i="3"/>
  <c r="K1777" i="3" s="1"/>
  <c r="E1778" i="3"/>
  <c r="K1778" i="3" s="1"/>
  <c r="E1779" i="3"/>
  <c r="K1779" i="3" s="1"/>
  <c r="E1780" i="3"/>
  <c r="K1780" i="3" s="1"/>
  <c r="E1781" i="3"/>
  <c r="E1782" i="3"/>
  <c r="K1782" i="3" s="1"/>
  <c r="E1783" i="3"/>
  <c r="K1783" i="3" s="1"/>
  <c r="E1784" i="3"/>
  <c r="E1785" i="3"/>
  <c r="K1785" i="3" s="1"/>
  <c r="E1786" i="3"/>
  <c r="K1786" i="3" s="1"/>
  <c r="E1787" i="3"/>
  <c r="K1787" i="3" s="1"/>
  <c r="E1788" i="3"/>
  <c r="K1788" i="3" s="1"/>
  <c r="E1789" i="3"/>
  <c r="K1789" i="3" s="1"/>
  <c r="E1790" i="3"/>
  <c r="K1790" i="3" s="1"/>
  <c r="E1791" i="3"/>
  <c r="K1791" i="3" s="1"/>
  <c r="E1792" i="3"/>
  <c r="K1792" i="3" s="1"/>
  <c r="E1793" i="3"/>
  <c r="K1793" i="3" s="1"/>
  <c r="E1794" i="3"/>
  <c r="K1794" i="3" s="1"/>
  <c r="E1795" i="3"/>
  <c r="K1795" i="3" s="1"/>
  <c r="E1796" i="3"/>
  <c r="K1796" i="3" s="1"/>
  <c r="E1797" i="3"/>
  <c r="K1797" i="3" s="1"/>
  <c r="E1798" i="3"/>
  <c r="K1798" i="3" s="1"/>
  <c r="E1799" i="3"/>
  <c r="K1799" i="3" s="1"/>
  <c r="E1800" i="3"/>
  <c r="K1800" i="3" s="1"/>
  <c r="E1801" i="3"/>
  <c r="K1801" i="3" s="1"/>
  <c r="E1802" i="3"/>
  <c r="K1802" i="3" s="1"/>
  <c r="E1803" i="3"/>
  <c r="K1803" i="3" s="1"/>
  <c r="E1804" i="3"/>
  <c r="K1804" i="3" s="1"/>
  <c r="E1805" i="3"/>
  <c r="E1806" i="3"/>
  <c r="E1807" i="3"/>
  <c r="K1807" i="3" s="1"/>
  <c r="E1808" i="3"/>
  <c r="E1809" i="3"/>
  <c r="K1809" i="3" s="1"/>
  <c r="E1810" i="3"/>
  <c r="E1811" i="3"/>
  <c r="K1811" i="3" s="1"/>
  <c r="E1812" i="3"/>
  <c r="K1812" i="3" s="1"/>
  <c r="E1813" i="3"/>
  <c r="E1814" i="3"/>
  <c r="K1814" i="3" s="1"/>
  <c r="E1815" i="3"/>
  <c r="K1815" i="3" s="1"/>
  <c r="E1816" i="3"/>
  <c r="K1816" i="3" s="1"/>
  <c r="E1817" i="3"/>
  <c r="K1817" i="3" s="1"/>
  <c r="E1818" i="3"/>
  <c r="K1818" i="3" s="1"/>
  <c r="E1819" i="3"/>
  <c r="K1819" i="3" s="1"/>
  <c r="E1820" i="3"/>
  <c r="K1820" i="3" s="1"/>
  <c r="E1821" i="3"/>
  <c r="K1821" i="3" s="1"/>
  <c r="E1822" i="3"/>
  <c r="K1822" i="3" s="1"/>
  <c r="E1823" i="3"/>
  <c r="E1824" i="3"/>
  <c r="E1825" i="3"/>
  <c r="K1825" i="3" s="1"/>
  <c r="E1826" i="3"/>
  <c r="K1826" i="3" s="1"/>
  <c r="E1827" i="3"/>
  <c r="K1827" i="3" s="1"/>
  <c r="E1828" i="3"/>
  <c r="K1828" i="3" s="1"/>
  <c r="E1829" i="3"/>
  <c r="K1829" i="3" s="1"/>
  <c r="E1830" i="3"/>
  <c r="K1830" i="3" s="1"/>
  <c r="E1831" i="3"/>
  <c r="E1832" i="3"/>
  <c r="E1833" i="3"/>
  <c r="K1833" i="3" s="1"/>
  <c r="E1834" i="3"/>
  <c r="E1835" i="3"/>
  <c r="E1836" i="3"/>
  <c r="E1837" i="3"/>
  <c r="E1838" i="3"/>
  <c r="E1839" i="3"/>
  <c r="K1839" i="3" s="1"/>
  <c r="E1840" i="3"/>
  <c r="K1840" i="3" s="1"/>
  <c r="E1841" i="3"/>
  <c r="K1841" i="3" s="1"/>
  <c r="E1842" i="3"/>
  <c r="K1842" i="3" s="1"/>
  <c r="E1843" i="3"/>
  <c r="K1843" i="3" s="1"/>
  <c r="E1844" i="3"/>
  <c r="K1844" i="3" s="1"/>
  <c r="E1845" i="3"/>
  <c r="K1845" i="3" s="1"/>
  <c r="E1846" i="3"/>
  <c r="E1847" i="3"/>
  <c r="K1847" i="3" s="1"/>
  <c r="E1848" i="3"/>
  <c r="K1848" i="3" s="1"/>
  <c r="E1849" i="3"/>
  <c r="E1850" i="3"/>
  <c r="K1850" i="3" s="1"/>
  <c r="E1851" i="3"/>
  <c r="K1851" i="3" s="1"/>
  <c r="E1852" i="3"/>
  <c r="K1852" i="3" s="1"/>
  <c r="E1853" i="3"/>
  <c r="K1853" i="3" s="1"/>
  <c r="E1854" i="3"/>
  <c r="K1854" i="3" s="1"/>
  <c r="E1855" i="3"/>
  <c r="K1855" i="3" s="1"/>
  <c r="E1856" i="3"/>
  <c r="K1856" i="3" s="1"/>
  <c r="E1857" i="3"/>
  <c r="K1857" i="3" s="1"/>
  <c r="E1858" i="3"/>
  <c r="K1858" i="3" s="1"/>
  <c r="E1859" i="3"/>
  <c r="K1859" i="3" s="1"/>
  <c r="E1860" i="3"/>
  <c r="E1861" i="3"/>
  <c r="K1861" i="3" s="1"/>
  <c r="E1862" i="3"/>
  <c r="K1862" i="3" s="1"/>
  <c r="E1863" i="3"/>
  <c r="K1863" i="3" s="1"/>
  <c r="E1864" i="3"/>
  <c r="E1865" i="3"/>
  <c r="E1866" i="3"/>
  <c r="K1866" i="3" s="1"/>
  <c r="E1867" i="3"/>
  <c r="K1867" i="3" s="1"/>
  <c r="E1868" i="3"/>
  <c r="K1868" i="3" s="1"/>
  <c r="E1869" i="3"/>
  <c r="E1870" i="3"/>
  <c r="E1871" i="3"/>
  <c r="E1872" i="3"/>
  <c r="E1873" i="3"/>
  <c r="K1873" i="3" s="1"/>
  <c r="E1874" i="3"/>
  <c r="E1875" i="3"/>
  <c r="E1876" i="3"/>
  <c r="K1876" i="3" s="1"/>
  <c r="E1877" i="3"/>
  <c r="K1877" i="3" s="1"/>
  <c r="E1878" i="3"/>
  <c r="K1878" i="3" s="1"/>
  <c r="E1879" i="3"/>
  <c r="K1879" i="3" s="1"/>
  <c r="E1880" i="3"/>
  <c r="K1880" i="3" s="1"/>
  <c r="E1881" i="3"/>
  <c r="E1882" i="3"/>
  <c r="K1882" i="3" s="1"/>
  <c r="E1883" i="3"/>
  <c r="K1883" i="3" s="1"/>
  <c r="E1884" i="3"/>
  <c r="K1884" i="3" s="1"/>
  <c r="E1885" i="3"/>
  <c r="K1885" i="3" s="1"/>
  <c r="E1886" i="3"/>
  <c r="K1886" i="3" s="1"/>
  <c r="E1887" i="3"/>
  <c r="K1887" i="3" s="1"/>
  <c r="E1888" i="3"/>
  <c r="E1889" i="3"/>
  <c r="E1890" i="3"/>
  <c r="K1890" i="3" s="1"/>
  <c r="E1891" i="3"/>
  <c r="K1891" i="3" s="1"/>
  <c r="E1892" i="3"/>
  <c r="K1892" i="3" s="1"/>
  <c r="E1893" i="3"/>
  <c r="K1893" i="3" s="1"/>
  <c r="E1894" i="3"/>
  <c r="K1894" i="3" s="1"/>
  <c r="E1895" i="3"/>
  <c r="E1896" i="3"/>
  <c r="E1897" i="3"/>
  <c r="K1897" i="3" s="1"/>
  <c r="E1898" i="3"/>
  <c r="E1899" i="3"/>
  <c r="K1899" i="3" s="1"/>
  <c r="E1900" i="3"/>
  <c r="K1900" i="3" s="1"/>
  <c r="E1901" i="3"/>
  <c r="K1901" i="3" s="1"/>
  <c r="E1902" i="3"/>
  <c r="E1903" i="3"/>
  <c r="E1904" i="3"/>
  <c r="K1904" i="3" s="1"/>
  <c r="E1905" i="3"/>
  <c r="K1905" i="3" s="1"/>
  <c r="E1906" i="3"/>
  <c r="K1906" i="3" s="1"/>
  <c r="E1907" i="3"/>
  <c r="K1907" i="3" s="1"/>
  <c r="E1908" i="3"/>
  <c r="K1908" i="3" s="1"/>
  <c r="E1909" i="3"/>
  <c r="K1909" i="3" s="1"/>
  <c r="E1910" i="3"/>
  <c r="E1911" i="3"/>
  <c r="K1911" i="3" s="1"/>
  <c r="E1912" i="3"/>
  <c r="E1913" i="3"/>
  <c r="K1913" i="3" s="1"/>
  <c r="E1914" i="3"/>
  <c r="K1914" i="3" s="1"/>
  <c r="E1915" i="3"/>
  <c r="K1915" i="3" s="1"/>
  <c r="E1916" i="3"/>
  <c r="K1916" i="3" s="1"/>
  <c r="E1917" i="3"/>
  <c r="K1917" i="3" s="1"/>
  <c r="E1918" i="3"/>
  <c r="K1918" i="3" s="1"/>
  <c r="E1919" i="3"/>
  <c r="K1919" i="3" s="1"/>
  <c r="E1920" i="3"/>
  <c r="K1920" i="3" s="1"/>
  <c r="E1921" i="3"/>
  <c r="K1921" i="3" s="1"/>
  <c r="E1922" i="3"/>
  <c r="K1922" i="3" s="1"/>
  <c r="E1923" i="3"/>
  <c r="K1923" i="3" s="1"/>
  <c r="E1924" i="3"/>
  <c r="K1924" i="3" s="1"/>
  <c r="E1925" i="3"/>
  <c r="K1925" i="3" s="1"/>
  <c r="E1926" i="3"/>
  <c r="K1926" i="3" s="1"/>
  <c r="E1927" i="3"/>
  <c r="K1927" i="3" s="1"/>
  <c r="E1928" i="3"/>
  <c r="K1928" i="3" s="1"/>
  <c r="E1929" i="3"/>
  <c r="K1929" i="3" s="1"/>
  <c r="E1930" i="3"/>
  <c r="K1930" i="3" s="1"/>
  <c r="E1931" i="3"/>
  <c r="E1932" i="3"/>
  <c r="E1933" i="3"/>
  <c r="K1933" i="3" s="1"/>
  <c r="E1934" i="3"/>
  <c r="E1935" i="3"/>
  <c r="E1936" i="3"/>
  <c r="E1937" i="3"/>
  <c r="E1938" i="3"/>
  <c r="E1939" i="3"/>
  <c r="E1940" i="3"/>
  <c r="K1940" i="3" s="1"/>
  <c r="E1941" i="3"/>
  <c r="E1942" i="3"/>
  <c r="E1943" i="3"/>
  <c r="E1944" i="3"/>
  <c r="E1945" i="3"/>
  <c r="K1945" i="3" s="1"/>
  <c r="E1946" i="3"/>
  <c r="K1946" i="3" s="1"/>
  <c r="E1947" i="3"/>
  <c r="K1947" i="3" s="1"/>
  <c r="E1948" i="3"/>
  <c r="K1948" i="3" s="1"/>
  <c r="E1949" i="3"/>
  <c r="K1949" i="3" s="1"/>
  <c r="E1950" i="3"/>
  <c r="E1951" i="3"/>
  <c r="E1952" i="3"/>
  <c r="E1953" i="3"/>
  <c r="E1954" i="3"/>
  <c r="K1954" i="3" s="1"/>
  <c r="E1955" i="3"/>
  <c r="E1956" i="3"/>
  <c r="K1956" i="3" s="1"/>
  <c r="E1957" i="3"/>
  <c r="K1957" i="3" s="1"/>
  <c r="E1958" i="3"/>
  <c r="K1958" i="3" s="1"/>
  <c r="E1959" i="3"/>
  <c r="E1960" i="3"/>
  <c r="E1961" i="3"/>
  <c r="K1961" i="3" s="1"/>
  <c r="E1962" i="3"/>
  <c r="K1962" i="3" s="1"/>
  <c r="E1963" i="3"/>
  <c r="E1964" i="3"/>
  <c r="K1964" i="3" s="1"/>
  <c r="E1965" i="3"/>
  <c r="K1965" i="3" s="1"/>
  <c r="E1966" i="3"/>
  <c r="K1966" i="3" s="1"/>
  <c r="E1967" i="3"/>
  <c r="K1967" i="3" s="1"/>
  <c r="E1968" i="3"/>
  <c r="K1968" i="3" s="1"/>
  <c r="E1969" i="3"/>
  <c r="K1969" i="3" s="1"/>
  <c r="E1970" i="3"/>
  <c r="K1970" i="3" s="1"/>
  <c r="E1971" i="3"/>
  <c r="K1971" i="3" s="1"/>
  <c r="E1972" i="3"/>
  <c r="K1972" i="3" s="1"/>
  <c r="E1973" i="3"/>
  <c r="K1973" i="3" s="1"/>
  <c r="E1974" i="3"/>
  <c r="E1975" i="3"/>
  <c r="K1975" i="3" s="1"/>
  <c r="E1976" i="3"/>
  <c r="E1977" i="3"/>
  <c r="K1977" i="3" s="1"/>
  <c r="E1978" i="3"/>
  <c r="K1978" i="3" s="1"/>
  <c r="E1979" i="3"/>
  <c r="K1979" i="3" s="1"/>
  <c r="E1980" i="3"/>
  <c r="K1980" i="3" s="1"/>
  <c r="E1981" i="3"/>
  <c r="K1981" i="3" s="1"/>
  <c r="E1982" i="3"/>
  <c r="K1982" i="3" s="1"/>
  <c r="E1983" i="3"/>
  <c r="K1983" i="3" s="1"/>
  <c r="E1984" i="3"/>
  <c r="K1984" i="3" s="1"/>
  <c r="E1985" i="3"/>
  <c r="K1985" i="3" s="1"/>
  <c r="E1986" i="3"/>
  <c r="K1986" i="3" s="1"/>
  <c r="E1987" i="3"/>
  <c r="K1987" i="3" s="1"/>
  <c r="E1988" i="3"/>
  <c r="K1988" i="3" s="1"/>
  <c r="E1989" i="3"/>
  <c r="K1989" i="3" s="1"/>
  <c r="E1990" i="3"/>
  <c r="K1990" i="3" s="1"/>
  <c r="E1991" i="3"/>
  <c r="K1991" i="3" s="1"/>
  <c r="E1992" i="3"/>
  <c r="K1992" i="3" s="1"/>
  <c r="E1993" i="3"/>
  <c r="E1994" i="3"/>
  <c r="K1994" i="3" s="1"/>
  <c r="E1995" i="3"/>
  <c r="K1995" i="3" s="1"/>
  <c r="E1996" i="3"/>
  <c r="E1997" i="3"/>
  <c r="E1998" i="3"/>
  <c r="E1999" i="3"/>
  <c r="K1999" i="3" s="1"/>
  <c r="E2000" i="3"/>
  <c r="E2001" i="3"/>
  <c r="K2001" i="3" s="1"/>
  <c r="E2002" i="3"/>
  <c r="E2003" i="3"/>
  <c r="E2004" i="3"/>
  <c r="E2005" i="3"/>
  <c r="K2005" i="3" s="1"/>
  <c r="E2006" i="3"/>
  <c r="E2007" i="3"/>
  <c r="E2008" i="3"/>
  <c r="E2009" i="3"/>
  <c r="K2009" i="3" s="1"/>
  <c r="E2010" i="3"/>
  <c r="K2010" i="3" s="1"/>
  <c r="E2011" i="3"/>
  <c r="K2011" i="3" s="1"/>
  <c r="E2012" i="3"/>
  <c r="K2012" i="3" s="1"/>
  <c r="E2013" i="3"/>
  <c r="K2013" i="3" s="1"/>
  <c r="E2014" i="3"/>
  <c r="K2014" i="3" s="1"/>
  <c r="E2015" i="3"/>
  <c r="E2016" i="3"/>
  <c r="E2017" i="3"/>
  <c r="K2017" i="3" s="1"/>
  <c r="E2018" i="3"/>
  <c r="K2018" i="3" s="1"/>
  <c r="E2019" i="3"/>
  <c r="K2019" i="3" s="1"/>
  <c r="E2020" i="3"/>
  <c r="E2021" i="3"/>
  <c r="K2021" i="3" s="1"/>
  <c r="E2022" i="3"/>
  <c r="E2023" i="3"/>
  <c r="K2023" i="3" s="1"/>
  <c r="E2024" i="3"/>
  <c r="E2025" i="3"/>
  <c r="K2025" i="3" s="1"/>
  <c r="E2026" i="3"/>
  <c r="K2026" i="3" s="1"/>
  <c r="E2027" i="3"/>
  <c r="E2028" i="3"/>
  <c r="K2028" i="3" s="1"/>
  <c r="E2029" i="3"/>
  <c r="K2029" i="3" s="1"/>
  <c r="E2030" i="3"/>
  <c r="K2030" i="3" s="1"/>
  <c r="E2031" i="3"/>
  <c r="K2031" i="3" s="1"/>
  <c r="E2032" i="3"/>
  <c r="K2032" i="3" s="1"/>
  <c r="E2033" i="3"/>
  <c r="K2033" i="3" s="1"/>
  <c r="E2034" i="3"/>
  <c r="K2034" i="3" s="1"/>
  <c r="E2035" i="3"/>
  <c r="K2035" i="3" s="1"/>
  <c r="E2036" i="3"/>
  <c r="K2036" i="3" s="1"/>
  <c r="E2037" i="3"/>
  <c r="K2037" i="3" s="1"/>
  <c r="E2038" i="3"/>
  <c r="E2039" i="3"/>
  <c r="E2040" i="3"/>
  <c r="E2041" i="3"/>
  <c r="E2042" i="3"/>
  <c r="K2042" i="3" s="1"/>
  <c r="E2043" i="3"/>
  <c r="K2043" i="3" s="1"/>
  <c r="E2044" i="3"/>
  <c r="K2044" i="3" s="1"/>
  <c r="E2045" i="3"/>
  <c r="K2045" i="3" s="1"/>
  <c r="E2046" i="3"/>
  <c r="K2046" i="3" s="1"/>
  <c r="E2047" i="3"/>
  <c r="E2048" i="3"/>
  <c r="K2048" i="3" s="1"/>
  <c r="E2049" i="3"/>
  <c r="K2049" i="3" s="1"/>
  <c r="E2050" i="3"/>
  <c r="K2050" i="3" s="1"/>
  <c r="E2051" i="3"/>
  <c r="K2051" i="3" s="1"/>
  <c r="E2052" i="3"/>
  <c r="K2052" i="3" s="1"/>
  <c r="E2053" i="3"/>
  <c r="K2053" i="3" s="1"/>
  <c r="E2054" i="3"/>
  <c r="K2054" i="3" s="1"/>
  <c r="E2055" i="3"/>
  <c r="K2055" i="3" s="1"/>
  <c r="E2056" i="3"/>
  <c r="K2056" i="3" s="1"/>
  <c r="E2057" i="3"/>
  <c r="K2057" i="3" s="1"/>
  <c r="E2058" i="3"/>
  <c r="E2059" i="3"/>
  <c r="K2059" i="3" s="1"/>
  <c r="E2060" i="3"/>
  <c r="E2061" i="3"/>
  <c r="E2062" i="3"/>
  <c r="E2063" i="3"/>
  <c r="E2064" i="3"/>
  <c r="E2065" i="3"/>
  <c r="E2066" i="3"/>
  <c r="E2067" i="3"/>
  <c r="E2068" i="3"/>
  <c r="E2069" i="3"/>
  <c r="K2069" i="3" s="1"/>
  <c r="E2070" i="3"/>
  <c r="K2070" i="3" s="1"/>
  <c r="E2071" i="3"/>
  <c r="E2072" i="3"/>
  <c r="K2072" i="3" s="1"/>
  <c r="E2073" i="3"/>
  <c r="E2074" i="3"/>
  <c r="K2074" i="3" s="1"/>
  <c r="E2075" i="3"/>
  <c r="K2075" i="3" s="1"/>
  <c r="E2076" i="3"/>
  <c r="E2077" i="3"/>
  <c r="E2078" i="3"/>
  <c r="K2078" i="3" s="1"/>
  <c r="E2079" i="3"/>
  <c r="K2079" i="3" s="1"/>
  <c r="E2080" i="3"/>
  <c r="E2081" i="3"/>
  <c r="E2082" i="3"/>
  <c r="K2082" i="3" s="1"/>
  <c r="E2083" i="3"/>
  <c r="K2083" i="3" s="1"/>
  <c r="E2084" i="3"/>
  <c r="E2085" i="3"/>
  <c r="K2085" i="3" s="1"/>
  <c r="E2086" i="3"/>
  <c r="K2086" i="3" s="1"/>
  <c r="E2087" i="3"/>
  <c r="E2088" i="3"/>
  <c r="E2089" i="3"/>
  <c r="K2089" i="3" s="1"/>
  <c r="E2090" i="3"/>
  <c r="K2090" i="3" s="1"/>
  <c r="E2091" i="3"/>
  <c r="E2092" i="3"/>
  <c r="K2092" i="3" s="1"/>
  <c r="E2093" i="3"/>
  <c r="E2094" i="3"/>
  <c r="K2094" i="3" s="1"/>
  <c r="E2095" i="3"/>
  <c r="K2095" i="3" s="1"/>
  <c r="E2096" i="3"/>
  <c r="K2096" i="3" s="1"/>
  <c r="E2097" i="3"/>
  <c r="K2097" i="3" s="1"/>
  <c r="E2098" i="3"/>
  <c r="K2098" i="3" s="1"/>
  <c r="E2099" i="3"/>
  <c r="K2099" i="3" s="1"/>
  <c r="E2100" i="3"/>
  <c r="K2100" i="3" s="1"/>
  <c r="E2101" i="3"/>
  <c r="K2101" i="3" s="1"/>
  <c r="E2102" i="3"/>
  <c r="E2103" i="3"/>
  <c r="E2104" i="3"/>
  <c r="E2105" i="3"/>
  <c r="E2106" i="3"/>
  <c r="K2106" i="3" s="1"/>
  <c r="E2107" i="3"/>
  <c r="K2107" i="3" s="1"/>
  <c r="E2108" i="3"/>
  <c r="K2108" i="3" s="1"/>
  <c r="E2109" i="3"/>
  <c r="E2110" i="3"/>
  <c r="K2110" i="3" s="1"/>
  <c r="E2111" i="3"/>
  <c r="K2111" i="3" s="1"/>
  <c r="E2112" i="3"/>
  <c r="K2112" i="3" s="1"/>
  <c r="E2113" i="3"/>
  <c r="K2113" i="3" s="1"/>
  <c r="E2114" i="3"/>
  <c r="K2114" i="3" s="1"/>
  <c r="E2115" i="3"/>
  <c r="K2115" i="3" s="1"/>
  <c r="E2116" i="3"/>
  <c r="E2117" i="3"/>
  <c r="K2117" i="3" s="1"/>
  <c r="E2118" i="3"/>
  <c r="K2118" i="3" s="1"/>
  <c r="E2119" i="3"/>
  <c r="K2119" i="3" s="1"/>
  <c r="E2120" i="3"/>
  <c r="K2120" i="3" s="1"/>
  <c r="E2121" i="3"/>
  <c r="K2121" i="3" s="1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K2135" i="3" s="1"/>
  <c r="E2136" i="3"/>
  <c r="E2137" i="3"/>
  <c r="K2137" i="3" s="1"/>
  <c r="E2138" i="3"/>
  <c r="E2139" i="3"/>
  <c r="K2139" i="3" s="1"/>
  <c r="E2140" i="3"/>
  <c r="K2140" i="3" s="1"/>
  <c r="E2141" i="3"/>
  <c r="K2141" i="3" s="1"/>
  <c r="E2142" i="3"/>
  <c r="E2143" i="3"/>
  <c r="E2144" i="3"/>
  <c r="K2144" i="3" s="1"/>
  <c r="E2145" i="3"/>
  <c r="K2145" i="3" s="1"/>
  <c r="E2146" i="3"/>
  <c r="E2147" i="3"/>
  <c r="E2148" i="3"/>
  <c r="K2148" i="3" s="1"/>
  <c r="E2149" i="3"/>
  <c r="K2149" i="3" s="1"/>
  <c r="E2150" i="3"/>
  <c r="K2150" i="3" s="1"/>
  <c r="E2151" i="3"/>
  <c r="E2152" i="3"/>
  <c r="E2153" i="3"/>
  <c r="K2153" i="3" s="1"/>
  <c r="E2154" i="3"/>
  <c r="K2154" i="3" s="1"/>
  <c r="E2155" i="3"/>
  <c r="E2156" i="3"/>
  <c r="K2156" i="3" s="1"/>
  <c r="E2157" i="3"/>
  <c r="K2157" i="3" s="1"/>
  <c r="E2158" i="3"/>
  <c r="K2158" i="3" s="1"/>
  <c r="E2159" i="3"/>
  <c r="K2159" i="3" s="1"/>
  <c r="E2160" i="3"/>
  <c r="K2160" i="3" s="1"/>
  <c r="E2161" i="3"/>
  <c r="K2161" i="3" s="1"/>
  <c r="E2162" i="3"/>
  <c r="K2162" i="3" s="1"/>
  <c r="E2163" i="3"/>
  <c r="K2163" i="3" s="1"/>
  <c r="E2164" i="3"/>
  <c r="K2164" i="3" s="1"/>
  <c r="E2165" i="3"/>
  <c r="K2165" i="3" s="1"/>
  <c r="E2166" i="3"/>
  <c r="E2167" i="3"/>
  <c r="E2168" i="3"/>
  <c r="E2169" i="3"/>
  <c r="E2170" i="3"/>
  <c r="K2170" i="3" s="1"/>
  <c r="E2171" i="3"/>
  <c r="E2172" i="3"/>
  <c r="E2173" i="3"/>
  <c r="K2173" i="3" s="1"/>
  <c r="E2174" i="3"/>
  <c r="K2174" i="3" s="1"/>
  <c r="E2175" i="3"/>
  <c r="K2175" i="3" s="1"/>
  <c r="E2176" i="3"/>
  <c r="K2176" i="3" s="1"/>
  <c r="E2177" i="3"/>
  <c r="K2177" i="3" s="1"/>
  <c r="E2178" i="3"/>
  <c r="K2178" i="3" s="1"/>
  <c r="E2179" i="3"/>
  <c r="K2179" i="3" s="1"/>
  <c r="E2180" i="3"/>
  <c r="K2180" i="3" s="1"/>
  <c r="E2181" i="3"/>
  <c r="K2181" i="3" s="1"/>
  <c r="E2182" i="3"/>
  <c r="K2182" i="3" s="1"/>
  <c r="E2183" i="3"/>
  <c r="K2183" i="3" s="1"/>
  <c r="E2184" i="3"/>
  <c r="K2184" i="3" s="1"/>
  <c r="E2185" i="3"/>
  <c r="E2186" i="3"/>
  <c r="K2186" i="3" s="1"/>
  <c r="E2187" i="3"/>
  <c r="K2187" i="3" s="1"/>
  <c r="E2188" i="3"/>
  <c r="K2188" i="3" s="1"/>
  <c r="E2189" i="3"/>
  <c r="E2190" i="3"/>
  <c r="E2191" i="3"/>
  <c r="E2192" i="3"/>
  <c r="K2192" i="3" s="1"/>
  <c r="E2193" i="3"/>
  <c r="K2193" i="3" s="1"/>
  <c r="E2194" i="3"/>
  <c r="E2195" i="3"/>
  <c r="E2196" i="3"/>
  <c r="K2196" i="3" s="1"/>
  <c r="E2197" i="3"/>
  <c r="K2197" i="3" s="1"/>
  <c r="E2198" i="3"/>
  <c r="E2199" i="3"/>
  <c r="E2200" i="3"/>
  <c r="K2200" i="3" s="1"/>
  <c r="E2201" i="3"/>
  <c r="E2202" i="3"/>
  <c r="K2202" i="3" s="1"/>
  <c r="E2203" i="3"/>
  <c r="E2204" i="3"/>
  <c r="K2204" i="3" s="1"/>
  <c r="E2205" i="3"/>
  <c r="K2205" i="3" s="1"/>
  <c r="E2206" i="3"/>
  <c r="E2207" i="3"/>
  <c r="E2208" i="3"/>
  <c r="F3" i="3"/>
  <c r="H3" i="3" s="1"/>
  <c r="I3" i="3" s="1"/>
  <c r="J3" i="3" s="1"/>
  <c r="E3" i="3"/>
  <c r="K3" i="3" s="1"/>
  <c r="H13" i="4" l="1"/>
  <c r="I13" i="4" s="1"/>
  <c r="J13" i="4" s="1"/>
  <c r="H12" i="4"/>
  <c r="I12" i="4" s="1"/>
  <c r="H19" i="4"/>
  <c r="I19" i="4" s="1"/>
  <c r="J19" i="4" s="1"/>
  <c r="H11" i="4"/>
  <c r="I11" i="4" s="1"/>
  <c r="J11" i="4" s="1"/>
  <c r="H18" i="4"/>
  <c r="I18" i="4" s="1"/>
  <c r="J18" i="4" s="1"/>
  <c r="H10" i="4"/>
  <c r="I10" i="4" s="1"/>
  <c r="J10" i="4" s="1"/>
  <c r="H17" i="4"/>
  <c r="I17" i="4" s="1"/>
  <c r="J17" i="4" s="1"/>
  <c r="H9" i="4"/>
  <c r="I9" i="4" s="1"/>
  <c r="J9" i="4" s="1"/>
  <c r="H16" i="4"/>
  <c r="I16" i="4" s="1"/>
  <c r="J16" i="4" s="1"/>
  <c r="H8" i="4"/>
  <c r="I8" i="4" s="1"/>
  <c r="J8" i="4" s="1"/>
  <c r="H15" i="4"/>
  <c r="I15" i="4" s="1"/>
  <c r="J15" i="4" s="1"/>
  <c r="H7" i="4"/>
  <c r="I7" i="4" s="1"/>
  <c r="J7" i="4" s="1"/>
  <c r="H14" i="4"/>
  <c r="I14" i="4" s="1"/>
  <c r="J14" i="4" s="1"/>
  <c r="H6" i="4"/>
  <c r="I6" i="4" s="1"/>
  <c r="J6" i="4" s="1"/>
  <c r="H1907" i="3"/>
  <c r="I1907" i="3" s="1"/>
  <c r="J1907" i="3" s="1"/>
  <c r="L1907" i="3" s="1" a="1"/>
  <c r="L1907" i="3" s="1"/>
  <c r="G1907" i="3"/>
  <c r="H2043" i="3"/>
  <c r="I2043" i="3" s="1"/>
  <c r="J2043" i="3" s="1"/>
  <c r="L2043" i="3" s="1" a="1"/>
  <c r="L2043" i="3" s="1"/>
  <c r="G2043" i="3"/>
  <c r="G1622" i="3"/>
  <c r="H1622" i="3"/>
  <c r="I1622" i="3" s="1"/>
  <c r="J1622" i="3" s="1"/>
  <c r="L1622" i="3" s="1" a="1"/>
  <c r="L1622" i="3" s="1"/>
  <c r="G1595" i="3"/>
  <c r="H1595" i="3"/>
  <c r="I1595" i="3" s="1"/>
  <c r="J1595" i="3" s="1"/>
  <c r="L1595" i="3" s="1" a="1"/>
  <c r="L1595" i="3" s="1"/>
  <c r="G1836" i="3"/>
  <c r="H1836" i="3"/>
  <c r="I1836" i="3" s="1"/>
  <c r="J1836" i="3" s="1"/>
  <c r="L1836" i="3" s="1" a="1"/>
  <c r="L1836" i="3" s="1"/>
  <c r="G1966" i="3"/>
  <c r="H1966" i="3"/>
  <c r="I1966" i="3" s="1"/>
  <c r="J1966" i="3" s="1"/>
  <c r="L1966" i="3" s="1" a="1"/>
  <c r="L1966" i="3" s="1"/>
  <c r="H2089" i="3"/>
  <c r="I2089" i="3" s="1"/>
  <c r="J2089" i="3" s="1"/>
  <c r="L2089" i="3" s="1" a="1"/>
  <c r="L2089" i="3" s="1"/>
  <c r="H2195" i="3"/>
  <c r="I2195" i="3" s="1"/>
  <c r="J2195" i="3" s="1"/>
  <c r="L2195" i="3" s="1" a="1"/>
  <c r="L2195" i="3" s="1"/>
  <c r="G2069" i="3"/>
  <c r="H2069" i="3"/>
  <c r="I2069" i="3" s="1"/>
  <c r="J2069" i="3" s="1"/>
  <c r="L2069" i="3" s="1" a="1"/>
  <c r="L2069" i="3" s="1"/>
  <c r="G1890" i="3"/>
  <c r="H1890" i="3"/>
  <c r="I1890" i="3" s="1"/>
  <c r="J1890" i="3" s="1"/>
  <c r="L1890" i="3" s="1" a="1"/>
  <c r="L1890" i="3" s="1"/>
  <c r="G2173" i="3"/>
  <c r="H2110" i="3"/>
  <c r="I2110" i="3" s="1"/>
  <c r="J2110" i="3" s="1"/>
  <c r="L2110" i="3" s="1" a="1"/>
  <c r="L2110" i="3" s="1"/>
  <c r="H2126" i="3"/>
  <c r="I2126" i="3" s="1"/>
  <c r="J2126" i="3" s="1"/>
  <c r="L2126" i="3" s="1" a="1"/>
  <c r="L2126" i="3" s="1"/>
  <c r="H1760" i="3"/>
  <c r="I1760" i="3" s="1"/>
  <c r="J1760" i="3" s="1"/>
  <c r="L1760" i="3" s="1" a="1"/>
  <c r="L1760" i="3" s="1"/>
  <c r="H2088" i="3"/>
  <c r="I2088" i="3" s="1"/>
  <c r="J2088" i="3" s="1"/>
  <c r="L2088" i="3" s="1" a="1"/>
  <c r="L2088" i="3" s="1"/>
  <c r="G1980" i="3"/>
  <c r="H1865" i="3"/>
  <c r="I1865" i="3" s="1"/>
  <c r="J1865" i="3" s="1"/>
  <c r="L1865" i="3" s="1" a="1"/>
  <c r="L1865" i="3" s="1"/>
  <c r="G1865" i="3"/>
  <c r="H1786" i="3"/>
  <c r="I1786" i="3" s="1"/>
  <c r="J1786" i="3" s="1"/>
  <c r="L1786" i="3" s="1" a="1"/>
  <c r="L1786" i="3" s="1"/>
  <c r="G1786" i="3"/>
  <c r="H1531" i="3"/>
  <c r="I1531" i="3" s="1"/>
  <c r="J1531" i="3" s="1"/>
  <c r="L1531" i="3" s="1" a="1"/>
  <c r="L1531" i="3" s="1"/>
  <c r="G1531" i="3"/>
  <c r="H1646" i="3"/>
  <c r="I1646" i="3" s="1"/>
  <c r="J1646" i="3" s="1"/>
  <c r="L1646" i="3" s="1" a="1"/>
  <c r="L1646" i="3" s="1"/>
  <c r="G1646" i="3"/>
  <c r="H2194" i="3"/>
  <c r="I2194" i="3" s="1"/>
  <c r="J2194" i="3" s="1"/>
  <c r="L2194" i="3" s="1" a="1"/>
  <c r="L2194" i="3" s="1"/>
  <c r="H2128" i="3"/>
  <c r="I2128" i="3" s="1"/>
  <c r="J2128" i="3" s="1"/>
  <c r="L2128" i="3" s="1" a="1"/>
  <c r="L2128" i="3" s="1"/>
  <c r="H1864" i="3"/>
  <c r="I1864" i="3" s="1"/>
  <c r="J1864" i="3" s="1"/>
  <c r="L1864" i="3" s="1" a="1"/>
  <c r="L1864" i="3" s="1"/>
  <c r="G1812" i="3"/>
  <c r="H1702" i="3"/>
  <c r="I1702" i="3" s="1"/>
  <c r="J1702" i="3" s="1"/>
  <c r="L1702" i="3" s="1" a="1"/>
  <c r="L1702" i="3" s="1"/>
  <c r="H1143" i="3"/>
  <c r="I1143" i="3" s="1"/>
  <c r="J1143" i="3" s="1"/>
  <c r="L1143" i="3" s="1" a="1"/>
  <c r="L1143" i="3" s="1"/>
  <c r="G1143" i="3"/>
  <c r="H1979" i="3"/>
  <c r="I1979" i="3" s="1"/>
  <c r="J1979" i="3" s="1"/>
  <c r="L1979" i="3" s="1" a="1"/>
  <c r="L1979" i="3" s="1"/>
  <c r="G1979" i="3"/>
  <c r="G1675" i="3"/>
  <c r="H1675" i="3"/>
  <c r="I1675" i="3" s="1"/>
  <c r="J1675" i="3" s="1"/>
  <c r="L1675" i="3" s="1" a="1"/>
  <c r="L1675" i="3" s="1"/>
  <c r="G1429" i="3"/>
  <c r="H1429" i="3"/>
  <c r="I1429" i="3" s="1"/>
  <c r="J1429" i="3" s="1"/>
  <c r="L1429" i="3" s="1" a="1"/>
  <c r="L1429" i="3" s="1"/>
  <c r="H1645" i="3"/>
  <c r="I1645" i="3" s="1"/>
  <c r="J1645" i="3" s="1"/>
  <c r="L1645" i="3" s="1" a="1"/>
  <c r="L1645" i="3" s="1"/>
  <c r="G1645" i="3"/>
  <c r="H1529" i="3"/>
  <c r="I1529" i="3" s="1"/>
  <c r="J1529" i="3" s="1"/>
  <c r="L1529" i="3" s="1" a="1"/>
  <c r="L1529" i="3" s="1"/>
  <c r="G1529" i="3"/>
  <c r="G1428" i="3"/>
  <c r="H1428" i="3"/>
  <c r="I1428" i="3" s="1"/>
  <c r="J1428" i="3" s="1"/>
  <c r="L1428" i="3" s="1" a="1"/>
  <c r="L1428" i="3" s="1"/>
  <c r="G2193" i="3"/>
  <c r="H2193" i="3"/>
  <c r="I2193" i="3" s="1"/>
  <c r="J2193" i="3" s="1"/>
  <c r="L2193" i="3" s="1" a="1"/>
  <c r="L2193" i="3" s="1"/>
  <c r="H2045" i="3"/>
  <c r="I2045" i="3" s="1"/>
  <c r="J2045" i="3" s="1"/>
  <c r="L2045" i="3" s="1" a="1"/>
  <c r="L2045" i="3" s="1"/>
  <c r="G1908" i="3"/>
  <c r="G1732" i="3"/>
  <c r="H1732" i="3"/>
  <c r="I1732" i="3" s="1"/>
  <c r="J1732" i="3" s="1"/>
  <c r="L1732" i="3" s="1" a="1"/>
  <c r="L1732" i="3" s="1"/>
  <c r="G2085" i="3"/>
  <c r="H2085" i="3"/>
  <c r="I2085" i="3" s="1"/>
  <c r="J2085" i="3" s="1"/>
  <c r="L2085" i="3" s="1" a="1"/>
  <c r="L2085" i="3" s="1"/>
  <c r="H2019" i="3"/>
  <c r="I2019" i="3" s="1"/>
  <c r="J2019" i="3" s="1"/>
  <c r="L2019" i="3" s="1" a="1"/>
  <c r="L2019" i="3" s="1"/>
  <c r="G1324" i="3"/>
  <c r="H1324" i="3"/>
  <c r="I1324" i="3" s="1"/>
  <c r="J1324" i="3" s="1"/>
  <c r="L1324" i="3" s="1" a="1"/>
  <c r="L1324" i="3" s="1"/>
  <c r="G2190" i="3"/>
  <c r="H2190" i="3"/>
  <c r="I2190" i="3" s="1"/>
  <c r="J2190" i="3" s="1"/>
  <c r="L2190" i="3" s="1" a="1"/>
  <c r="L2190" i="3" s="1"/>
  <c r="G2146" i="3"/>
  <c r="H2146" i="3"/>
  <c r="I2146" i="3" s="1"/>
  <c r="J2146" i="3" s="1"/>
  <c r="L2146" i="3" s="1" a="1"/>
  <c r="L2146" i="3" s="1"/>
  <c r="H1809" i="3"/>
  <c r="I1809" i="3" s="1"/>
  <c r="J1809" i="3" s="1"/>
  <c r="L1809" i="3" s="1" a="1"/>
  <c r="L1809" i="3" s="1"/>
  <c r="G1809" i="3"/>
  <c r="G1558" i="3"/>
  <c r="G1755" i="3"/>
  <c r="H1755" i="3"/>
  <c r="I1755" i="3" s="1"/>
  <c r="J1755" i="3" s="1"/>
  <c r="L1755" i="3" s="1" a="1"/>
  <c r="L1755" i="3" s="1"/>
  <c r="G1781" i="3"/>
  <c r="H1781" i="3"/>
  <c r="I1781" i="3" s="1"/>
  <c r="J1781" i="3" s="1"/>
  <c r="L1781" i="3" s="1" a="1"/>
  <c r="L1781" i="3" s="1"/>
  <c r="G1697" i="3"/>
  <c r="H1697" i="3"/>
  <c r="I1697" i="3" s="1"/>
  <c r="J1697" i="3" s="1"/>
  <c r="L1697" i="3" s="1" a="1"/>
  <c r="L1697" i="3" s="1"/>
  <c r="H1672" i="3"/>
  <c r="I1672" i="3" s="1"/>
  <c r="J1672" i="3" s="1"/>
  <c r="L1672" i="3" s="1" a="1"/>
  <c r="L1672" i="3" s="1"/>
  <c r="G1672" i="3"/>
  <c r="G1807" i="3"/>
  <c r="H1807" i="3"/>
  <c r="I1807" i="3" s="1"/>
  <c r="J1807" i="3" s="1"/>
  <c r="L1807" i="3" s="1" a="1"/>
  <c r="L1807" i="3" s="1"/>
  <c r="H2205" i="3"/>
  <c r="I2205" i="3" s="1"/>
  <c r="J2205" i="3" s="1"/>
  <c r="L2205" i="3" s="1" a="1"/>
  <c r="L2205" i="3" s="1"/>
  <c r="G2205" i="3"/>
  <c r="H1925" i="3"/>
  <c r="I1925" i="3" s="1"/>
  <c r="J1925" i="3" s="1"/>
  <c r="L1925" i="3" s="1" a="1"/>
  <c r="L1925" i="3" s="1"/>
  <c r="G1883" i="3"/>
  <c r="H1883" i="3"/>
  <c r="I1883" i="3" s="1"/>
  <c r="J1883" i="3" s="1"/>
  <c r="L1883" i="3" s="1" a="1"/>
  <c r="L1883" i="3" s="1"/>
  <c r="H1859" i="3"/>
  <c r="I1859" i="3" s="1"/>
  <c r="J1859" i="3" s="1"/>
  <c r="L1859" i="3" s="1" a="1"/>
  <c r="L1859" i="3" s="1"/>
  <c r="G2064" i="3"/>
  <c r="H2064" i="3"/>
  <c r="I2064" i="3" s="1"/>
  <c r="J2064" i="3" s="1"/>
  <c r="L2064" i="3" s="1" a="1"/>
  <c r="L2064" i="3" s="1"/>
  <c r="H1612" i="3"/>
  <c r="I1612" i="3" s="1"/>
  <c r="J1612" i="3" s="1"/>
  <c r="L1612" i="3" s="1" a="1"/>
  <c r="L1612" i="3" s="1"/>
  <c r="G1556" i="3"/>
  <c r="H1556" i="3"/>
  <c r="I1556" i="3" s="1"/>
  <c r="J1556" i="3" s="1"/>
  <c r="L1556" i="3" s="1" a="1"/>
  <c r="L1556" i="3" s="1"/>
  <c r="G1491" i="3"/>
  <c r="H1491" i="3"/>
  <c r="I1491" i="3" s="1"/>
  <c r="J1491" i="3" s="1"/>
  <c r="L1491" i="3" s="1" a="1"/>
  <c r="L1491" i="3" s="1"/>
  <c r="H2204" i="3"/>
  <c r="I2204" i="3" s="1"/>
  <c r="J2204" i="3" s="1"/>
  <c r="L2204" i="3" s="1" a="1"/>
  <c r="L2204" i="3" s="1"/>
  <c r="G2081" i="3"/>
  <c r="H2081" i="3"/>
  <c r="I2081" i="3" s="1"/>
  <c r="J2081" i="3" s="1"/>
  <c r="L2081" i="3" s="1" a="1"/>
  <c r="L2081" i="3" s="1"/>
  <c r="H1584" i="3"/>
  <c r="I1584" i="3" s="1"/>
  <c r="J1584" i="3" s="1"/>
  <c r="L1584" i="3" s="1" a="1"/>
  <c r="L1584" i="3" s="1"/>
  <c r="G1858" i="3"/>
  <c r="H1858" i="3"/>
  <c r="I1858" i="3" s="1"/>
  <c r="J1858" i="3" s="1"/>
  <c r="L1858" i="3" s="1" a="1"/>
  <c r="L1858" i="3" s="1"/>
  <c r="G1611" i="3"/>
  <c r="H1611" i="3"/>
  <c r="I1611" i="3" s="1"/>
  <c r="J1611" i="3" s="1"/>
  <c r="L1611" i="3" s="1" a="1"/>
  <c r="L1611" i="3" s="1"/>
  <c r="G1087" i="3"/>
  <c r="H1087" i="3"/>
  <c r="I1087" i="3" s="1"/>
  <c r="J1087" i="3" s="1"/>
  <c r="L1087" i="3" s="1" a="1"/>
  <c r="L1087" i="3" s="1"/>
  <c r="G2164" i="3"/>
  <c r="H2164" i="3"/>
  <c r="I2164" i="3" s="1"/>
  <c r="J2164" i="3" s="1"/>
  <c r="L2164" i="3" s="1" a="1"/>
  <c r="L2164" i="3" s="1"/>
  <c r="G1803" i="3"/>
  <c r="H1803" i="3"/>
  <c r="I1803" i="3" s="1"/>
  <c r="J1803" i="3" s="1"/>
  <c r="L1803" i="3" s="1" a="1"/>
  <c r="L1803" i="3" s="1"/>
  <c r="H1776" i="3"/>
  <c r="I1776" i="3" s="1"/>
  <c r="J1776" i="3" s="1"/>
  <c r="L1776" i="3" s="1" a="1"/>
  <c r="L1776" i="3" s="1"/>
  <c r="G1776" i="3"/>
  <c r="G1722" i="3"/>
  <c r="H1518" i="3"/>
  <c r="I1518" i="3" s="1"/>
  <c r="J1518" i="3" s="1"/>
  <c r="L1518" i="3" s="1" a="1"/>
  <c r="L1518" i="3" s="1"/>
  <c r="H1804" i="3"/>
  <c r="I1804" i="3" s="1"/>
  <c r="J1804" i="3" s="1"/>
  <c r="L1804" i="3" s="1" a="1"/>
  <c r="L1804" i="3" s="1"/>
  <c r="G1804" i="3"/>
  <c r="H2183" i="3"/>
  <c r="I2183" i="3" s="1"/>
  <c r="J2183" i="3" s="1"/>
  <c r="L2183" i="3" s="1" a="1"/>
  <c r="L2183" i="3" s="1"/>
  <c r="H1995" i="3"/>
  <c r="I1995" i="3" s="1"/>
  <c r="J1995" i="3" s="1"/>
  <c r="L1995" i="3" s="1" a="1"/>
  <c r="L1995" i="3" s="1"/>
  <c r="G2059" i="3"/>
  <c r="G1944" i="3"/>
  <c r="G1902" i="3"/>
  <c r="H1902" i="3"/>
  <c r="I1902" i="3" s="1"/>
  <c r="J1902" i="3" s="1"/>
  <c r="L1902" i="3" s="1" a="1"/>
  <c r="L1902" i="3" s="1"/>
  <c r="G1693" i="3"/>
  <c r="H1693" i="3"/>
  <c r="I1693" i="3" s="1"/>
  <c r="J1693" i="3" s="1"/>
  <c r="L1693" i="3" s="1" a="1"/>
  <c r="L1693" i="3" s="1"/>
  <c r="G1666" i="3"/>
  <c r="H1666" i="3"/>
  <c r="I1666" i="3" s="1"/>
  <c r="J1666" i="3" s="1"/>
  <c r="L1666" i="3" s="1" a="1"/>
  <c r="L1666" i="3" s="1"/>
  <c r="G2202" i="3"/>
  <c r="H2141" i="3"/>
  <c r="I2141" i="3" s="1"/>
  <c r="J2141" i="3" s="1"/>
  <c r="L2141" i="3" s="1" a="1"/>
  <c r="L2141" i="3" s="1"/>
  <c r="H2078" i="3"/>
  <c r="I2078" i="3" s="1"/>
  <c r="J2078" i="3" s="1"/>
  <c r="L2078" i="3" s="1" a="1"/>
  <c r="L2078" i="3" s="1"/>
  <c r="G1801" i="3"/>
  <c r="H1801" i="3"/>
  <c r="I1801" i="3" s="1"/>
  <c r="J1801" i="3" s="1"/>
  <c r="L1801" i="3" s="1" a="1"/>
  <c r="L1801" i="3" s="1"/>
  <c r="G2100" i="3"/>
  <c r="H1720" i="3"/>
  <c r="I1720" i="3" s="1"/>
  <c r="J1720" i="3" s="1"/>
  <c r="L1720" i="3" s="1" a="1"/>
  <c r="L1720" i="3" s="1"/>
  <c r="H1665" i="3"/>
  <c r="I1665" i="3" s="1"/>
  <c r="J1665" i="3" s="1"/>
  <c r="L1665" i="3" s="1" a="1"/>
  <c r="L1665" i="3" s="1"/>
  <c r="G1452" i="3"/>
  <c r="H1452" i="3"/>
  <c r="I1452" i="3" s="1"/>
  <c r="J1452" i="3" s="1"/>
  <c r="L1452" i="3" s="1" a="1"/>
  <c r="L1452" i="3" s="1"/>
  <c r="H1165" i="3"/>
  <c r="I1165" i="3" s="1"/>
  <c r="J1165" i="3" s="1"/>
  <c r="L1165" i="3" s="1" a="1"/>
  <c r="L1165" i="3" s="1"/>
  <c r="G1165" i="3"/>
  <c r="G2139" i="3"/>
  <c r="G2077" i="3"/>
  <c r="G2057" i="3"/>
  <c r="G1942" i="3"/>
  <c r="H1825" i="3"/>
  <c r="I1825" i="3" s="1"/>
  <c r="J1825" i="3" s="1"/>
  <c r="L1825" i="3" s="1" a="1"/>
  <c r="L1825" i="3" s="1"/>
  <c r="G1825" i="3"/>
  <c r="G1772" i="3"/>
  <c r="G1484" i="3"/>
  <c r="H1484" i="3"/>
  <c r="I1484" i="3" s="1"/>
  <c r="J1484" i="3" s="1"/>
  <c r="L1484" i="3" s="1" a="1"/>
  <c r="L1484" i="3" s="1"/>
  <c r="G1312" i="3"/>
  <c r="H1312" i="3"/>
  <c r="I1312" i="3" s="1"/>
  <c r="J1312" i="3" s="1"/>
  <c r="L1312" i="3" s="1" a="1"/>
  <c r="L1312" i="3" s="1"/>
  <c r="H1851" i="3"/>
  <c r="I1851" i="3" s="1"/>
  <c r="J1851" i="3" s="1"/>
  <c r="L1851" i="3" s="1" a="1"/>
  <c r="L1851" i="3" s="1"/>
  <c r="H1449" i="3"/>
  <c r="I1449" i="3" s="1"/>
  <c r="J1449" i="3" s="1"/>
  <c r="L1449" i="3" s="1" a="1"/>
  <c r="L1449" i="3" s="1"/>
  <c r="G1449" i="3"/>
  <c r="H1415" i="3"/>
  <c r="I1415" i="3" s="1"/>
  <c r="J1415" i="3" s="1"/>
  <c r="L1415" i="3" s="1" a="1"/>
  <c r="L1415" i="3" s="1"/>
  <c r="G1415" i="3"/>
  <c r="G1512" i="3"/>
  <c r="H1512" i="3"/>
  <c r="I1512" i="3" s="1"/>
  <c r="J1512" i="3" s="1"/>
  <c r="L1512" i="3" s="1" a="1"/>
  <c r="L1512" i="3" s="1"/>
  <c r="G2034" i="3"/>
  <c r="H2034" i="3"/>
  <c r="I2034" i="3" s="1"/>
  <c r="J2034" i="3" s="1"/>
  <c r="L2034" i="3" s="1" a="1"/>
  <c r="L2034" i="3" s="1"/>
  <c r="G1965" i="3"/>
  <c r="H1965" i="3"/>
  <c r="I1965" i="3" s="1"/>
  <c r="J1965" i="3" s="1"/>
  <c r="L1965" i="3" s="1" a="1"/>
  <c r="L1965" i="3" s="1"/>
  <c r="G1991" i="3"/>
  <c r="H1991" i="3"/>
  <c r="I1991" i="3" s="1"/>
  <c r="J1991" i="3" s="1"/>
  <c r="L1991" i="3" s="1" a="1"/>
  <c r="L1991" i="3" s="1"/>
  <c r="G1576" i="3"/>
  <c r="G1446" i="3"/>
  <c r="H1446" i="3"/>
  <c r="I1446" i="3" s="1"/>
  <c r="J1446" i="3" s="1"/>
  <c r="L1446" i="3" s="1" a="1"/>
  <c r="L1446" i="3" s="1"/>
  <c r="G1310" i="3"/>
  <c r="H1310" i="3"/>
  <c r="I1310" i="3" s="1"/>
  <c r="J1310" i="3" s="1"/>
  <c r="L1310" i="3" s="1" a="1"/>
  <c r="L1310" i="3" s="1"/>
  <c r="H1078" i="3"/>
  <c r="I1078" i="3" s="1"/>
  <c r="J1078" i="3" s="1"/>
  <c r="L1078" i="3" s="1" a="1"/>
  <c r="L1078" i="3" s="1"/>
  <c r="G1078" i="3"/>
  <c r="G2009" i="3"/>
  <c r="G1873" i="3"/>
  <c r="H1873" i="3"/>
  <c r="I1873" i="3" s="1"/>
  <c r="J1873" i="3" s="1"/>
  <c r="L1873" i="3" s="1" a="1"/>
  <c r="L1873" i="3" s="1"/>
  <c r="G1770" i="3"/>
  <c r="H1770" i="3"/>
  <c r="I1770" i="3" s="1"/>
  <c r="J1770" i="3" s="1"/>
  <c r="L1770" i="3" s="1" a="1"/>
  <c r="L1770" i="3" s="1"/>
  <c r="H1660" i="3"/>
  <c r="I1660" i="3" s="1"/>
  <c r="J1660" i="3" s="1"/>
  <c r="L1660" i="3" s="1" a="1"/>
  <c r="L1660" i="3" s="1"/>
  <c r="G1444" i="3"/>
  <c r="H1444" i="3"/>
  <c r="I1444" i="3" s="1"/>
  <c r="J1444" i="3" s="1"/>
  <c r="L1444" i="3" s="1" a="1"/>
  <c r="L1444" i="3" s="1"/>
  <c r="G2095" i="3"/>
  <c r="H2095" i="3"/>
  <c r="I2095" i="3" s="1"/>
  <c r="J2095" i="3" s="1"/>
  <c r="L2095" i="3" s="1" a="1"/>
  <c r="L2095" i="3" s="1"/>
  <c r="H2199" i="3"/>
  <c r="I2199" i="3" s="1"/>
  <c r="J2199" i="3" s="1"/>
  <c r="L2199" i="3" s="1" a="1"/>
  <c r="L2199" i="3" s="1"/>
  <c r="G2137" i="3"/>
  <c r="H2137" i="3"/>
  <c r="I2137" i="3" s="1"/>
  <c r="J2137" i="3" s="1"/>
  <c r="L2137" i="3" s="1" a="1"/>
  <c r="L2137" i="3" s="1"/>
  <c r="H1823" i="3"/>
  <c r="I1823" i="3" s="1"/>
  <c r="J1823" i="3" s="1"/>
  <c r="L1823" i="3" s="1" a="1"/>
  <c r="L1823" i="3" s="1"/>
  <c r="H1715" i="3"/>
  <c r="I1715" i="3" s="1"/>
  <c r="J1715" i="3" s="1"/>
  <c r="L1715" i="3" s="1" a="1"/>
  <c r="L1715" i="3" s="1"/>
  <c r="G1631" i="3"/>
  <c r="H1631" i="3"/>
  <c r="I1631" i="3" s="1"/>
  <c r="J1631" i="3" s="1"/>
  <c r="L1631" i="3" s="1" a="1"/>
  <c r="L1631" i="3" s="1"/>
  <c r="G1575" i="3"/>
  <c r="H1575" i="3"/>
  <c r="I1575" i="3" s="1"/>
  <c r="J1575" i="3" s="1"/>
  <c r="L1575" i="3" s="1" a="1"/>
  <c r="L1575" i="3" s="1"/>
  <c r="G1232" i="3"/>
  <c r="H1232" i="3"/>
  <c r="I1232" i="3" s="1"/>
  <c r="J1232" i="3" s="1"/>
  <c r="L1232" i="3" s="1" a="1"/>
  <c r="L1232" i="3" s="1"/>
  <c r="H1872" i="3"/>
  <c r="I1872" i="3" s="1"/>
  <c r="J1872" i="3" s="1"/>
  <c r="L1872" i="3" s="1" a="1"/>
  <c r="L1872" i="3" s="1"/>
  <c r="G1938" i="3"/>
  <c r="H1938" i="3"/>
  <c r="I1938" i="3" s="1"/>
  <c r="J1938" i="3" s="1"/>
  <c r="L1938" i="3" s="1" a="1"/>
  <c r="L1938" i="3" s="1"/>
  <c r="G1714" i="3"/>
  <c r="H1714" i="3"/>
  <c r="I1714" i="3" s="1"/>
  <c r="J1714" i="3" s="1"/>
  <c r="L1714" i="3" s="1" a="1"/>
  <c r="L1714" i="3" s="1"/>
  <c r="G1600" i="3"/>
  <c r="H1600" i="3"/>
  <c r="I1600" i="3" s="1"/>
  <c r="J1600" i="3" s="1"/>
  <c r="L1600" i="3" s="1" a="1"/>
  <c r="L1600" i="3" s="1"/>
  <c r="G1477" i="3"/>
  <c r="H1477" i="3"/>
  <c r="I1477" i="3" s="1"/>
  <c r="J1477" i="3" s="1"/>
  <c r="L1477" i="3" s="1" a="1"/>
  <c r="L1477" i="3" s="1"/>
  <c r="H1373" i="3"/>
  <c r="I1373" i="3" s="1"/>
  <c r="J1373" i="3" s="1"/>
  <c r="L1373" i="3" s="1" a="1"/>
  <c r="L1373" i="3" s="1"/>
  <c r="G1373" i="3"/>
  <c r="G1306" i="3"/>
  <c r="H1306" i="3"/>
  <c r="I1306" i="3" s="1"/>
  <c r="J1306" i="3" s="1"/>
  <c r="L1306" i="3" s="1" a="1"/>
  <c r="L1306" i="3" s="1"/>
  <c r="H2177" i="3"/>
  <c r="I2177" i="3" s="1"/>
  <c r="J2177" i="3" s="1"/>
  <c r="L2177" i="3" s="1" a="1"/>
  <c r="L2177" i="3" s="1"/>
  <c r="G1766" i="3"/>
  <c r="H1766" i="3"/>
  <c r="I1766" i="3" s="1"/>
  <c r="J1766" i="3" s="1"/>
  <c r="L1766" i="3" s="1" a="1"/>
  <c r="L1766" i="3" s="1"/>
  <c r="H1341" i="3"/>
  <c r="I1341" i="3" s="1"/>
  <c r="J1341" i="3" s="1"/>
  <c r="L1341" i="3" s="1" a="1"/>
  <c r="L1341" i="3" s="1"/>
  <c r="G1341" i="3"/>
  <c r="G1992" i="3"/>
  <c r="H1992" i="3"/>
  <c r="I1992" i="3" s="1"/>
  <c r="J1992" i="3" s="1"/>
  <c r="L1992" i="3" s="1" a="1"/>
  <c r="L1992" i="3" s="1"/>
  <c r="H1821" i="3"/>
  <c r="I1821" i="3" s="1"/>
  <c r="J1821" i="3" s="1"/>
  <c r="L1821" i="3" s="1" a="1"/>
  <c r="L1821" i="3" s="1"/>
  <c r="G1821" i="3"/>
  <c r="G1538" i="3"/>
  <c r="H1870" i="3"/>
  <c r="I1870" i="3" s="1"/>
  <c r="J1870" i="3" s="1"/>
  <c r="L1870" i="3" s="1" a="1"/>
  <c r="L1870" i="3" s="1"/>
  <c r="G1506" i="3"/>
  <c r="H1506" i="3"/>
  <c r="I1506" i="3" s="1"/>
  <c r="J1506" i="3" s="1"/>
  <c r="L1506" i="3" s="1" a="1"/>
  <c r="L1506" i="3" s="1"/>
  <c r="G1903" i="3"/>
  <c r="H1903" i="3"/>
  <c r="I1903" i="3" s="1"/>
  <c r="J1903" i="3" s="1"/>
  <c r="L1903" i="3" s="1" a="1"/>
  <c r="L1903" i="3" s="1"/>
  <c r="G2055" i="3"/>
  <c r="H2055" i="3"/>
  <c r="I2055" i="3" s="1"/>
  <c r="J2055" i="3" s="1"/>
  <c r="L2055" i="3" s="1" a="1"/>
  <c r="L2055" i="3" s="1"/>
  <c r="G2133" i="3"/>
  <c r="H2133" i="3"/>
  <c r="I2133" i="3" s="1"/>
  <c r="J2133" i="3" s="1"/>
  <c r="L2133" i="3" s="1" a="1"/>
  <c r="L2133" i="3" s="1"/>
  <c r="G1894" i="3"/>
  <c r="H1537" i="3"/>
  <c r="I1537" i="3" s="1"/>
  <c r="J1537" i="3" s="1"/>
  <c r="L1537" i="3" s="1" a="1"/>
  <c r="L1537" i="3" s="1"/>
  <c r="G1475" i="3"/>
  <c r="H1475" i="3"/>
  <c r="I1475" i="3" s="1"/>
  <c r="J1475" i="3" s="1"/>
  <c r="L1475" i="3" s="1" a="1"/>
  <c r="L1475" i="3" s="1"/>
  <c r="G1875" i="3"/>
  <c r="H1875" i="3"/>
  <c r="I1875" i="3" s="1"/>
  <c r="J1875" i="3" s="1"/>
  <c r="L1875" i="3" s="1" a="1"/>
  <c r="L1875" i="3" s="1"/>
  <c r="G1914" i="3"/>
  <c r="H1914" i="3"/>
  <c r="I1914" i="3" s="1"/>
  <c r="J1914" i="3" s="1"/>
  <c r="L1914" i="3" s="1" a="1"/>
  <c r="L1914" i="3" s="1"/>
  <c r="G1913" i="3"/>
  <c r="H1844" i="3"/>
  <c r="I1844" i="3" s="1"/>
  <c r="J1844" i="3" s="1"/>
  <c r="L1844" i="3" s="1" a="1"/>
  <c r="L1844" i="3" s="1"/>
  <c r="H1818" i="3"/>
  <c r="I1818" i="3" s="1"/>
  <c r="J1818" i="3" s="1"/>
  <c r="L1818" i="3" s="1" a="1"/>
  <c r="L1818" i="3" s="1"/>
  <c r="G1405" i="3"/>
  <c r="H1405" i="3"/>
  <c r="I1405" i="3" s="1"/>
  <c r="J1405" i="3" s="1"/>
  <c r="L1405" i="3" s="1" a="1"/>
  <c r="L1405" i="3" s="1"/>
  <c r="G2051" i="3"/>
  <c r="H2051" i="3"/>
  <c r="I2051" i="3" s="1"/>
  <c r="J2051" i="3" s="1"/>
  <c r="L2051" i="3" s="1" a="1"/>
  <c r="L2051" i="3" s="1"/>
  <c r="H1708" i="3"/>
  <c r="I1708" i="3" s="1"/>
  <c r="J1708" i="3" s="1"/>
  <c r="L1708" i="3" s="1" a="1"/>
  <c r="L1708" i="3" s="1"/>
  <c r="G1708" i="3"/>
  <c r="H1567" i="3"/>
  <c r="I1567" i="3" s="1"/>
  <c r="J1567" i="3" s="1"/>
  <c r="L1567" i="3" s="1" a="1"/>
  <c r="L1567" i="3" s="1"/>
  <c r="G1567" i="3"/>
  <c r="G1596" i="3"/>
  <c r="G1502" i="3"/>
  <c r="H1502" i="3"/>
  <c r="I1502" i="3" s="1"/>
  <c r="J1502" i="3" s="1"/>
  <c r="L1502" i="3" s="1" a="1"/>
  <c r="L1502" i="3" s="1"/>
  <c r="G2080" i="3"/>
  <c r="H2080" i="3"/>
  <c r="I2080" i="3" s="1"/>
  <c r="J2080" i="3" s="1"/>
  <c r="L2080" i="3" s="1" a="1"/>
  <c r="L2080" i="3" s="1"/>
  <c r="H1554" i="3"/>
  <c r="I1554" i="3" s="1"/>
  <c r="J1554" i="3" s="1"/>
  <c r="L1554" i="3" s="1" a="1"/>
  <c r="L1554" i="3" s="1"/>
  <c r="G1554" i="3"/>
  <c r="H1915" i="3"/>
  <c r="I1915" i="3" s="1"/>
  <c r="J1915" i="3" s="1"/>
  <c r="L1915" i="3" s="1" a="1"/>
  <c r="L1915" i="3" s="1"/>
  <c r="G1915" i="3"/>
  <c r="G2153" i="3"/>
  <c r="H2153" i="3"/>
  <c r="I2153" i="3" s="1"/>
  <c r="J2153" i="3" s="1"/>
  <c r="L2153" i="3" s="1" a="1"/>
  <c r="L2153" i="3" s="1"/>
  <c r="H2111" i="3"/>
  <c r="I2111" i="3" s="1"/>
  <c r="J2111" i="3" s="1"/>
  <c r="L2111" i="3" s="1" a="1"/>
  <c r="L2111" i="3" s="1"/>
  <c r="H1983" i="3"/>
  <c r="I1983" i="3" s="1"/>
  <c r="J1983" i="3" s="1"/>
  <c r="L1983" i="3" s="1" a="1"/>
  <c r="L1983" i="3" s="1"/>
  <c r="G1983" i="3"/>
  <c r="G1471" i="3"/>
  <c r="H1471" i="3"/>
  <c r="I1471" i="3" s="1"/>
  <c r="J1471" i="3" s="1"/>
  <c r="L1471" i="3" s="1" a="1"/>
  <c r="L1471" i="3" s="1"/>
  <c r="H1334" i="3"/>
  <c r="I1334" i="3" s="1"/>
  <c r="J1334" i="3" s="1"/>
  <c r="L1334" i="3" s="1" a="1"/>
  <c r="L1334" i="3" s="1"/>
  <c r="G1334" i="3"/>
  <c r="G2053" i="3"/>
  <c r="H2053" i="3"/>
  <c r="I2053" i="3" s="1"/>
  <c r="J2053" i="3" s="1"/>
  <c r="L2053" i="3" s="1" a="1"/>
  <c r="L2053" i="3" s="1"/>
  <c r="G2005" i="3"/>
  <c r="H2005" i="3"/>
  <c r="I2005" i="3" s="1"/>
  <c r="J2005" i="3" s="1"/>
  <c r="L2005" i="3" s="1" a="1"/>
  <c r="L2005" i="3" s="1"/>
  <c r="G2090" i="3"/>
  <c r="H2090" i="3"/>
  <c r="I2090" i="3" s="1"/>
  <c r="J2090" i="3" s="1"/>
  <c r="L2090" i="3" s="1" a="1"/>
  <c r="L2090" i="3" s="1"/>
  <c r="H2025" i="3"/>
  <c r="I2025" i="3" s="1"/>
  <c r="J2025" i="3" s="1"/>
  <c r="L2025" i="3" s="1" a="1"/>
  <c r="L2025" i="3" s="1"/>
  <c r="G1679" i="3"/>
  <c r="H1679" i="3"/>
  <c r="I1679" i="3" s="1"/>
  <c r="J1679" i="3" s="1"/>
  <c r="L1679" i="3" s="1" a="1"/>
  <c r="L1679" i="3" s="1"/>
  <c r="H1623" i="3"/>
  <c r="I1623" i="3" s="1"/>
  <c r="J1623" i="3" s="1"/>
  <c r="L1623" i="3" s="1" a="1"/>
  <c r="L1623" i="3" s="1"/>
  <c r="G1623" i="3"/>
  <c r="G771" i="3"/>
  <c r="H771" i="3"/>
  <c r="I771" i="3" s="1"/>
  <c r="J771" i="3" s="1"/>
  <c r="L771" i="3" s="1" a="1"/>
  <c r="L771" i="3" s="1"/>
  <c r="G1899" i="3"/>
  <c r="H1778" i="3"/>
  <c r="I1778" i="3" s="1"/>
  <c r="J1778" i="3" s="1"/>
  <c r="L1778" i="3" s="1" a="1"/>
  <c r="L1778" i="3" s="1"/>
  <c r="G1778" i="3"/>
  <c r="G1249" i="3"/>
  <c r="G952" i="3"/>
  <c r="H952" i="3"/>
  <c r="I952" i="3" s="1"/>
  <c r="J952" i="3" s="1"/>
  <c r="L952" i="3" s="1" a="1"/>
  <c r="L952" i="3" s="1"/>
  <c r="G928" i="3"/>
  <c r="H928" i="3"/>
  <c r="I928" i="3" s="1"/>
  <c r="J928" i="3" s="1"/>
  <c r="L928" i="3" s="1" a="1"/>
  <c r="L928" i="3" s="1"/>
  <c r="G824" i="3"/>
  <c r="H824" i="3"/>
  <c r="I824" i="3" s="1"/>
  <c r="J824" i="3" s="1"/>
  <c r="L824" i="3" s="1" a="1"/>
  <c r="L824" i="3" s="1"/>
  <c r="G770" i="3"/>
  <c r="H770" i="3"/>
  <c r="I770" i="3" s="1"/>
  <c r="J770" i="3" s="1"/>
  <c r="L770" i="3" s="1" a="1"/>
  <c r="L770" i="3" s="1"/>
  <c r="G1408" i="3"/>
  <c r="H1408" i="3"/>
  <c r="I1408" i="3" s="1"/>
  <c r="J1408" i="3" s="1"/>
  <c r="L1408" i="3" s="1" a="1"/>
  <c r="L1408" i="3" s="1"/>
  <c r="G1104" i="3"/>
  <c r="H1104" i="3"/>
  <c r="I1104" i="3" s="1"/>
  <c r="J1104" i="3" s="1"/>
  <c r="L1104" i="3" s="1" a="1"/>
  <c r="L1104" i="3" s="1"/>
  <c r="H278" i="3"/>
  <c r="I278" i="3" s="1"/>
  <c r="J278" i="3" s="1"/>
  <c r="L278" i="3" s="1" a="1"/>
  <c r="L278" i="3" s="1"/>
  <c r="G278" i="3"/>
  <c r="H1464" i="3"/>
  <c r="I1464" i="3" s="1"/>
  <c r="J1464" i="3" s="1"/>
  <c r="L1464" i="3" s="1" a="1"/>
  <c r="L1464" i="3" s="1"/>
  <c r="H1386" i="3"/>
  <c r="I1386" i="3" s="1"/>
  <c r="J1386" i="3" s="1"/>
  <c r="L1386" i="3" s="1" a="1"/>
  <c r="L1386" i="3" s="1"/>
  <c r="G1269" i="3"/>
  <c r="H1187" i="3"/>
  <c r="I1187" i="3" s="1"/>
  <c r="J1187" i="3" s="1"/>
  <c r="L1187" i="3" s="1" a="1"/>
  <c r="L1187" i="3" s="1"/>
  <c r="G1042" i="3"/>
  <c r="H1042" i="3"/>
  <c r="I1042" i="3" s="1"/>
  <c r="J1042" i="3" s="1"/>
  <c r="L1042" i="3" s="1" a="1"/>
  <c r="L1042" i="3" s="1"/>
  <c r="G535" i="3"/>
  <c r="H535" i="3"/>
  <c r="I535" i="3" s="1"/>
  <c r="J535" i="3" s="1"/>
  <c r="L535" i="3" s="1" a="1"/>
  <c r="L535" i="3" s="1"/>
  <c r="G1103" i="3"/>
  <c r="H1103" i="3"/>
  <c r="I1103" i="3" s="1"/>
  <c r="J1103" i="3" s="1"/>
  <c r="L1103" i="3" s="1" a="1"/>
  <c r="L1103" i="3" s="1"/>
  <c r="H950" i="3"/>
  <c r="I950" i="3" s="1"/>
  <c r="J950" i="3" s="1"/>
  <c r="L950" i="3" s="1" a="1"/>
  <c r="L950" i="3" s="1"/>
  <c r="H1287" i="3"/>
  <c r="I1287" i="3" s="1"/>
  <c r="J1287" i="3" s="1"/>
  <c r="L1287" i="3" s="1" a="1"/>
  <c r="L1287" i="3" s="1"/>
  <c r="G1061" i="3"/>
  <c r="H1061" i="3"/>
  <c r="I1061" i="3" s="1"/>
  <c r="J1061" i="3" s="1"/>
  <c r="L1061" i="3" s="1" a="1"/>
  <c r="L1061" i="3" s="1"/>
  <c r="G768" i="3"/>
  <c r="H533" i="3"/>
  <c r="I533" i="3" s="1"/>
  <c r="J533" i="3" s="1"/>
  <c r="L533" i="3" s="1" a="1"/>
  <c r="L533" i="3" s="1"/>
  <c r="G533" i="3"/>
  <c r="G1793" i="3"/>
  <c r="H1793" i="3"/>
  <c r="I1793" i="3" s="1"/>
  <c r="J1793" i="3" s="1"/>
  <c r="L1793" i="3" s="1" a="1"/>
  <c r="L1793" i="3" s="1"/>
  <c r="H1102" i="3"/>
  <c r="I1102" i="3" s="1"/>
  <c r="J1102" i="3" s="1"/>
  <c r="L1102" i="3" s="1" a="1"/>
  <c r="L1102" i="3" s="1"/>
  <c r="H1020" i="3"/>
  <c r="I1020" i="3" s="1"/>
  <c r="J1020" i="3" s="1"/>
  <c r="L1020" i="3" s="1" a="1"/>
  <c r="L1020" i="3" s="1"/>
  <c r="H821" i="3"/>
  <c r="I821" i="3" s="1"/>
  <c r="J821" i="3" s="1"/>
  <c r="L821" i="3" s="1" a="1"/>
  <c r="L821" i="3" s="1"/>
  <c r="H874" i="3"/>
  <c r="I874" i="3" s="1"/>
  <c r="J874" i="3" s="1"/>
  <c r="L874" i="3" s="1" a="1"/>
  <c r="L874" i="3" s="1"/>
  <c r="G874" i="3"/>
  <c r="H1426" i="3"/>
  <c r="I1426" i="3" s="1"/>
  <c r="J1426" i="3" s="1"/>
  <c r="L1426" i="3" s="1" a="1"/>
  <c r="L1426" i="3" s="1"/>
  <c r="G1426" i="3"/>
  <c r="H1366" i="3"/>
  <c r="I1366" i="3" s="1"/>
  <c r="J1366" i="3" s="1"/>
  <c r="L1366" i="3" s="1" a="1"/>
  <c r="L1366" i="3" s="1"/>
  <c r="H1326" i="3"/>
  <c r="I1326" i="3" s="1"/>
  <c r="J1326" i="3" s="1"/>
  <c r="L1326" i="3" s="1" a="1"/>
  <c r="L1326" i="3" s="1"/>
  <c r="H1481" i="3"/>
  <c r="I1481" i="3" s="1"/>
  <c r="J1481" i="3" s="1"/>
  <c r="L1481" i="3" s="1" a="1"/>
  <c r="L1481" i="3" s="1"/>
  <c r="G1425" i="3"/>
  <c r="G1286" i="3"/>
  <c r="H1101" i="3"/>
  <c r="I1101" i="3" s="1"/>
  <c r="J1101" i="3" s="1"/>
  <c r="L1101" i="3" s="1" a="1"/>
  <c r="L1101" i="3" s="1"/>
  <c r="H820" i="3"/>
  <c r="I820" i="3" s="1"/>
  <c r="J820" i="3" s="1"/>
  <c r="L820" i="3" s="1" a="1"/>
  <c r="L820" i="3" s="1"/>
  <c r="H1205" i="3"/>
  <c r="I1205" i="3" s="1"/>
  <c r="J1205" i="3" s="1"/>
  <c r="L1205" i="3" s="1" a="1"/>
  <c r="L1205" i="3" s="1"/>
  <c r="G1205" i="3"/>
  <c r="H1185" i="3"/>
  <c r="I1185" i="3" s="1"/>
  <c r="J1185" i="3" s="1"/>
  <c r="L1185" i="3" s="1" a="1"/>
  <c r="L1185" i="3" s="1"/>
  <c r="G899" i="3"/>
  <c r="H899" i="3"/>
  <c r="I899" i="3" s="1"/>
  <c r="J899" i="3" s="1"/>
  <c r="L899" i="3" s="1" a="1"/>
  <c r="L899" i="3" s="1"/>
  <c r="G639" i="3"/>
  <c r="H639" i="3"/>
  <c r="I639" i="3" s="1"/>
  <c r="J639" i="3" s="1"/>
  <c r="L639" i="3" s="1" a="1"/>
  <c r="L639" i="3" s="1"/>
  <c r="H567" i="3"/>
  <c r="I567" i="3" s="1"/>
  <c r="J567" i="3" s="1"/>
  <c r="L567" i="3" s="1" a="1"/>
  <c r="L567" i="3" s="1"/>
  <c r="H1862" i="3"/>
  <c r="I1862" i="3" s="1"/>
  <c r="J1862" i="3" s="1"/>
  <c r="L1862" i="3" s="1" a="1"/>
  <c r="L1862" i="3" s="1"/>
  <c r="G1862" i="3"/>
  <c r="G1144" i="3"/>
  <c r="G766" i="3"/>
  <c r="G971" i="3"/>
  <c r="H971" i="3"/>
  <c r="I971" i="3" s="1"/>
  <c r="J971" i="3" s="1"/>
  <c r="L971" i="3" s="1" a="1"/>
  <c r="L971" i="3" s="1"/>
  <c r="G1880" i="3"/>
  <c r="H1880" i="3"/>
  <c r="I1880" i="3" s="1"/>
  <c r="J1880" i="3" s="1"/>
  <c r="L1880" i="3" s="1" a="1"/>
  <c r="L1880" i="3" s="1"/>
  <c r="H1443" i="3"/>
  <c r="I1443" i="3" s="1"/>
  <c r="J1443" i="3" s="1"/>
  <c r="L1443" i="3" s="1" a="1"/>
  <c r="L1443" i="3" s="1"/>
  <c r="H1267" i="3"/>
  <c r="I1267" i="3" s="1"/>
  <c r="J1267" i="3" s="1"/>
  <c r="L1267" i="3" s="1" a="1"/>
  <c r="L1267" i="3" s="1"/>
  <c r="G1243" i="3"/>
  <c r="G1018" i="3"/>
  <c r="H996" i="3"/>
  <c r="I996" i="3" s="1"/>
  <c r="J996" i="3" s="1"/>
  <c r="L996" i="3" s="1" a="1"/>
  <c r="L996" i="3" s="1"/>
  <c r="H924" i="3"/>
  <c r="I924" i="3" s="1"/>
  <c r="J924" i="3" s="1"/>
  <c r="L924" i="3" s="1" a="1"/>
  <c r="L924" i="3" s="1"/>
  <c r="G924" i="3"/>
  <c r="H637" i="3"/>
  <c r="I637" i="3" s="1"/>
  <c r="J637" i="3" s="1"/>
  <c r="L637" i="3" s="1" a="1"/>
  <c r="L637" i="3" s="1"/>
  <c r="G970" i="3"/>
  <c r="G1498" i="3"/>
  <c r="H1479" i="3"/>
  <c r="I1479" i="3" s="1"/>
  <c r="J1479" i="3" s="1"/>
  <c r="L1479" i="3" s="1" a="1"/>
  <c r="L1479" i="3" s="1"/>
  <c r="G1423" i="3"/>
  <c r="H1304" i="3"/>
  <c r="I1304" i="3" s="1"/>
  <c r="J1304" i="3" s="1"/>
  <c r="L1304" i="3" s="1" a="1"/>
  <c r="L1304" i="3" s="1"/>
  <c r="G1223" i="3"/>
  <c r="H1223" i="3"/>
  <c r="I1223" i="3" s="1"/>
  <c r="J1223" i="3" s="1"/>
  <c r="L1223" i="3" s="1" a="1"/>
  <c r="L1223" i="3" s="1"/>
  <c r="H1058" i="3"/>
  <c r="I1058" i="3" s="1"/>
  <c r="J1058" i="3" s="1"/>
  <c r="L1058" i="3" s="1" a="1"/>
  <c r="L1058" i="3" s="1"/>
  <c r="H1017" i="3"/>
  <c r="I1017" i="3" s="1"/>
  <c r="J1017" i="3" s="1"/>
  <c r="L1017" i="3" s="1" a="1"/>
  <c r="L1017" i="3" s="1"/>
  <c r="G1017" i="3"/>
  <c r="H1460" i="3"/>
  <c r="I1460" i="3" s="1"/>
  <c r="J1460" i="3" s="1"/>
  <c r="L1460" i="3" s="1" a="1"/>
  <c r="L1460" i="3" s="1"/>
  <c r="G1460" i="3"/>
  <c r="H1142" i="3"/>
  <c r="I1142" i="3" s="1"/>
  <c r="J1142" i="3" s="1"/>
  <c r="L1142" i="3" s="1" a="1"/>
  <c r="L1142" i="3" s="1"/>
  <c r="H817" i="3"/>
  <c r="I817" i="3" s="1"/>
  <c r="J817" i="3" s="1"/>
  <c r="L817" i="3" s="1" a="1"/>
  <c r="L817" i="3" s="1"/>
  <c r="G735" i="3"/>
  <c r="H735" i="3"/>
  <c r="I735" i="3" s="1"/>
  <c r="J735" i="3" s="1"/>
  <c r="L735" i="3" s="1" a="1"/>
  <c r="L735" i="3" s="1"/>
  <c r="G441" i="3"/>
  <c r="H441" i="3"/>
  <c r="I441" i="3" s="1"/>
  <c r="J441" i="3" s="1"/>
  <c r="L441" i="3" s="1" a="1"/>
  <c r="L441" i="3" s="1"/>
  <c r="H1978" i="3"/>
  <c r="I1978" i="3" s="1"/>
  <c r="J1978" i="3" s="1"/>
  <c r="L1978" i="3" s="1" a="1"/>
  <c r="L1978" i="3" s="1"/>
  <c r="H1790" i="3"/>
  <c r="I1790" i="3" s="1"/>
  <c r="J1790" i="3" s="1"/>
  <c r="L1790" i="3" s="1" a="1"/>
  <c r="L1790" i="3" s="1"/>
  <c r="H1773" i="3"/>
  <c r="I1773" i="3" s="1"/>
  <c r="J1773" i="3" s="1"/>
  <c r="L1773" i="3" s="1" a="1"/>
  <c r="L1773" i="3" s="1"/>
  <c r="H1242" i="3"/>
  <c r="I1242" i="3" s="1"/>
  <c r="J1242" i="3" s="1"/>
  <c r="L1242" i="3" s="1" a="1"/>
  <c r="L1242" i="3" s="1"/>
  <c r="G1242" i="3"/>
  <c r="G1555" i="3"/>
  <c r="G1118" i="3"/>
  <c r="G634" i="3"/>
  <c r="H634" i="3"/>
  <c r="I634" i="3" s="1"/>
  <c r="J634" i="3" s="1"/>
  <c r="L634" i="3" s="1" a="1"/>
  <c r="L634" i="3" s="1"/>
  <c r="G1478" i="3"/>
  <c r="H1478" i="3"/>
  <c r="I1478" i="3" s="1"/>
  <c r="J1478" i="3" s="1"/>
  <c r="L1478" i="3" s="1" a="1"/>
  <c r="L1478" i="3" s="1"/>
  <c r="H1402" i="3"/>
  <c r="I1402" i="3" s="1"/>
  <c r="J1402" i="3" s="1"/>
  <c r="L1402" i="3" s="1" a="1"/>
  <c r="L1402" i="3" s="1"/>
  <c r="H1381" i="3"/>
  <c r="I1381" i="3" s="1"/>
  <c r="J1381" i="3" s="1"/>
  <c r="L1381" i="3" s="1" a="1"/>
  <c r="L1381" i="3" s="1"/>
  <c r="H1241" i="3"/>
  <c r="I1241" i="3" s="1"/>
  <c r="J1241" i="3" s="1"/>
  <c r="L1241" i="3" s="1" a="1"/>
  <c r="L1241" i="3" s="1"/>
  <c r="G1241" i="3"/>
  <c r="G439" i="3"/>
  <c r="H439" i="3"/>
  <c r="I439" i="3" s="1"/>
  <c r="J439" i="3" s="1"/>
  <c r="L439" i="3" s="1" a="1"/>
  <c r="L439" i="3" s="1"/>
  <c r="G1842" i="3"/>
  <c r="H1534" i="3"/>
  <c r="I1534" i="3" s="1"/>
  <c r="J1534" i="3" s="1"/>
  <c r="L1534" i="3" s="1" a="1"/>
  <c r="L1534" i="3" s="1"/>
  <c r="G1362" i="3"/>
  <c r="H1343" i="3"/>
  <c r="I1343" i="3" s="1"/>
  <c r="J1343" i="3" s="1"/>
  <c r="L1343" i="3" s="1" a="1"/>
  <c r="L1343" i="3" s="1"/>
  <c r="H1322" i="3"/>
  <c r="I1322" i="3" s="1"/>
  <c r="J1322" i="3" s="1"/>
  <c r="L1322" i="3" s="1" a="1"/>
  <c r="L1322" i="3" s="1"/>
  <c r="G1303" i="3"/>
  <c r="H1182" i="3"/>
  <c r="I1182" i="3" s="1"/>
  <c r="J1182" i="3" s="1"/>
  <c r="L1182" i="3" s="1" a="1"/>
  <c r="L1182" i="3" s="1"/>
  <c r="G1014" i="3"/>
  <c r="G993" i="3"/>
  <c r="H993" i="3"/>
  <c r="I993" i="3" s="1"/>
  <c r="J993" i="3" s="1"/>
  <c r="L993" i="3" s="1" a="1"/>
  <c r="L993" i="3" s="1"/>
  <c r="H945" i="3"/>
  <c r="I945" i="3" s="1"/>
  <c r="J945" i="3" s="1"/>
  <c r="L945" i="3" s="1" a="1"/>
  <c r="L945" i="3" s="1"/>
  <c r="G732" i="3"/>
  <c r="H732" i="3"/>
  <c r="I732" i="3" s="1"/>
  <c r="J732" i="3" s="1"/>
  <c r="L732" i="3" s="1" a="1"/>
  <c r="L732" i="3" s="1"/>
  <c r="G438" i="3"/>
  <c r="H438" i="3"/>
  <c r="I438" i="3" s="1"/>
  <c r="J438" i="3" s="1"/>
  <c r="L438" i="3" s="1" a="1"/>
  <c r="L438" i="3" s="1"/>
  <c r="G392" i="3"/>
  <c r="H392" i="3"/>
  <c r="I392" i="3" s="1"/>
  <c r="J392" i="3" s="1"/>
  <c r="L392" i="3" s="1" a="1"/>
  <c r="L392" i="3" s="1"/>
  <c r="G1117" i="3"/>
  <c r="G1097" i="3"/>
  <c r="H1097" i="3"/>
  <c r="I1097" i="3" s="1"/>
  <c r="J1097" i="3" s="1"/>
  <c r="L1097" i="3" s="1" a="1"/>
  <c r="L1097" i="3" s="1"/>
  <c r="G790" i="3"/>
  <c r="H790" i="3"/>
  <c r="I790" i="3" s="1"/>
  <c r="J790" i="3" s="1"/>
  <c r="L790" i="3" s="1" a="1"/>
  <c r="L790" i="3" s="1"/>
  <c r="H1096" i="3"/>
  <c r="I1096" i="3" s="1"/>
  <c r="J1096" i="3" s="1"/>
  <c r="L1096" i="3" s="1" a="1"/>
  <c r="L1096" i="3" s="1"/>
  <c r="G1075" i="3"/>
  <c r="H1075" i="3"/>
  <c r="I1075" i="3" s="1"/>
  <c r="J1075" i="3" s="1"/>
  <c r="L1075" i="3" s="1" a="1"/>
  <c r="L1075" i="3" s="1"/>
  <c r="H967" i="3"/>
  <c r="I967" i="3" s="1"/>
  <c r="J967" i="3" s="1"/>
  <c r="L967" i="3" s="1" a="1"/>
  <c r="L967" i="3" s="1"/>
  <c r="G815" i="3"/>
  <c r="G699" i="3"/>
  <c r="H699" i="3"/>
  <c r="I699" i="3" s="1"/>
  <c r="J699" i="3" s="1"/>
  <c r="L699" i="3" s="1" a="1"/>
  <c r="L699" i="3" s="1"/>
  <c r="H1513" i="3"/>
  <c r="I1513" i="3" s="1"/>
  <c r="J1513" i="3" s="1"/>
  <c r="L1513" i="3" s="1" a="1"/>
  <c r="L1513" i="3" s="1"/>
  <c r="G1380" i="3"/>
  <c r="G867" i="3"/>
  <c r="H867" i="3"/>
  <c r="I867" i="3" s="1"/>
  <c r="J867" i="3" s="1"/>
  <c r="L867" i="3" s="1" a="1"/>
  <c r="L867" i="3" s="1"/>
  <c r="G841" i="3"/>
  <c r="H841" i="3"/>
  <c r="I841" i="3" s="1"/>
  <c r="J841" i="3" s="1"/>
  <c r="L841" i="3" s="1" a="1"/>
  <c r="L841" i="3" s="1"/>
  <c r="G760" i="3"/>
  <c r="H760" i="3"/>
  <c r="I760" i="3" s="1"/>
  <c r="J760" i="3" s="1"/>
  <c r="L760" i="3" s="1" a="1"/>
  <c r="L760" i="3" s="1"/>
  <c r="G840" i="3"/>
  <c r="H840" i="3"/>
  <c r="I840" i="3" s="1"/>
  <c r="J840" i="3" s="1"/>
  <c r="L840" i="3" s="1" a="1"/>
  <c r="L840" i="3" s="1"/>
  <c r="G304" i="3"/>
  <c r="H304" i="3"/>
  <c r="I304" i="3" s="1"/>
  <c r="J304" i="3" s="1"/>
  <c r="L304" i="3" s="1" a="1"/>
  <c r="L304" i="3" s="1"/>
  <c r="H1239" i="3"/>
  <c r="I1239" i="3" s="1"/>
  <c r="J1239" i="3" s="1"/>
  <c r="L1239" i="3" s="1" a="1"/>
  <c r="L1239" i="3" s="1"/>
  <c r="H1095" i="3"/>
  <c r="I1095" i="3" s="1"/>
  <c r="J1095" i="3" s="1"/>
  <c r="L1095" i="3" s="1" a="1"/>
  <c r="L1095" i="3" s="1"/>
  <c r="H1074" i="3"/>
  <c r="I1074" i="3" s="1"/>
  <c r="J1074" i="3" s="1"/>
  <c r="L1074" i="3" s="1" a="1"/>
  <c r="L1074" i="3" s="1"/>
  <c r="H866" i="3"/>
  <c r="I866" i="3" s="1"/>
  <c r="J866" i="3" s="1"/>
  <c r="L866" i="3" s="1" a="1"/>
  <c r="L866" i="3" s="1"/>
  <c r="G814" i="3"/>
  <c r="H814" i="3"/>
  <c r="I814" i="3" s="1"/>
  <c r="J814" i="3" s="1"/>
  <c r="L814" i="3" s="1" a="1"/>
  <c r="L814" i="3" s="1"/>
  <c r="H786" i="3"/>
  <c r="I786" i="3" s="1"/>
  <c r="J786" i="3" s="1"/>
  <c r="L786" i="3" s="1" a="1"/>
  <c r="L786" i="3" s="1"/>
  <c r="G786" i="3"/>
  <c r="H433" i="3"/>
  <c r="I433" i="3" s="1"/>
  <c r="J433" i="3" s="1"/>
  <c r="L433" i="3" s="1" a="1"/>
  <c r="L433" i="3" s="1"/>
  <c r="G433" i="3"/>
  <c r="G1553" i="3"/>
  <c r="G1379" i="3"/>
  <c r="H990" i="3"/>
  <c r="I990" i="3" s="1"/>
  <c r="J990" i="3" s="1"/>
  <c r="L990" i="3" s="1" a="1"/>
  <c r="L990" i="3" s="1"/>
  <c r="G892" i="3"/>
  <c r="G1199" i="3"/>
  <c r="H1179" i="3"/>
  <c r="I1179" i="3" s="1"/>
  <c r="J1179" i="3" s="1"/>
  <c r="L1179" i="3" s="1" a="1"/>
  <c r="L1179" i="3" s="1"/>
  <c r="H1162" i="3"/>
  <c r="I1162" i="3" s="1"/>
  <c r="J1162" i="3" s="1"/>
  <c r="L1162" i="3" s="1" a="1"/>
  <c r="L1162" i="3" s="1"/>
  <c r="G1012" i="3"/>
  <c r="H1012" i="3"/>
  <c r="I1012" i="3" s="1"/>
  <c r="J1012" i="3" s="1"/>
  <c r="L1012" i="3" s="1" a="1"/>
  <c r="L1012" i="3" s="1"/>
  <c r="H918" i="3"/>
  <c r="I918" i="3" s="1"/>
  <c r="J918" i="3" s="1"/>
  <c r="L918" i="3" s="1" a="1"/>
  <c r="L918" i="3" s="1"/>
  <c r="G918" i="3"/>
  <c r="G758" i="3"/>
  <c r="H758" i="3"/>
  <c r="I758" i="3" s="1"/>
  <c r="J758" i="3" s="1"/>
  <c r="L758" i="3" s="1" a="1"/>
  <c r="L758" i="3" s="1"/>
  <c r="H629" i="3"/>
  <c r="I629" i="3" s="1"/>
  <c r="J629" i="3" s="1"/>
  <c r="L629" i="3" s="1" a="1"/>
  <c r="L629" i="3" s="1"/>
  <c r="G629" i="3"/>
  <c r="H478" i="3"/>
  <c r="I478" i="3" s="1"/>
  <c r="J478" i="3" s="1"/>
  <c r="L478" i="3" s="1" a="1"/>
  <c r="L478" i="3" s="1"/>
  <c r="G478" i="3"/>
  <c r="H1055" i="3"/>
  <c r="I1055" i="3" s="1"/>
  <c r="J1055" i="3" s="1"/>
  <c r="L1055" i="3" s="1" a="1"/>
  <c r="L1055" i="3" s="1"/>
  <c r="G1280" i="3"/>
  <c r="H1259" i="3"/>
  <c r="I1259" i="3" s="1"/>
  <c r="J1259" i="3" s="1"/>
  <c r="L1259" i="3" s="1" a="1"/>
  <c r="L1259" i="3" s="1"/>
  <c r="G1161" i="3"/>
  <c r="G1136" i="3"/>
  <c r="G1115" i="3"/>
  <c r="H1115" i="3"/>
  <c r="I1115" i="3" s="1"/>
  <c r="J1115" i="3" s="1"/>
  <c r="L1115" i="3" s="1" a="1"/>
  <c r="L1115" i="3" s="1"/>
  <c r="G1011" i="3"/>
  <c r="H838" i="3"/>
  <c r="I838" i="3" s="1"/>
  <c r="J838" i="3" s="1"/>
  <c r="L838" i="3" s="1" a="1"/>
  <c r="L838" i="3" s="1"/>
  <c r="G916" i="3"/>
  <c r="H916" i="3"/>
  <c r="I916" i="3" s="1"/>
  <c r="J916" i="3" s="1"/>
  <c r="L916" i="3" s="1" a="1"/>
  <c r="L916" i="3" s="1"/>
  <c r="H1734" i="3"/>
  <c r="I1734" i="3" s="1"/>
  <c r="J1734" i="3" s="1"/>
  <c r="L1734" i="3" s="1" a="1"/>
  <c r="L1734" i="3" s="1"/>
  <c r="H1551" i="3"/>
  <c r="I1551" i="3" s="1"/>
  <c r="J1551" i="3" s="1"/>
  <c r="L1551" i="3" s="1" a="1"/>
  <c r="L1551" i="3" s="1"/>
  <c r="G1551" i="3"/>
  <c r="H1438" i="3"/>
  <c r="I1438" i="3" s="1"/>
  <c r="J1438" i="3" s="1"/>
  <c r="L1438" i="3" s="1" a="1"/>
  <c r="L1438" i="3" s="1"/>
  <c r="H1378" i="3"/>
  <c r="I1378" i="3" s="1"/>
  <c r="J1378" i="3" s="1"/>
  <c r="L1378" i="3" s="1" a="1"/>
  <c r="L1378" i="3" s="1"/>
  <c r="H1340" i="3"/>
  <c r="I1340" i="3" s="1"/>
  <c r="J1340" i="3" s="1"/>
  <c r="L1340" i="3" s="1" a="1"/>
  <c r="L1340" i="3" s="1"/>
  <c r="H1299" i="3"/>
  <c r="I1299" i="3" s="1"/>
  <c r="J1299" i="3" s="1"/>
  <c r="L1299" i="3" s="1" a="1"/>
  <c r="L1299" i="3" s="1"/>
  <c r="H1178" i="3"/>
  <c r="I1178" i="3" s="1"/>
  <c r="J1178" i="3" s="1"/>
  <c r="L1178" i="3" s="1" a="1"/>
  <c r="L1178" i="3" s="1"/>
  <c r="H1093" i="3"/>
  <c r="I1093" i="3" s="1"/>
  <c r="J1093" i="3" s="1"/>
  <c r="L1093" i="3" s="1" a="1"/>
  <c r="L1093" i="3" s="1"/>
  <c r="G1033" i="3"/>
  <c r="G942" i="3"/>
  <c r="G1160" i="3"/>
  <c r="H1160" i="3"/>
  <c r="I1160" i="3" s="1"/>
  <c r="J1160" i="3" s="1"/>
  <c r="L1160" i="3" s="1" a="1"/>
  <c r="L1160" i="3" s="1"/>
  <c r="H1054" i="3"/>
  <c r="I1054" i="3" s="1"/>
  <c r="J1054" i="3" s="1"/>
  <c r="L1054" i="3" s="1" a="1"/>
  <c r="L1054" i="3" s="1"/>
  <c r="G1010" i="3"/>
  <c r="H1010" i="3"/>
  <c r="I1010" i="3" s="1"/>
  <c r="J1010" i="3" s="1"/>
  <c r="L1010" i="3" s="1" a="1"/>
  <c r="L1010" i="3" s="1"/>
  <c r="G964" i="3"/>
  <c r="H964" i="3"/>
  <c r="I964" i="3" s="1"/>
  <c r="J964" i="3" s="1"/>
  <c r="L964" i="3" s="1" a="1"/>
  <c r="L964" i="3" s="1"/>
  <c r="G837" i="3"/>
  <c r="H837" i="3"/>
  <c r="I837" i="3" s="1"/>
  <c r="J837" i="3" s="1"/>
  <c r="L837" i="3" s="1" a="1"/>
  <c r="L837" i="3" s="1"/>
  <c r="H756" i="3"/>
  <c r="I756" i="3" s="1"/>
  <c r="J756" i="3" s="1"/>
  <c r="L756" i="3" s="1" a="1"/>
  <c r="L756" i="3" s="1"/>
  <c r="G755" i="3"/>
  <c r="H755" i="3"/>
  <c r="I755" i="3" s="1"/>
  <c r="J755" i="3" s="1"/>
  <c r="L755" i="3" s="1" a="1"/>
  <c r="L755" i="3" s="1"/>
  <c r="H1752" i="3"/>
  <c r="I1752" i="3" s="1"/>
  <c r="J1752" i="3" s="1"/>
  <c r="L1752" i="3" s="1" a="1"/>
  <c r="L1752" i="3" s="1"/>
  <c r="H1638" i="3"/>
  <c r="I1638" i="3" s="1"/>
  <c r="J1638" i="3" s="1"/>
  <c r="L1638" i="3" s="1" a="1"/>
  <c r="L1638" i="3" s="1"/>
  <c r="H1603" i="3"/>
  <c r="I1603" i="3" s="1"/>
  <c r="J1603" i="3" s="1"/>
  <c r="L1603" i="3" s="1" a="1"/>
  <c r="L1603" i="3" s="1"/>
  <c r="H1474" i="3"/>
  <c r="I1474" i="3" s="1"/>
  <c r="J1474" i="3" s="1"/>
  <c r="L1474" i="3" s="1" a="1"/>
  <c r="L1474" i="3" s="1"/>
  <c r="H1455" i="3"/>
  <c r="I1455" i="3" s="1"/>
  <c r="J1455" i="3" s="1"/>
  <c r="L1455" i="3" s="1" a="1"/>
  <c r="L1455" i="3" s="1"/>
  <c r="G1785" i="3"/>
  <c r="G1713" i="3"/>
  <c r="G1676" i="3"/>
  <c r="H1676" i="3"/>
  <c r="I1676" i="3" s="1"/>
  <c r="J1676" i="3" s="1"/>
  <c r="L1676" i="3" s="1" a="1"/>
  <c r="L1676" i="3" s="1"/>
  <c r="H1621" i="3"/>
  <c r="I1621" i="3" s="1"/>
  <c r="J1621" i="3" s="1"/>
  <c r="L1621" i="3" s="1" a="1"/>
  <c r="L1621" i="3" s="1"/>
  <c r="H1196" i="3"/>
  <c r="I1196" i="3" s="1"/>
  <c r="J1196" i="3" s="1"/>
  <c r="L1196" i="3" s="1" a="1"/>
  <c r="L1196" i="3" s="1"/>
  <c r="G1134" i="3"/>
  <c r="H1113" i="3"/>
  <c r="I1113" i="3" s="1"/>
  <c r="J1113" i="3" s="1"/>
  <c r="L1113" i="3" s="1" a="1"/>
  <c r="L1113" i="3" s="1"/>
  <c r="H1031" i="3"/>
  <c r="I1031" i="3" s="1"/>
  <c r="J1031" i="3" s="1"/>
  <c r="L1031" i="3" s="1" a="1"/>
  <c r="L1031" i="3" s="1"/>
  <c r="G1031" i="3"/>
  <c r="H963" i="3"/>
  <c r="I963" i="3" s="1"/>
  <c r="J963" i="3" s="1"/>
  <c r="L963" i="3" s="1" a="1"/>
  <c r="L963" i="3" s="1"/>
  <c r="G589" i="3"/>
  <c r="H589" i="3"/>
  <c r="I589" i="3" s="1"/>
  <c r="J589" i="3" s="1"/>
  <c r="L589" i="3" s="1" a="1"/>
  <c r="L589" i="3" s="1"/>
  <c r="H1838" i="3"/>
  <c r="I1838" i="3" s="1"/>
  <c r="J1838" i="3" s="1"/>
  <c r="L1838" i="3" s="1" a="1"/>
  <c r="L1838" i="3" s="1"/>
  <c r="H1657" i="3"/>
  <c r="I1657" i="3" s="1"/>
  <c r="J1657" i="3" s="1"/>
  <c r="L1657" i="3" s="1" a="1"/>
  <c r="L1657" i="3" s="1"/>
  <c r="G1549" i="3"/>
  <c r="G1396" i="3"/>
  <c r="G1297" i="3"/>
  <c r="H1177" i="3"/>
  <c r="I1177" i="3" s="1"/>
  <c r="J1177" i="3" s="1"/>
  <c r="L1177" i="3" s="1" a="1"/>
  <c r="L1177" i="3" s="1"/>
  <c r="G1177" i="3"/>
  <c r="H1009" i="3"/>
  <c r="I1009" i="3" s="1"/>
  <c r="J1009" i="3" s="1"/>
  <c r="L1009" i="3" s="1" a="1"/>
  <c r="L1009" i="3" s="1"/>
  <c r="H470" i="3"/>
  <c r="I470" i="3" s="1"/>
  <c r="J470" i="3" s="1"/>
  <c r="L470" i="3" s="1" a="1"/>
  <c r="L470" i="3" s="1"/>
  <c r="G470" i="3"/>
  <c r="G1157" i="3"/>
  <c r="H1157" i="3"/>
  <c r="I1157" i="3" s="1"/>
  <c r="J1157" i="3" s="1"/>
  <c r="L1157" i="3" s="1" a="1"/>
  <c r="L1157" i="3" s="1"/>
  <c r="G782" i="3"/>
  <c r="H782" i="3"/>
  <c r="I782" i="3" s="1"/>
  <c r="J782" i="3" s="1"/>
  <c r="L782" i="3" s="1" a="1"/>
  <c r="L782" i="3" s="1"/>
  <c r="G690" i="3"/>
  <c r="H690" i="3"/>
  <c r="I690" i="3" s="1"/>
  <c r="J690" i="3" s="1"/>
  <c r="L690" i="3" s="1" a="1"/>
  <c r="L690" i="3" s="1"/>
  <c r="G657" i="3"/>
  <c r="H657" i="3"/>
  <c r="I657" i="3" s="1"/>
  <c r="J657" i="3" s="1"/>
  <c r="L657" i="3" s="1" a="1"/>
  <c r="L657" i="3" s="1"/>
  <c r="H1602" i="3"/>
  <c r="I1602" i="3" s="1"/>
  <c r="J1602" i="3" s="1"/>
  <c r="L1602" i="3" s="1" a="1"/>
  <c r="L1602" i="3" s="1"/>
  <c r="G1602" i="3"/>
  <c r="H1257" i="3"/>
  <c r="I1257" i="3" s="1"/>
  <c r="J1257" i="3" s="1"/>
  <c r="L1257" i="3" s="1" a="1"/>
  <c r="L1257" i="3" s="1"/>
  <c r="H985" i="3"/>
  <c r="I985" i="3" s="1"/>
  <c r="J985" i="3" s="1"/>
  <c r="L985" i="3" s="1" a="1"/>
  <c r="L985" i="3" s="1"/>
  <c r="G587" i="3"/>
  <c r="H587" i="3"/>
  <c r="I587" i="3" s="1"/>
  <c r="J587" i="3" s="1"/>
  <c r="L587" i="3" s="1" a="1"/>
  <c r="L587" i="3" s="1"/>
  <c r="G1296" i="3"/>
  <c r="H1296" i="3"/>
  <c r="I1296" i="3" s="1"/>
  <c r="J1296" i="3" s="1"/>
  <c r="L1296" i="3" s="1" a="1"/>
  <c r="L1296" i="3" s="1"/>
  <c r="G1156" i="3"/>
  <c r="H939" i="3"/>
  <c r="I939" i="3" s="1"/>
  <c r="J939" i="3" s="1"/>
  <c r="L939" i="3" s="1" a="1"/>
  <c r="L939" i="3" s="1"/>
  <c r="G833" i="3"/>
  <c r="H833" i="3"/>
  <c r="I833" i="3" s="1"/>
  <c r="J833" i="3" s="1"/>
  <c r="L833" i="3" s="1" a="1"/>
  <c r="L833" i="3" s="1"/>
  <c r="G423" i="3"/>
  <c r="H423" i="3"/>
  <c r="I423" i="3" s="1"/>
  <c r="J423" i="3" s="1"/>
  <c r="L423" i="3" s="1" a="1"/>
  <c r="L423" i="3" s="1"/>
  <c r="G1008" i="3"/>
  <c r="H1008" i="3"/>
  <c r="I1008" i="3" s="1"/>
  <c r="J1008" i="3" s="1"/>
  <c r="L1008" i="3" s="1" a="1"/>
  <c r="L1008" i="3" s="1"/>
  <c r="H860" i="3"/>
  <c r="I860" i="3" s="1"/>
  <c r="J860" i="3" s="1"/>
  <c r="L860" i="3" s="1" a="1"/>
  <c r="L860" i="3" s="1"/>
  <c r="G860" i="3"/>
  <c r="G115" i="3"/>
  <c r="H115" i="3"/>
  <c r="I115" i="3" s="1"/>
  <c r="J115" i="3" s="1"/>
  <c r="L115" i="3" s="1" a="1"/>
  <c r="L115" i="3" s="1"/>
  <c r="G1730" i="3"/>
  <c r="H1583" i="3"/>
  <c r="I1583" i="3" s="1"/>
  <c r="J1583" i="3" s="1"/>
  <c r="L1583" i="3" s="1" a="1"/>
  <c r="L1583" i="3" s="1"/>
  <c r="H1527" i="3"/>
  <c r="I1527" i="3" s="1"/>
  <c r="J1527" i="3" s="1"/>
  <c r="L1527" i="3" s="1" a="1"/>
  <c r="L1527" i="3" s="1"/>
  <c r="G1507" i="3"/>
  <c r="H1453" i="3"/>
  <c r="I1453" i="3" s="1"/>
  <c r="J1453" i="3" s="1"/>
  <c r="L1453" i="3" s="1" a="1"/>
  <c r="L1453" i="3" s="1"/>
  <c r="H1355" i="3"/>
  <c r="I1355" i="3" s="1"/>
  <c r="J1355" i="3" s="1"/>
  <c r="L1355" i="3" s="1" a="1"/>
  <c r="L1355" i="3" s="1"/>
  <c r="H1276" i="3"/>
  <c r="I1276" i="3" s="1"/>
  <c r="J1276" i="3" s="1"/>
  <c r="L1276" i="3" s="1" a="1"/>
  <c r="L1276" i="3" s="1"/>
  <c r="G1214" i="3"/>
  <c r="H1130" i="3"/>
  <c r="I1130" i="3" s="1"/>
  <c r="J1130" i="3" s="1"/>
  <c r="L1130" i="3" s="1" a="1"/>
  <c r="L1130" i="3" s="1"/>
  <c r="H1111" i="3"/>
  <c r="I1111" i="3" s="1"/>
  <c r="J1111" i="3" s="1"/>
  <c r="L1111" i="3" s="1" a="1"/>
  <c r="L1111" i="3" s="1"/>
  <c r="H1051" i="3"/>
  <c r="I1051" i="3" s="1"/>
  <c r="J1051" i="3" s="1"/>
  <c r="L1051" i="3" s="1" a="1"/>
  <c r="L1051" i="3" s="1"/>
  <c r="G1051" i="3"/>
  <c r="G984" i="3"/>
  <c r="H984" i="3"/>
  <c r="I984" i="3" s="1"/>
  <c r="J984" i="3" s="1"/>
  <c r="L984" i="3" s="1" a="1"/>
  <c r="L984" i="3" s="1"/>
  <c r="G938" i="3"/>
  <c r="H938" i="3"/>
  <c r="I938" i="3" s="1"/>
  <c r="J938" i="3" s="1"/>
  <c r="L938" i="3" s="1" a="1"/>
  <c r="L938" i="3" s="1"/>
  <c r="G547" i="3"/>
  <c r="H1546" i="3"/>
  <c r="I1546" i="3" s="1"/>
  <c r="J1546" i="3" s="1"/>
  <c r="L1546" i="3" s="1" a="1"/>
  <c r="L1546" i="3" s="1"/>
  <c r="G1414" i="3"/>
  <c r="G1374" i="3"/>
  <c r="G911" i="3"/>
  <c r="H858" i="3"/>
  <c r="I858" i="3" s="1"/>
  <c r="J858" i="3" s="1"/>
  <c r="L858" i="3" s="1" a="1"/>
  <c r="L858" i="3" s="1"/>
  <c r="G1393" i="3"/>
  <c r="H1255" i="3"/>
  <c r="I1255" i="3" s="1"/>
  <c r="J1255" i="3" s="1"/>
  <c r="L1255" i="3" s="1" a="1"/>
  <c r="L1255" i="3" s="1"/>
  <c r="G249" i="3"/>
  <c r="H249" i="3"/>
  <c r="I249" i="3" s="1"/>
  <c r="J249" i="3" s="1"/>
  <c r="L249" i="3" s="1" a="1"/>
  <c r="L249" i="3" s="1"/>
  <c r="H1313" i="3"/>
  <c r="I1313" i="3" s="1"/>
  <c r="J1313" i="3" s="1"/>
  <c r="L1313" i="3" s="1" a="1"/>
  <c r="L1313" i="3" s="1"/>
  <c r="G1313" i="3"/>
  <c r="G653" i="3"/>
  <c r="H653" i="3"/>
  <c r="I653" i="3" s="1"/>
  <c r="J653" i="3" s="1"/>
  <c r="L653" i="3" s="1" a="1"/>
  <c r="L653" i="3" s="1"/>
  <c r="H1335" i="3"/>
  <c r="I1335" i="3" s="1"/>
  <c r="J1335" i="3" s="1"/>
  <c r="L1335" i="3" s="1" a="1"/>
  <c r="L1335" i="3" s="1"/>
  <c r="G1335" i="3"/>
  <c r="H1026" i="3"/>
  <c r="I1026" i="3" s="1"/>
  <c r="J1026" i="3" s="1"/>
  <c r="L1026" i="3" s="1" a="1"/>
  <c r="L1026" i="3" s="1"/>
  <c r="H803" i="3"/>
  <c r="I803" i="3" s="1"/>
  <c r="J803" i="3" s="1"/>
  <c r="L803" i="3" s="1" a="1"/>
  <c r="L803" i="3" s="1"/>
  <c r="H1652" i="3"/>
  <c r="I1652" i="3" s="1"/>
  <c r="J1652" i="3" s="1"/>
  <c r="L1652" i="3" s="1" a="1"/>
  <c r="L1652" i="3" s="1"/>
  <c r="G1652" i="3"/>
  <c r="H1152" i="3"/>
  <c r="I1152" i="3" s="1"/>
  <c r="J1152" i="3" s="1"/>
  <c r="L1152" i="3" s="1" a="1"/>
  <c r="L1152" i="3" s="1"/>
  <c r="H1067" i="3"/>
  <c r="I1067" i="3" s="1"/>
  <c r="J1067" i="3" s="1"/>
  <c r="L1067" i="3" s="1" a="1"/>
  <c r="L1067" i="3" s="1"/>
  <c r="G1005" i="3"/>
  <c r="H1005" i="3"/>
  <c r="I1005" i="3" s="1"/>
  <c r="J1005" i="3" s="1"/>
  <c r="L1005" i="3" s="1" a="1"/>
  <c r="L1005" i="3" s="1"/>
  <c r="H958" i="3"/>
  <c r="I958" i="3" s="1"/>
  <c r="J958" i="3" s="1"/>
  <c r="L958" i="3" s="1" a="1"/>
  <c r="L958" i="3" s="1"/>
  <c r="H1354" i="3"/>
  <c r="I1354" i="3" s="1"/>
  <c r="J1354" i="3" s="1"/>
  <c r="L1354" i="3" s="1" a="1"/>
  <c r="L1354" i="3" s="1"/>
  <c r="G1354" i="3"/>
  <c r="G505" i="3"/>
  <c r="H505" i="3"/>
  <c r="I505" i="3" s="1"/>
  <c r="J505" i="3" s="1"/>
  <c r="L505" i="3" s="1" a="1"/>
  <c r="L505" i="3" s="1"/>
  <c r="H1617" i="3"/>
  <c r="I1617" i="3" s="1"/>
  <c r="J1617" i="3" s="1"/>
  <c r="L1617" i="3" s="1" a="1"/>
  <c r="L1617" i="3" s="1"/>
  <c r="H1127" i="3"/>
  <c r="I1127" i="3" s="1"/>
  <c r="J1127" i="3" s="1"/>
  <c r="L1127" i="3" s="1" a="1"/>
  <c r="L1127" i="3" s="1"/>
  <c r="G1127" i="3"/>
  <c r="H1048" i="3"/>
  <c r="I1048" i="3" s="1"/>
  <c r="J1048" i="3" s="1"/>
  <c r="L1048" i="3" s="1" a="1"/>
  <c r="L1048" i="3" s="1"/>
  <c r="H855" i="3"/>
  <c r="I855" i="3" s="1"/>
  <c r="J855" i="3" s="1"/>
  <c r="L855" i="3" s="1" a="1"/>
  <c r="L855" i="3" s="1"/>
  <c r="H828" i="3"/>
  <c r="I828" i="3" s="1"/>
  <c r="J828" i="3" s="1"/>
  <c r="L828" i="3" s="1" a="1"/>
  <c r="L828" i="3" s="1"/>
  <c r="H1451" i="3"/>
  <c r="I1451" i="3" s="1"/>
  <c r="J1451" i="3" s="1"/>
  <c r="L1451" i="3" s="1" a="1"/>
  <c r="L1451" i="3" s="1"/>
  <c r="H1431" i="3"/>
  <c r="I1431" i="3" s="1"/>
  <c r="J1431" i="3" s="1"/>
  <c r="L1431" i="3" s="1" a="1"/>
  <c r="L1431" i="3" s="1"/>
  <c r="H1412" i="3"/>
  <c r="I1412" i="3" s="1"/>
  <c r="J1412" i="3" s="1"/>
  <c r="L1412" i="3" s="1" a="1"/>
  <c r="L1412" i="3" s="1"/>
  <c r="G1412" i="3"/>
  <c r="H979" i="3"/>
  <c r="I979" i="3" s="1"/>
  <c r="J979" i="3" s="1"/>
  <c r="L979" i="3" s="1" a="1"/>
  <c r="L979" i="3" s="1"/>
  <c r="H579" i="3"/>
  <c r="I579" i="3" s="1"/>
  <c r="J579" i="3" s="1"/>
  <c r="L579" i="3" s="1" a="1"/>
  <c r="L579" i="3" s="1"/>
  <c r="G579" i="3"/>
  <c r="G544" i="3"/>
  <c r="H544" i="3"/>
  <c r="I544" i="3" s="1"/>
  <c r="J544" i="3" s="1"/>
  <c r="L544" i="3" s="1" a="1"/>
  <c r="L544" i="3" s="1"/>
  <c r="H1563" i="3"/>
  <c r="I1563" i="3" s="1"/>
  <c r="J1563" i="3" s="1"/>
  <c r="L1563" i="3" s="1" a="1"/>
  <c r="L1563" i="3" s="1"/>
  <c r="H1291" i="3"/>
  <c r="I1291" i="3" s="1"/>
  <c r="J1291" i="3" s="1"/>
  <c r="L1291" i="3" s="1" a="1"/>
  <c r="L1291" i="3" s="1"/>
  <c r="H1252" i="3"/>
  <c r="I1252" i="3" s="1"/>
  <c r="J1252" i="3" s="1"/>
  <c r="L1252" i="3" s="1" a="1"/>
  <c r="L1252" i="3" s="1"/>
  <c r="H1231" i="3"/>
  <c r="I1231" i="3" s="1"/>
  <c r="J1231" i="3" s="1"/>
  <c r="L1231" i="3" s="1" a="1"/>
  <c r="L1231" i="3" s="1"/>
  <c r="H1191" i="3"/>
  <c r="I1191" i="3" s="1"/>
  <c r="J1191" i="3" s="1"/>
  <c r="L1191" i="3" s="1" a="1"/>
  <c r="L1191" i="3" s="1"/>
  <c r="H1172" i="3"/>
  <c r="I1172" i="3" s="1"/>
  <c r="J1172" i="3" s="1"/>
  <c r="L1172" i="3" s="1" a="1"/>
  <c r="L1172" i="3" s="1"/>
  <c r="H1025" i="3"/>
  <c r="I1025" i="3" s="1"/>
  <c r="J1025" i="3" s="1"/>
  <c r="L1025" i="3" s="1" a="1"/>
  <c r="L1025" i="3" s="1"/>
  <c r="H1003" i="3"/>
  <c r="I1003" i="3" s="1"/>
  <c r="J1003" i="3" s="1"/>
  <c r="L1003" i="3" s="1" a="1"/>
  <c r="L1003" i="3" s="1"/>
  <c r="H1065" i="3"/>
  <c r="I1065" i="3" s="1"/>
  <c r="J1065" i="3" s="1"/>
  <c r="L1065" i="3" s="1" a="1"/>
  <c r="L1065" i="3" s="1"/>
  <c r="G459" i="3"/>
  <c r="H459" i="3"/>
  <c r="I459" i="3" s="1"/>
  <c r="J459" i="3" s="1"/>
  <c r="L459" i="3" s="1" a="1"/>
  <c r="L459" i="3" s="1"/>
  <c r="H1107" i="3"/>
  <c r="I1107" i="3" s="1"/>
  <c r="J1107" i="3" s="1"/>
  <c r="L1107" i="3" s="1" a="1"/>
  <c r="L1107" i="3" s="1"/>
  <c r="G1107" i="3"/>
  <c r="H1849" i="3"/>
  <c r="I1849" i="3" s="1"/>
  <c r="J1849" i="3" s="1"/>
  <c r="L1849" i="3" s="1" a="1"/>
  <c r="L1849" i="3" s="1"/>
  <c r="H1816" i="3"/>
  <c r="I1816" i="3" s="1"/>
  <c r="J1816" i="3" s="1"/>
  <c r="L1816" i="3" s="1" a="1"/>
  <c r="L1816" i="3" s="1"/>
  <c r="H1542" i="3"/>
  <c r="I1542" i="3" s="1"/>
  <c r="J1542" i="3" s="1"/>
  <c r="L1542" i="3" s="1" a="1"/>
  <c r="L1542" i="3" s="1"/>
  <c r="H1430" i="3"/>
  <c r="I1430" i="3" s="1"/>
  <c r="J1430" i="3" s="1"/>
  <c r="L1430" i="3" s="1" a="1"/>
  <c r="L1430" i="3" s="1"/>
  <c r="G1370" i="3"/>
  <c r="H1190" i="3"/>
  <c r="I1190" i="3" s="1"/>
  <c r="J1190" i="3" s="1"/>
  <c r="L1190" i="3" s="1" a="1"/>
  <c r="L1190" i="3" s="1"/>
  <c r="G1190" i="3"/>
  <c r="G1171" i="3"/>
  <c r="H1171" i="3"/>
  <c r="I1171" i="3" s="1"/>
  <c r="J1171" i="3" s="1"/>
  <c r="L1171" i="3" s="1" a="1"/>
  <c r="L1171" i="3" s="1"/>
  <c r="H931" i="3"/>
  <c r="I931" i="3" s="1"/>
  <c r="J931" i="3" s="1"/>
  <c r="L931" i="3" s="1" a="1"/>
  <c r="L931" i="3" s="1"/>
  <c r="G745" i="3"/>
  <c r="H745" i="3"/>
  <c r="I745" i="3" s="1"/>
  <c r="J745" i="3" s="1"/>
  <c r="L745" i="3" s="1" a="1"/>
  <c r="L745" i="3" s="1"/>
  <c r="G647" i="3"/>
  <c r="G1045" i="3"/>
  <c r="H1045" i="3"/>
  <c r="I1045" i="3" s="1"/>
  <c r="J1045" i="3" s="1"/>
  <c r="L1045" i="3" s="1" a="1"/>
  <c r="L1045" i="3" s="1"/>
  <c r="G826" i="3"/>
  <c r="H826" i="3"/>
  <c r="I826" i="3" s="1"/>
  <c r="J826" i="3" s="1"/>
  <c r="L826" i="3" s="1" a="1"/>
  <c r="L826" i="3" s="1"/>
  <c r="G801" i="3"/>
  <c r="H801" i="3"/>
  <c r="I801" i="3" s="1"/>
  <c r="J801" i="3" s="1"/>
  <c r="L801" i="3" s="1" a="1"/>
  <c r="L801" i="3" s="1"/>
  <c r="G714" i="3"/>
  <c r="H714" i="3"/>
  <c r="I714" i="3" s="1"/>
  <c r="J714" i="3" s="1"/>
  <c r="L714" i="3" s="1" a="1"/>
  <c r="L714" i="3" s="1"/>
  <c r="H1947" i="3"/>
  <c r="I1947" i="3" s="1"/>
  <c r="J1947" i="3" s="1"/>
  <c r="L1947" i="3" s="1" a="1"/>
  <c r="L1947" i="3" s="1"/>
  <c r="G1649" i="3"/>
  <c r="G1467" i="3"/>
  <c r="H1389" i="3"/>
  <c r="I1389" i="3" s="1"/>
  <c r="J1389" i="3" s="1"/>
  <c r="L1389" i="3" s="1" a="1"/>
  <c r="L1389" i="3" s="1"/>
  <c r="G1389" i="3"/>
  <c r="G1170" i="3"/>
  <c r="H1106" i="3"/>
  <c r="I1106" i="3" s="1"/>
  <c r="J1106" i="3" s="1"/>
  <c r="L1106" i="3" s="1" a="1"/>
  <c r="L1106" i="3" s="1"/>
  <c r="G904" i="3"/>
  <c r="H904" i="3"/>
  <c r="I904" i="3" s="1"/>
  <c r="J904" i="3" s="1"/>
  <c r="L904" i="3" s="1" a="1"/>
  <c r="L904" i="3" s="1"/>
  <c r="H611" i="3"/>
  <c r="I611" i="3" s="1"/>
  <c r="J611" i="3" s="1"/>
  <c r="L611" i="3" s="1" a="1"/>
  <c r="L611" i="3" s="1"/>
  <c r="G611" i="3"/>
  <c r="H410" i="3"/>
  <c r="I410" i="3" s="1"/>
  <c r="J410" i="3" s="1"/>
  <c r="L410" i="3" s="1" a="1"/>
  <c r="L410" i="3" s="1"/>
  <c r="G410" i="3"/>
  <c r="H1762" i="3"/>
  <c r="I1762" i="3" s="1"/>
  <c r="J1762" i="3" s="1"/>
  <c r="L1762" i="3" s="1" a="1"/>
  <c r="L1762" i="3" s="1"/>
  <c r="H1745" i="3"/>
  <c r="I1745" i="3" s="1"/>
  <c r="J1745" i="3" s="1"/>
  <c r="L1745" i="3" s="1" a="1"/>
  <c r="L1745" i="3" s="1"/>
  <c r="G1724" i="3"/>
  <c r="G1597" i="3"/>
  <c r="H1561" i="3"/>
  <c r="I1561" i="3" s="1"/>
  <c r="J1561" i="3" s="1"/>
  <c r="L1561" i="3" s="1" a="1"/>
  <c r="L1561" i="3" s="1"/>
  <c r="G1388" i="3"/>
  <c r="H1388" i="3"/>
  <c r="I1388" i="3" s="1"/>
  <c r="J1388" i="3" s="1"/>
  <c r="L1388" i="3" s="1" a="1"/>
  <c r="L1388" i="3" s="1"/>
  <c r="G1250" i="3"/>
  <c r="H1250" i="3"/>
  <c r="I1250" i="3" s="1"/>
  <c r="J1250" i="3" s="1"/>
  <c r="L1250" i="3" s="1" a="1"/>
  <c r="L1250" i="3" s="1"/>
  <c r="H1083" i="3"/>
  <c r="I1083" i="3" s="1"/>
  <c r="J1083" i="3" s="1"/>
  <c r="L1083" i="3" s="1" a="1"/>
  <c r="L1083" i="3" s="1"/>
  <c r="H645" i="3"/>
  <c r="I645" i="3" s="1"/>
  <c r="J645" i="3" s="1"/>
  <c r="L645" i="3" s="1" a="1"/>
  <c r="L645" i="3" s="1"/>
  <c r="G645" i="3"/>
  <c r="G1289" i="3"/>
  <c r="G1169" i="3"/>
  <c r="H1125" i="3"/>
  <c r="I1125" i="3" s="1"/>
  <c r="J1125" i="3" s="1"/>
  <c r="L1125" i="3" s="1" a="1"/>
  <c r="L1125" i="3" s="1"/>
  <c r="H851" i="3"/>
  <c r="I851" i="3" s="1"/>
  <c r="J851" i="3" s="1"/>
  <c r="L851" i="3" s="1" a="1"/>
  <c r="L851" i="3" s="1"/>
  <c r="G851" i="3"/>
  <c r="H799" i="3"/>
  <c r="I799" i="3" s="1"/>
  <c r="J799" i="3" s="1"/>
  <c r="L799" i="3" s="1" a="1"/>
  <c r="L799" i="3" s="1"/>
  <c r="G710" i="3"/>
  <c r="H710" i="3"/>
  <c r="I710" i="3" s="1"/>
  <c r="J710" i="3" s="1"/>
  <c r="L710" i="3" s="1" a="1"/>
  <c r="L710" i="3" s="1"/>
  <c r="G539" i="3"/>
  <c r="H539" i="3"/>
  <c r="I539" i="3" s="1"/>
  <c r="J539" i="3" s="1"/>
  <c r="L539" i="3" s="1" a="1"/>
  <c r="L539" i="3" s="1"/>
  <c r="H609" i="3"/>
  <c r="I609" i="3" s="1"/>
  <c r="J609" i="3" s="1"/>
  <c r="L609" i="3" s="1" a="1"/>
  <c r="L609" i="3" s="1"/>
  <c r="G327" i="3"/>
  <c r="H347" i="3"/>
  <c r="I347" i="3" s="1"/>
  <c r="J347" i="3" s="1"/>
  <c r="L347" i="3" s="1" a="1"/>
  <c r="L347" i="3" s="1"/>
  <c r="G419" i="3"/>
  <c r="H395" i="3"/>
  <c r="I395" i="3" s="1"/>
  <c r="J395" i="3" s="1"/>
  <c r="L395" i="3" s="1" a="1"/>
  <c r="L395" i="3" s="1"/>
  <c r="H326" i="3"/>
  <c r="I326" i="3" s="1"/>
  <c r="J326" i="3" s="1"/>
  <c r="L326" i="3" s="1" a="1"/>
  <c r="L326" i="3" s="1"/>
  <c r="H200" i="3"/>
  <c r="I200" i="3" s="1"/>
  <c r="J200" i="3" s="1"/>
  <c r="L200" i="3" s="1" a="1"/>
  <c r="L200" i="3" s="1"/>
  <c r="H158" i="3"/>
  <c r="I158" i="3" s="1"/>
  <c r="J158" i="3" s="1"/>
  <c r="L158" i="3" s="1" a="1"/>
  <c r="L158" i="3" s="1"/>
  <c r="H25" i="3"/>
  <c r="I25" i="3" s="1"/>
  <c r="J25" i="3" s="1"/>
  <c r="L25" i="3" s="1" a="1"/>
  <c r="L25" i="3" s="1"/>
  <c r="H136" i="3"/>
  <c r="I136" i="3" s="1"/>
  <c r="J136" i="3" s="1"/>
  <c r="L136" i="3" s="1" a="1"/>
  <c r="L136" i="3" s="1"/>
  <c r="H95" i="3"/>
  <c r="I95" i="3" s="1"/>
  <c r="J95" i="3" s="1"/>
  <c r="L95" i="3" s="1" a="1"/>
  <c r="L95" i="3" s="1"/>
  <c r="H51" i="3"/>
  <c r="I51" i="3" s="1"/>
  <c r="J51" i="3" s="1"/>
  <c r="L51" i="3" s="1" a="1"/>
  <c r="L51" i="3" s="1"/>
  <c r="H72" i="3"/>
  <c r="I72" i="3" s="1"/>
  <c r="J72" i="3" s="1"/>
  <c r="L72" i="3" s="1" a="1"/>
  <c r="L72" i="3" s="1"/>
  <c r="H24" i="3"/>
  <c r="I24" i="3" s="1"/>
  <c r="J24" i="3" s="1"/>
  <c r="L24" i="3" s="1" a="1"/>
  <c r="L24" i="3" s="1"/>
  <c r="G819" i="3"/>
  <c r="H565" i="3"/>
  <c r="I565" i="3" s="1"/>
  <c r="J565" i="3" s="1"/>
  <c r="L565" i="3" s="1" a="1"/>
  <c r="L565" i="3" s="1"/>
  <c r="H818" i="3"/>
  <c r="I818" i="3" s="1"/>
  <c r="J818" i="3" s="1"/>
  <c r="L818" i="3" s="1" a="1"/>
  <c r="L818" i="3" s="1"/>
  <c r="H800" i="3"/>
  <c r="I800" i="3" s="1"/>
  <c r="J800" i="3" s="1"/>
  <c r="L800" i="3" s="1" a="1"/>
  <c r="L800" i="3" s="1"/>
  <c r="H744" i="3"/>
  <c r="I744" i="3" s="1"/>
  <c r="J744" i="3" s="1"/>
  <c r="L744" i="3" s="1" a="1"/>
  <c r="L744" i="3" s="1"/>
  <c r="G154" i="3"/>
  <c r="H583" i="3"/>
  <c r="I583" i="3" s="1"/>
  <c r="J583" i="3" s="1"/>
  <c r="L583" i="3" s="1" a="1"/>
  <c r="L583" i="3" s="1"/>
  <c r="H523" i="3"/>
  <c r="I523" i="3" s="1"/>
  <c r="J523" i="3" s="1"/>
  <c r="L523" i="3" s="1" a="1"/>
  <c r="L523" i="3" s="1"/>
  <c r="G435" i="3"/>
  <c r="H704" i="3"/>
  <c r="I704" i="3" s="1"/>
  <c r="J704" i="3" s="1"/>
  <c r="L704" i="3" s="1" a="1"/>
  <c r="L704" i="3" s="1"/>
  <c r="H561" i="3"/>
  <c r="I561" i="3" s="1"/>
  <c r="J561" i="3" s="1"/>
  <c r="L561" i="3" s="1" a="1"/>
  <c r="L561" i="3" s="1"/>
  <c r="G457" i="3"/>
  <c r="G622" i="3"/>
  <c r="H434" i="3"/>
  <c r="I434" i="3" s="1"/>
  <c r="J434" i="3" s="1"/>
  <c r="L434" i="3" s="1" a="1"/>
  <c r="L434" i="3" s="1"/>
  <c r="H131" i="3"/>
  <c r="I131" i="3" s="1"/>
  <c r="J131" i="3" s="1"/>
  <c r="L131" i="3" s="1" a="1"/>
  <c r="L131" i="3" s="1"/>
  <c r="H110" i="3"/>
  <c r="I110" i="3" s="1"/>
  <c r="J110" i="3" s="1"/>
  <c r="L110" i="3" s="1" a="1"/>
  <c r="L110" i="3" s="1"/>
  <c r="H66" i="3"/>
  <c r="I66" i="3" s="1"/>
  <c r="J66" i="3" s="1"/>
  <c r="L66" i="3" s="1" a="1"/>
  <c r="L66" i="3" s="1"/>
  <c r="H19" i="3"/>
  <c r="I19" i="3" s="1"/>
  <c r="J19" i="3" s="1"/>
  <c r="L19" i="3" s="1" a="1"/>
  <c r="L19" i="3" s="1"/>
  <c r="G43" i="3"/>
  <c r="H599" i="3"/>
  <c r="I599" i="3" s="1"/>
  <c r="J599" i="3" s="1"/>
  <c r="L599" i="3" s="1" a="1"/>
  <c r="L599" i="3" s="1"/>
  <c r="G129" i="3"/>
  <c r="H980" i="3"/>
  <c r="I980" i="3" s="1"/>
  <c r="J980" i="3" s="1"/>
  <c r="L980" i="3" s="1" a="1"/>
  <c r="L980" i="3" s="1"/>
  <c r="H962" i="3"/>
  <c r="I962" i="3" s="1"/>
  <c r="J962" i="3" s="1"/>
  <c r="L962" i="3" s="1" a="1"/>
  <c r="L962" i="3" s="1"/>
  <c r="H887" i="3"/>
  <c r="I887" i="3" s="1"/>
  <c r="J887" i="3" s="1"/>
  <c r="L887" i="3" s="1" a="1"/>
  <c r="L887" i="3" s="1"/>
  <c r="H796" i="3"/>
  <c r="I796" i="3" s="1"/>
  <c r="J796" i="3" s="1"/>
  <c r="L796" i="3" s="1" a="1"/>
  <c r="L796" i="3" s="1"/>
  <c r="H701" i="3"/>
  <c r="I701" i="3" s="1"/>
  <c r="J701" i="3" s="1"/>
  <c r="L701" i="3" s="1" a="1"/>
  <c r="L701" i="3" s="1"/>
  <c r="H681" i="3"/>
  <c r="I681" i="3" s="1"/>
  <c r="J681" i="3" s="1"/>
  <c r="L681" i="3" s="1" a="1"/>
  <c r="L681" i="3" s="1"/>
  <c r="H638" i="3"/>
  <c r="I638" i="3" s="1"/>
  <c r="J638" i="3" s="1"/>
  <c r="L638" i="3" s="1" a="1"/>
  <c r="L638" i="3" s="1"/>
  <c r="H619" i="3"/>
  <c r="I619" i="3" s="1"/>
  <c r="J619" i="3" s="1"/>
  <c r="L619" i="3" s="1" a="1"/>
  <c r="L619" i="3" s="1"/>
  <c r="H87" i="3"/>
  <c r="I87" i="3" s="1"/>
  <c r="J87" i="3" s="1"/>
  <c r="L87" i="3" s="1" a="1"/>
  <c r="L87" i="3" s="1"/>
  <c r="G778" i="3"/>
  <c r="H739" i="3"/>
  <c r="I739" i="3" s="1"/>
  <c r="J739" i="3" s="1"/>
  <c r="L739" i="3" s="1" a="1"/>
  <c r="L739" i="3" s="1"/>
  <c r="H454" i="3"/>
  <c r="I454" i="3" s="1"/>
  <c r="J454" i="3" s="1"/>
  <c r="L454" i="3" s="1" a="1"/>
  <c r="L454" i="3" s="1"/>
  <c r="H338" i="3"/>
  <c r="I338" i="3" s="1"/>
  <c r="J338" i="3" s="1"/>
  <c r="L338" i="3" s="1" a="1"/>
  <c r="L338" i="3" s="1"/>
  <c r="H258" i="3"/>
  <c r="I258" i="3" s="1"/>
  <c r="J258" i="3" s="1"/>
  <c r="L258" i="3" s="1" a="1"/>
  <c r="L258" i="3" s="1"/>
  <c r="H170" i="3"/>
  <c r="I170" i="3" s="1"/>
  <c r="J170" i="3" s="1"/>
  <c r="L170" i="3" s="1" a="1"/>
  <c r="L170" i="3" s="1"/>
  <c r="H107" i="3"/>
  <c r="I107" i="3" s="1"/>
  <c r="J107" i="3" s="1"/>
  <c r="L107" i="3" s="1" a="1"/>
  <c r="L107" i="3" s="1"/>
  <c r="G383" i="3"/>
  <c r="G210" i="3"/>
  <c r="H495" i="3"/>
  <c r="I495" i="3" s="1"/>
  <c r="J495" i="3" s="1"/>
  <c r="L495" i="3" s="1" a="1"/>
  <c r="L495" i="3" s="1"/>
  <c r="H336" i="3"/>
  <c r="I336" i="3" s="1"/>
  <c r="J336" i="3" s="1"/>
  <c r="L336" i="3" s="1" a="1"/>
  <c r="L336" i="3" s="1"/>
  <c r="H314" i="3"/>
  <c r="I314" i="3" s="1"/>
  <c r="J314" i="3" s="1"/>
  <c r="L314" i="3" s="1" a="1"/>
  <c r="L314" i="3" s="1"/>
  <c r="H295" i="3"/>
  <c r="I295" i="3" s="1"/>
  <c r="J295" i="3" s="1"/>
  <c r="L295" i="3" s="1" a="1"/>
  <c r="L295" i="3" s="1"/>
  <c r="H146" i="3"/>
  <c r="I146" i="3" s="1"/>
  <c r="J146" i="3" s="1"/>
  <c r="L146" i="3" s="1" a="1"/>
  <c r="L146" i="3" s="1"/>
  <c r="G655" i="3"/>
  <c r="H256" i="3"/>
  <c r="I256" i="3" s="1"/>
  <c r="J256" i="3" s="1"/>
  <c r="L256" i="3" s="1" a="1"/>
  <c r="L256" i="3" s="1"/>
  <c r="H191" i="3"/>
  <c r="I191" i="3" s="1"/>
  <c r="J191" i="3" s="1"/>
  <c r="L191" i="3" s="1" a="1"/>
  <c r="L191" i="3" s="1"/>
  <c r="G577" i="3"/>
  <c r="H536" i="3"/>
  <c r="I536" i="3" s="1"/>
  <c r="J536" i="3" s="1"/>
  <c r="L536" i="3" s="1" a="1"/>
  <c r="L536" i="3" s="1"/>
  <c r="H272" i="3"/>
  <c r="I272" i="3" s="1"/>
  <c r="J272" i="3" s="1"/>
  <c r="L272" i="3" s="1" a="1"/>
  <c r="L272" i="3" s="1"/>
  <c r="H190" i="3"/>
  <c r="I190" i="3" s="1"/>
  <c r="J190" i="3" s="1"/>
  <c r="L190" i="3" s="1" a="1"/>
  <c r="L190" i="3" s="1"/>
  <c r="H62" i="3"/>
  <c r="I62" i="3" s="1"/>
  <c r="J62" i="3" s="1"/>
  <c r="L62" i="3" s="1" a="1"/>
  <c r="L62" i="3" s="1"/>
  <c r="H883" i="3"/>
  <c r="I883" i="3" s="1"/>
  <c r="J883" i="3" s="1"/>
  <c r="L883" i="3" s="1" a="1"/>
  <c r="L883" i="3" s="1"/>
  <c r="H594" i="3"/>
  <c r="I594" i="3" s="1"/>
  <c r="J594" i="3" s="1"/>
  <c r="L594" i="3" s="1" a="1"/>
  <c r="L594" i="3" s="1"/>
  <c r="H471" i="3"/>
  <c r="I471" i="3" s="1"/>
  <c r="J471" i="3" s="1"/>
  <c r="L471" i="3" s="1" a="1"/>
  <c r="L471" i="3" s="1"/>
  <c r="H231" i="3"/>
  <c r="I231" i="3" s="1"/>
  <c r="J231" i="3" s="1"/>
  <c r="L231" i="3" s="1" a="1"/>
  <c r="L231" i="3" s="1"/>
  <c r="H145" i="3"/>
  <c r="I145" i="3" s="1"/>
  <c r="J145" i="3" s="1"/>
  <c r="L145" i="3" s="1" a="1"/>
  <c r="L145" i="3" s="1"/>
  <c r="G864" i="3"/>
  <c r="H811" i="3"/>
  <c r="I811" i="3" s="1"/>
  <c r="J811" i="3" s="1"/>
  <c r="L811" i="3" s="1" a="1"/>
  <c r="L811" i="3" s="1"/>
  <c r="G774" i="3"/>
  <c r="H81" i="3"/>
  <c r="I81" i="3" s="1"/>
  <c r="J81" i="3" s="1"/>
  <c r="L81" i="3" s="1" a="1"/>
  <c r="L81" i="3" s="1"/>
  <c r="H555" i="3"/>
  <c r="I555" i="3" s="1"/>
  <c r="J555" i="3" s="1"/>
  <c r="L555" i="3" s="1" a="1"/>
  <c r="L555" i="3" s="1"/>
  <c r="H11" i="3"/>
  <c r="I11" i="3" s="1"/>
  <c r="J11" i="3" s="1"/>
  <c r="L11" i="3" s="1" a="1"/>
  <c r="L11" i="3" s="1"/>
  <c r="H271" i="3"/>
  <c r="I271" i="3" s="1"/>
  <c r="J271" i="3" s="1"/>
  <c r="L271" i="3" s="1" a="1"/>
  <c r="L271" i="3" s="1"/>
  <c r="H144" i="3"/>
  <c r="I144" i="3" s="1"/>
  <c r="J144" i="3" s="1"/>
  <c r="L144" i="3" s="1" a="1"/>
  <c r="L144" i="3" s="1"/>
  <c r="H809" i="3"/>
  <c r="I809" i="3" s="1"/>
  <c r="J809" i="3" s="1"/>
  <c r="L809" i="3" s="1" a="1"/>
  <c r="L809" i="3" s="1"/>
  <c r="H772" i="3"/>
  <c r="I772" i="3" s="1"/>
  <c r="J772" i="3" s="1"/>
  <c r="L772" i="3" s="1" a="1"/>
  <c r="L772" i="3" s="1"/>
  <c r="G694" i="3"/>
  <c r="H401" i="3"/>
  <c r="I401" i="3" s="1"/>
  <c r="J401" i="3" s="1"/>
  <c r="L401" i="3" s="1" a="1"/>
  <c r="L401" i="3" s="1"/>
  <c r="H102" i="3"/>
  <c r="I102" i="3" s="1"/>
  <c r="J102" i="3" s="1"/>
  <c r="L102" i="3" s="1" a="1"/>
  <c r="L102" i="3" s="1"/>
  <c r="H79" i="3"/>
  <c r="I79" i="3" s="1"/>
  <c r="J79" i="3" s="1"/>
  <c r="L79" i="3" s="1" a="1"/>
  <c r="L79" i="3" s="1"/>
  <c r="H33" i="3"/>
  <c r="I33" i="3" s="1"/>
  <c r="J33" i="3" s="1"/>
  <c r="L33" i="3" s="1" a="1"/>
  <c r="L33" i="3" s="1"/>
  <c r="H424" i="3"/>
  <c r="I424" i="3" s="1"/>
  <c r="J424" i="3" s="1"/>
  <c r="L424" i="3" s="1" a="1"/>
  <c r="L424" i="3" s="1"/>
  <c r="H121" i="3"/>
  <c r="I121" i="3" s="1"/>
  <c r="J121" i="3" s="1"/>
  <c r="L121" i="3" s="1" a="1"/>
  <c r="L121" i="3" s="1"/>
  <c r="G310" i="3"/>
  <c r="G289" i="3"/>
  <c r="H58" i="3"/>
  <c r="I58" i="3" s="1"/>
  <c r="J58" i="3" s="1"/>
  <c r="L58" i="3" s="1" a="1"/>
  <c r="L58" i="3" s="1"/>
  <c r="H352" i="3"/>
  <c r="I352" i="3" s="1"/>
  <c r="J352" i="3" s="1"/>
  <c r="L352" i="3" s="1" a="1"/>
  <c r="L352" i="3" s="1"/>
  <c r="G917" i="3"/>
  <c r="H898" i="3"/>
  <c r="I898" i="3" s="1"/>
  <c r="J898" i="3" s="1"/>
  <c r="L898" i="3" s="1" a="1"/>
  <c r="L898" i="3" s="1"/>
  <c r="H807" i="3"/>
  <c r="I807" i="3" s="1"/>
  <c r="J807" i="3" s="1"/>
  <c r="L807" i="3" s="1" a="1"/>
  <c r="L807" i="3" s="1"/>
  <c r="H650" i="3"/>
  <c r="I650" i="3" s="1"/>
  <c r="J650" i="3" s="1"/>
  <c r="L650" i="3" s="1" a="1"/>
  <c r="L650" i="3" s="1"/>
  <c r="H161" i="3"/>
  <c r="I161" i="3" s="1"/>
  <c r="J161" i="3" s="1"/>
  <c r="L161" i="3" s="1" a="1"/>
  <c r="L161" i="3" s="1"/>
  <c r="H751" i="3"/>
  <c r="I751" i="3" s="1"/>
  <c r="J751" i="3" s="1"/>
  <c r="L751" i="3" s="1" a="1"/>
  <c r="L751" i="3" s="1"/>
  <c r="H692" i="3"/>
  <c r="I692" i="3" s="1"/>
  <c r="J692" i="3" s="1"/>
  <c r="L692" i="3" s="1" a="1"/>
  <c r="L692" i="3" s="1"/>
  <c r="G649" i="3"/>
  <c r="H549" i="3"/>
  <c r="I549" i="3" s="1"/>
  <c r="J549" i="3" s="1"/>
  <c r="L549" i="3" s="1" a="1"/>
  <c r="L549" i="3" s="1"/>
  <c r="H328" i="3"/>
  <c r="I328" i="3" s="1"/>
  <c r="J328" i="3" s="1"/>
  <c r="L328" i="3" s="1" a="1"/>
  <c r="L328" i="3" s="1"/>
  <c r="H183" i="3"/>
  <c r="I183" i="3" s="1"/>
  <c r="J183" i="3" s="1"/>
  <c r="L183" i="3" s="1" a="1"/>
  <c r="L183" i="3" s="1"/>
  <c r="H1131" i="3"/>
  <c r="I1131" i="3" s="1"/>
  <c r="J1131" i="3" s="1"/>
  <c r="L1131" i="3" s="1" a="1"/>
  <c r="L1131" i="3" s="1"/>
  <c r="H731" i="3"/>
  <c r="I731" i="3" s="1"/>
  <c r="J731" i="3" s="1"/>
  <c r="L731" i="3" s="1" a="1"/>
  <c r="L731" i="3" s="1"/>
  <c r="H248" i="3"/>
  <c r="I248" i="3" s="1"/>
  <c r="J248" i="3" s="1"/>
  <c r="L248" i="3" s="1" a="1"/>
  <c r="L248" i="3" s="1"/>
  <c r="G691" i="3"/>
  <c r="H486" i="3"/>
  <c r="I486" i="3" s="1"/>
  <c r="J486" i="3" s="1"/>
  <c r="L486" i="3" s="1" a="1"/>
  <c r="L486" i="3" s="1"/>
  <c r="G464" i="3"/>
  <c r="G442" i="3"/>
  <c r="H138" i="3"/>
  <c r="I138" i="3" s="1"/>
  <c r="J138" i="3" s="1"/>
  <c r="L138" i="3" s="1" a="1"/>
  <c r="L138" i="3" s="1"/>
  <c r="H98" i="3"/>
  <c r="I98" i="3" s="1"/>
  <c r="J98" i="3" s="1"/>
  <c r="L98" i="3" s="1" a="1"/>
  <c r="L98" i="3" s="1"/>
  <c r="H1787" i="3"/>
  <c r="I1787" i="3" s="1"/>
  <c r="J1787" i="3" s="1"/>
  <c r="L1787" i="3" s="1" a="1"/>
  <c r="L1787" i="3" s="1"/>
  <c r="H1654" i="3"/>
  <c r="I1654" i="3" s="1"/>
  <c r="J1654" i="3" s="1"/>
  <c r="L1654" i="3" s="1" a="1"/>
  <c r="L1654" i="3" s="1"/>
  <c r="G1545" i="3"/>
  <c r="H1545" i="3"/>
  <c r="I1545" i="3" s="1"/>
  <c r="J1545" i="3" s="1"/>
  <c r="L1545" i="3" s="1" a="1"/>
  <c r="L1545" i="3" s="1"/>
  <c r="G1470" i="3"/>
  <c r="H1470" i="3"/>
  <c r="I1470" i="3" s="1"/>
  <c r="J1470" i="3" s="1"/>
  <c r="L1470" i="3" s="1" a="1"/>
  <c r="L1470" i="3" s="1"/>
  <c r="G1441" i="3"/>
  <c r="H1441" i="3"/>
  <c r="I1441" i="3" s="1"/>
  <c r="J1441" i="3" s="1"/>
  <c r="L1441" i="3" s="1" a="1"/>
  <c r="L1441" i="3" s="1"/>
  <c r="G1960" i="3"/>
  <c r="H1960" i="3"/>
  <c r="I1960" i="3" s="1"/>
  <c r="J1960" i="3" s="1"/>
  <c r="L1960" i="3" s="1" a="1"/>
  <c r="L1960" i="3" s="1"/>
  <c r="H1493" i="3"/>
  <c r="I1493" i="3" s="1"/>
  <c r="J1493" i="3" s="1"/>
  <c r="L1493" i="3" s="1" a="1"/>
  <c r="L1493" i="3" s="1"/>
  <c r="G1493" i="3"/>
  <c r="G1877" i="3"/>
  <c r="H1877" i="3"/>
  <c r="I1877" i="3" s="1"/>
  <c r="J1877" i="3" s="1"/>
  <c r="L1877" i="3" s="1" a="1"/>
  <c r="L1877" i="3" s="1"/>
  <c r="G1941" i="3"/>
  <c r="H1941" i="3"/>
  <c r="I1941" i="3" s="1"/>
  <c r="J1941" i="3" s="1"/>
  <c r="L1941" i="3" s="1" a="1"/>
  <c r="L1941" i="3" s="1"/>
  <c r="G2076" i="3"/>
  <c r="H2076" i="3"/>
  <c r="I2076" i="3" s="1"/>
  <c r="J2076" i="3" s="1"/>
  <c r="L2076" i="3" s="1" a="1"/>
  <c r="L2076" i="3" s="1"/>
  <c r="H1989" i="3"/>
  <c r="I1989" i="3" s="1"/>
  <c r="J1989" i="3" s="1"/>
  <c r="L1989" i="3" s="1" a="1"/>
  <c r="L1989" i="3" s="1"/>
  <c r="H2087" i="3"/>
  <c r="I2087" i="3" s="1"/>
  <c r="J2087" i="3" s="1"/>
  <c r="L2087" i="3" s="1" a="1"/>
  <c r="L2087" i="3" s="1"/>
  <c r="G2020" i="3"/>
  <c r="H2020" i="3"/>
  <c r="I2020" i="3" s="1"/>
  <c r="J2020" i="3" s="1"/>
  <c r="L2020" i="3" s="1" a="1"/>
  <c r="L2020" i="3" s="1"/>
  <c r="G1774" i="3"/>
  <c r="H1774" i="3"/>
  <c r="I1774" i="3" s="1"/>
  <c r="J1774" i="3" s="1"/>
  <c r="L1774" i="3" s="1" a="1"/>
  <c r="L1774" i="3" s="1"/>
  <c r="G1682" i="3"/>
  <c r="H1682" i="3"/>
  <c r="I1682" i="3" s="1"/>
  <c r="J1682" i="3" s="1"/>
  <c r="L1682" i="3" s="1" a="1"/>
  <c r="L1682" i="3" s="1"/>
  <c r="G1640" i="3"/>
  <c r="H1640" i="3"/>
  <c r="I1640" i="3" s="1"/>
  <c r="J1640" i="3" s="1"/>
  <c r="L1640" i="3" s="1" a="1"/>
  <c r="L1640" i="3" s="1"/>
  <c r="H1601" i="3"/>
  <c r="I1601" i="3" s="1"/>
  <c r="J1601" i="3" s="1"/>
  <c r="L1601" i="3" s="1" a="1"/>
  <c r="L1601" i="3" s="1"/>
  <c r="G1669" i="3"/>
  <c r="H1669" i="3"/>
  <c r="I1669" i="3" s="1"/>
  <c r="J1669" i="3" s="1"/>
  <c r="L1669" i="3" s="1" a="1"/>
  <c r="L1669" i="3" s="1"/>
  <c r="G1998" i="3"/>
  <c r="G1798" i="3"/>
  <c r="H1798" i="3"/>
  <c r="I1798" i="3" s="1"/>
  <c r="J1798" i="3" s="1"/>
  <c r="L1798" i="3" s="1" a="1"/>
  <c r="L1798" i="3" s="1"/>
  <c r="H1695" i="3"/>
  <c r="I1695" i="3" s="1"/>
  <c r="J1695" i="3" s="1"/>
  <c r="L1695" i="3" s="1" a="1"/>
  <c r="L1695" i="3" s="1"/>
  <c r="G1695" i="3"/>
  <c r="G1614" i="3"/>
  <c r="H1614" i="3"/>
  <c r="I1614" i="3" s="1"/>
  <c r="J1614" i="3" s="1"/>
  <c r="L1614" i="3" s="1" a="1"/>
  <c r="L1614" i="3" s="1"/>
  <c r="H2130" i="3"/>
  <c r="I2130" i="3" s="1"/>
  <c r="J2130" i="3" s="1"/>
  <c r="L2130" i="3" s="1" a="1"/>
  <c r="L2130" i="3" s="1"/>
  <c r="H2042" i="3"/>
  <c r="I2042" i="3" s="1"/>
  <c r="J2042" i="3" s="1"/>
  <c r="L2042" i="3" s="1" a="1"/>
  <c r="L2042" i="3" s="1"/>
  <c r="H1964" i="3"/>
  <c r="I1964" i="3" s="1"/>
  <c r="J1964" i="3" s="1"/>
  <c r="L1964" i="3" s="1" a="1"/>
  <c r="L1964" i="3" s="1"/>
  <c r="G1964" i="3"/>
  <c r="G2140" i="3"/>
  <c r="H2140" i="3"/>
  <c r="I2140" i="3" s="1"/>
  <c r="J2140" i="3" s="1"/>
  <c r="L2140" i="3" s="1" a="1"/>
  <c r="L2140" i="3" s="1"/>
  <c r="G2031" i="3"/>
  <c r="H1951" i="3"/>
  <c r="I1951" i="3" s="1"/>
  <c r="J1951" i="3" s="1"/>
  <c r="L1951" i="3" s="1" a="1"/>
  <c r="L1951" i="3" s="1"/>
  <c r="H1882" i="3"/>
  <c r="I1882" i="3" s="1"/>
  <c r="J1882" i="3" s="1"/>
  <c r="L1882" i="3" s="1" a="1"/>
  <c r="L1882" i="3" s="1"/>
  <c r="H2172" i="3"/>
  <c r="I2172" i="3" s="1"/>
  <c r="J2172" i="3" s="1"/>
  <c r="L2172" i="3" s="1" a="1"/>
  <c r="L2172" i="3" s="1"/>
  <c r="G2108" i="3"/>
  <c r="H2108" i="3"/>
  <c r="I2108" i="3" s="1"/>
  <c r="J2108" i="3" s="1"/>
  <c r="L2108" i="3" s="1" a="1"/>
  <c r="L2108" i="3" s="1"/>
  <c r="H1928" i="3"/>
  <c r="I1928" i="3" s="1"/>
  <c r="J1928" i="3" s="1"/>
  <c r="L1928" i="3" s="1" a="1"/>
  <c r="L1928" i="3" s="1"/>
  <c r="G1797" i="3"/>
  <c r="G1747" i="3"/>
  <c r="G1613" i="3"/>
  <c r="H1613" i="3"/>
  <c r="I1613" i="3" s="1"/>
  <c r="J1613" i="3" s="1"/>
  <c r="L1613" i="3" s="1" a="1"/>
  <c r="L1613" i="3" s="1"/>
  <c r="G1528" i="3"/>
  <c r="H1528" i="3"/>
  <c r="I1528" i="3" s="1"/>
  <c r="J1528" i="3" s="1"/>
  <c r="L1528" i="3" s="1" a="1"/>
  <c r="L1528" i="3" s="1"/>
  <c r="G1439" i="3"/>
  <c r="H1439" i="3"/>
  <c r="I1439" i="3" s="1"/>
  <c r="J1439" i="3" s="1"/>
  <c r="L1439" i="3" s="1" a="1"/>
  <c r="L1439" i="3" s="1"/>
  <c r="G1356" i="3"/>
  <c r="G1147" i="3"/>
  <c r="H1147" i="3"/>
  <c r="I1147" i="3" s="1"/>
  <c r="J1147" i="3" s="1"/>
  <c r="L1147" i="3" s="1" a="1"/>
  <c r="L1147" i="3" s="1"/>
  <c r="H2119" i="3"/>
  <c r="I2119" i="3" s="1"/>
  <c r="J2119" i="3" s="1"/>
  <c r="L2119" i="3" s="1" a="1"/>
  <c r="L2119" i="3" s="1"/>
  <c r="H2063" i="3"/>
  <c r="I2063" i="3" s="1"/>
  <c r="J2063" i="3" s="1"/>
  <c r="L2063" i="3" s="1" a="1"/>
  <c r="L2063" i="3" s="1"/>
  <c r="H2160" i="3"/>
  <c r="I2160" i="3" s="1"/>
  <c r="J2160" i="3" s="1"/>
  <c r="L2160" i="3" s="1" a="1"/>
  <c r="L2160" i="3" s="1"/>
  <c r="G2018" i="3"/>
  <c r="H2018" i="3"/>
  <c r="I2018" i="3" s="1"/>
  <c r="J2018" i="3" s="1"/>
  <c r="L2018" i="3" s="1" a="1"/>
  <c r="L2018" i="3" s="1"/>
  <c r="H1939" i="3"/>
  <c r="I1939" i="3" s="1"/>
  <c r="J1939" i="3" s="1"/>
  <c r="L1939" i="3" s="1" a="1"/>
  <c r="L1939" i="3" s="1"/>
  <c r="H1893" i="3"/>
  <c r="I1893" i="3" s="1"/>
  <c r="J1893" i="3" s="1"/>
  <c r="L1893" i="3" s="1" a="1"/>
  <c r="L1893" i="3" s="1"/>
  <c r="H1833" i="3"/>
  <c r="I1833" i="3" s="1"/>
  <c r="J1833" i="3" s="1"/>
  <c r="L1833" i="3" s="1" a="1"/>
  <c r="L1833" i="3" s="1"/>
  <c r="H1706" i="3"/>
  <c r="I1706" i="3" s="1"/>
  <c r="J1706" i="3" s="1"/>
  <c r="L1706" i="3" s="1" a="1"/>
  <c r="L1706" i="3" s="1"/>
  <c r="H1371" i="3"/>
  <c r="I1371" i="3" s="1"/>
  <c r="J1371" i="3" s="1"/>
  <c r="L1371" i="3" s="1" a="1"/>
  <c r="L1371" i="3" s="1"/>
  <c r="G1371" i="3"/>
  <c r="H1253" i="3"/>
  <c r="I1253" i="3" s="1"/>
  <c r="J1253" i="3" s="1"/>
  <c r="L1253" i="3" s="1" a="1"/>
  <c r="L1253" i="3" s="1"/>
  <c r="G1253" i="3"/>
  <c r="G2107" i="3"/>
  <c r="G2096" i="3"/>
  <c r="G2084" i="3"/>
  <c r="G1916" i="3"/>
  <c r="G1625" i="3"/>
  <c r="G1820" i="3"/>
  <c r="H1820" i="3"/>
  <c r="I1820" i="3" s="1"/>
  <c r="J1820" i="3" s="1"/>
  <c r="L1820" i="3" s="1" a="1"/>
  <c r="L1820" i="3" s="1"/>
  <c r="H1571" i="3"/>
  <c r="I1571" i="3" s="1"/>
  <c r="J1571" i="3" s="1"/>
  <c r="L1571" i="3" s="1" a="1"/>
  <c r="L1571" i="3" s="1"/>
  <c r="G1571" i="3"/>
  <c r="H1216" i="3"/>
  <c r="I1216" i="3" s="1"/>
  <c r="J1216" i="3" s="1"/>
  <c r="L1216" i="3" s="1" a="1"/>
  <c r="L1216" i="3" s="1"/>
  <c r="G1216" i="3"/>
  <c r="H2171" i="3"/>
  <c r="I2171" i="3" s="1"/>
  <c r="J2171" i="3" s="1"/>
  <c r="L2171" i="3" s="1" a="1"/>
  <c r="L2171" i="3" s="1"/>
  <c r="H2148" i="3"/>
  <c r="I2148" i="3" s="1"/>
  <c r="J2148" i="3" s="1"/>
  <c r="L2148" i="3" s="1" a="1"/>
  <c r="L2148" i="3" s="1"/>
  <c r="G1832" i="3"/>
  <c r="H1832" i="3"/>
  <c r="I1832" i="3" s="1"/>
  <c r="J1832" i="3" s="1"/>
  <c r="L1832" i="3" s="1" a="1"/>
  <c r="L1832" i="3" s="1"/>
  <c r="G1974" i="3"/>
  <c r="H1974" i="3"/>
  <c r="I1974" i="3" s="1"/>
  <c r="J1974" i="3" s="1"/>
  <c r="L1974" i="3" s="1" a="1"/>
  <c r="L1974" i="3" s="1"/>
  <c r="H1949" i="3"/>
  <c r="I1949" i="3" s="1"/>
  <c r="J1949" i="3" s="1"/>
  <c r="L1949" i="3" s="1" a="1"/>
  <c r="L1949" i="3" s="1"/>
  <c r="H2017" i="3"/>
  <c r="I2017" i="3" s="1"/>
  <c r="J2017" i="3" s="1"/>
  <c r="L2017" i="3" s="1" a="1"/>
  <c r="L2017" i="3" s="1"/>
  <c r="G1731" i="3"/>
  <c r="G1496" i="3"/>
  <c r="H1496" i="3"/>
  <c r="I1496" i="3" s="1"/>
  <c r="J1496" i="3" s="1"/>
  <c r="L1496" i="3" s="1" a="1"/>
  <c r="L1496" i="3" s="1"/>
  <c r="G1403" i="3"/>
  <c r="H1403" i="3"/>
  <c r="I1403" i="3" s="1"/>
  <c r="J1403" i="3" s="1"/>
  <c r="L1403" i="3" s="1" a="1"/>
  <c r="L1403" i="3" s="1"/>
  <c r="G1368" i="3"/>
  <c r="H1368" i="3"/>
  <c r="I1368" i="3" s="1"/>
  <c r="J1368" i="3" s="1"/>
  <c r="L1368" i="3" s="1" a="1"/>
  <c r="L1368" i="3" s="1"/>
  <c r="G1302" i="3"/>
  <c r="H1302" i="3"/>
  <c r="I1302" i="3" s="1"/>
  <c r="J1302" i="3" s="1"/>
  <c r="L1302" i="3" s="1" a="1"/>
  <c r="L1302" i="3" s="1"/>
  <c r="H1195" i="3"/>
  <c r="I1195" i="3" s="1"/>
  <c r="J1195" i="3" s="1"/>
  <c r="L1195" i="3" s="1" a="1"/>
  <c r="L1195" i="3" s="1"/>
  <c r="G1195" i="3"/>
  <c r="H2191" i="3"/>
  <c r="I2191" i="3" s="1"/>
  <c r="J2191" i="3" s="1"/>
  <c r="L2191" i="3" s="1" a="1"/>
  <c r="L2191" i="3" s="1"/>
  <c r="H2180" i="3"/>
  <c r="I2180" i="3" s="1"/>
  <c r="J2180" i="3" s="1"/>
  <c r="L2180" i="3" s="1" a="1"/>
  <c r="L2180" i="3" s="1"/>
  <c r="H1868" i="3"/>
  <c r="I1868" i="3" s="1"/>
  <c r="J1868" i="3" s="1"/>
  <c r="L1868" i="3" s="1" a="1"/>
  <c r="L1868" i="3" s="1"/>
  <c r="G1690" i="3"/>
  <c r="H1678" i="3"/>
  <c r="I1678" i="3" s="1"/>
  <c r="J1678" i="3" s="1"/>
  <c r="L1678" i="3" s="1" a="1"/>
  <c r="L1678" i="3" s="1"/>
  <c r="H1569" i="3"/>
  <c r="I1569" i="3" s="1"/>
  <c r="J1569" i="3" s="1"/>
  <c r="L1569" i="3" s="1" a="1"/>
  <c r="L1569" i="3" s="1"/>
  <c r="G2157" i="3"/>
  <c r="H2147" i="3"/>
  <c r="I2147" i="3" s="1"/>
  <c r="J2147" i="3" s="1"/>
  <c r="L2147" i="3" s="1" a="1"/>
  <c r="L2147" i="3" s="1"/>
  <c r="G1434" i="3"/>
  <c r="H1434" i="3"/>
  <c r="I1434" i="3" s="1"/>
  <c r="J1434" i="3" s="1"/>
  <c r="L1434" i="3" s="1" a="1"/>
  <c r="L1434" i="3" s="1"/>
  <c r="G1301" i="3"/>
  <c r="H1301" i="3"/>
  <c r="I1301" i="3" s="1"/>
  <c r="J1301" i="3" s="1"/>
  <c r="L1301" i="3" s="1" a="1"/>
  <c r="L1301" i="3" s="1"/>
  <c r="G1384" i="3"/>
  <c r="H1384" i="3"/>
  <c r="I1384" i="3" s="1"/>
  <c r="J1384" i="3" s="1"/>
  <c r="L1384" i="3" s="1" a="1"/>
  <c r="L1384" i="3" s="1"/>
  <c r="G1582" i="3"/>
  <c r="H1582" i="3"/>
  <c r="I1582" i="3" s="1"/>
  <c r="J1582" i="3" s="1"/>
  <c r="L1582" i="3" s="1" a="1"/>
  <c r="L1582" i="3" s="1"/>
  <c r="G1996" i="3"/>
  <c r="G1782" i="3"/>
  <c r="H1782" i="3"/>
  <c r="I1782" i="3" s="1"/>
  <c r="J1782" i="3" s="1"/>
  <c r="L1782" i="3" s="1" a="1"/>
  <c r="L1782" i="3" s="1"/>
  <c r="H1757" i="3"/>
  <c r="I1757" i="3" s="1"/>
  <c r="J1757" i="3" s="1"/>
  <c r="L1757" i="3" s="1" a="1"/>
  <c r="L1757" i="3" s="1"/>
  <c r="H1635" i="3"/>
  <c r="I1635" i="3" s="1"/>
  <c r="J1635" i="3" s="1"/>
  <c r="L1635" i="3" s="1" a="1"/>
  <c r="L1635" i="3" s="1"/>
  <c r="G1401" i="3"/>
  <c r="H1401" i="3"/>
  <c r="I1401" i="3" s="1"/>
  <c r="J1401" i="3" s="1"/>
  <c r="L1401" i="3" s="1" a="1"/>
  <c r="L1401" i="3" s="1"/>
  <c r="G1317" i="3"/>
  <c r="H1317" i="3"/>
  <c r="I1317" i="3" s="1"/>
  <c r="J1317" i="3" s="1"/>
  <c r="L1317" i="3" s="1" a="1"/>
  <c r="L1317" i="3" s="1"/>
  <c r="G1123" i="3"/>
  <c r="H1123" i="3"/>
  <c r="I1123" i="3" s="1"/>
  <c r="J1123" i="3" s="1"/>
  <c r="L1123" i="3" s="1" a="1"/>
  <c r="L1123" i="3" s="1"/>
  <c r="H1689" i="3"/>
  <c r="I1689" i="3" s="1"/>
  <c r="J1689" i="3" s="1"/>
  <c r="L1689" i="3" s="1" a="1"/>
  <c r="L1689" i="3" s="1"/>
  <c r="G1400" i="3"/>
  <c r="H1400" i="3"/>
  <c r="I1400" i="3" s="1"/>
  <c r="J1400" i="3" s="1"/>
  <c r="L1400" i="3" s="1" a="1"/>
  <c r="L1400" i="3" s="1"/>
  <c r="G2167" i="3"/>
  <c r="H2167" i="3"/>
  <c r="I2167" i="3" s="1"/>
  <c r="J2167" i="3" s="1"/>
  <c r="L2167" i="3" s="1" a="1"/>
  <c r="L2167" i="3" s="1"/>
  <c r="G2071" i="3"/>
  <c r="G1855" i="3"/>
  <c r="G1768" i="3"/>
  <c r="G1212" i="3"/>
  <c r="H1212" i="3"/>
  <c r="I1212" i="3" s="1"/>
  <c r="J1212" i="3" s="1"/>
  <c r="L1212" i="3" s="1" a="1"/>
  <c r="L1212" i="3" s="1"/>
  <c r="G2115" i="3"/>
  <c r="H2115" i="3"/>
  <c r="I2115" i="3" s="1"/>
  <c r="J2115" i="3" s="1"/>
  <c r="L2115" i="3" s="1" a="1"/>
  <c r="L2115" i="3" s="1"/>
  <c r="G2037" i="3"/>
  <c r="H2037" i="3"/>
  <c r="I2037" i="3" s="1"/>
  <c r="J2037" i="3" s="1"/>
  <c r="L2037" i="3" s="1" a="1"/>
  <c r="L2037" i="3" s="1"/>
  <c r="H1971" i="3"/>
  <c r="I1971" i="3" s="1"/>
  <c r="J1971" i="3" s="1"/>
  <c r="L1971" i="3" s="1" a="1"/>
  <c r="L1971" i="3" s="1"/>
  <c r="G1315" i="3"/>
  <c r="H1315" i="3"/>
  <c r="I1315" i="3" s="1"/>
  <c r="J1315" i="3" s="1"/>
  <c r="L1315" i="3" s="1" a="1"/>
  <c r="L1315" i="3" s="1"/>
  <c r="H1866" i="3"/>
  <c r="I1866" i="3" s="1"/>
  <c r="J1866" i="3" s="1"/>
  <c r="L1866" i="3" s="1" a="1"/>
  <c r="L1866" i="3" s="1"/>
  <c r="H1805" i="3"/>
  <c r="I1805" i="3" s="1"/>
  <c r="J1805" i="3" s="1"/>
  <c r="L1805" i="3" s="1" a="1"/>
  <c r="L1805" i="3" s="1"/>
  <c r="H1780" i="3"/>
  <c r="I1780" i="3" s="1"/>
  <c r="J1780" i="3" s="1"/>
  <c r="L1780" i="3" s="1" a="1"/>
  <c r="L1780" i="3" s="1"/>
  <c r="G1727" i="3"/>
  <c r="G1662" i="3"/>
  <c r="H1662" i="3"/>
  <c r="I1662" i="3" s="1"/>
  <c r="J1662" i="3" s="1"/>
  <c r="L1662" i="3" s="1" a="1"/>
  <c r="L1662" i="3" s="1"/>
  <c r="G1281" i="3"/>
  <c r="H1281" i="3"/>
  <c r="I1281" i="3" s="1"/>
  <c r="J1281" i="3" s="1"/>
  <c r="L1281" i="3" s="1" a="1"/>
  <c r="L1281" i="3" s="1"/>
  <c r="H2189" i="3"/>
  <c r="I2189" i="3" s="1"/>
  <c r="J2189" i="3" s="1"/>
  <c r="L2189" i="3" s="1" a="1"/>
  <c r="L2189" i="3" s="1"/>
  <c r="H2136" i="3"/>
  <c r="I2136" i="3" s="1"/>
  <c r="J2136" i="3" s="1"/>
  <c r="L2136" i="3" s="1" a="1"/>
  <c r="L2136" i="3" s="1"/>
  <c r="H2103" i="3"/>
  <c r="I2103" i="3" s="1"/>
  <c r="J2103" i="3" s="1"/>
  <c r="L2103" i="3" s="1" a="1"/>
  <c r="L2103" i="3" s="1"/>
  <c r="H1982" i="3"/>
  <c r="I1982" i="3" s="1"/>
  <c r="J1982" i="3" s="1"/>
  <c r="L1982" i="3" s="1" a="1"/>
  <c r="L1982" i="3" s="1"/>
  <c r="G1741" i="3"/>
  <c r="H1741" i="3"/>
  <c r="I1741" i="3" s="1"/>
  <c r="J1741" i="3" s="1"/>
  <c r="L1741" i="3" s="1" a="1"/>
  <c r="L1741" i="3" s="1"/>
  <c r="G1140" i="3"/>
  <c r="H1140" i="3"/>
  <c r="I1140" i="3" s="1"/>
  <c r="J1140" i="3" s="1"/>
  <c r="L1140" i="3" s="1" a="1"/>
  <c r="L1140" i="3" s="1"/>
  <c r="H2036" i="3"/>
  <c r="I2036" i="3" s="1"/>
  <c r="J2036" i="3" s="1"/>
  <c r="L2036" i="3" s="1" a="1"/>
  <c r="L2036" i="3" s="1"/>
  <c r="H1661" i="3"/>
  <c r="I1661" i="3" s="1"/>
  <c r="J1661" i="3" s="1"/>
  <c r="L1661" i="3" s="1" a="1"/>
  <c r="L1661" i="3" s="1"/>
  <c r="G1661" i="3"/>
  <c r="G1492" i="3"/>
  <c r="G1314" i="3"/>
  <c r="H1314" i="3"/>
  <c r="I1314" i="3" s="1"/>
  <c r="J1314" i="3" s="1"/>
  <c r="L1314" i="3" s="1" a="1"/>
  <c r="L1314" i="3" s="1"/>
  <c r="H1159" i="3"/>
  <c r="I1159" i="3" s="1"/>
  <c r="J1159" i="3" s="1"/>
  <c r="L1159" i="3" s="1" a="1"/>
  <c r="L1159" i="3" s="1"/>
  <c r="G1159" i="3"/>
  <c r="H1934" i="3"/>
  <c r="I1934" i="3" s="1"/>
  <c r="J1934" i="3" s="1"/>
  <c r="L1934" i="3" s="1" a="1"/>
  <c r="L1934" i="3" s="1"/>
  <c r="H1726" i="3"/>
  <c r="I1726" i="3" s="1"/>
  <c r="J1726" i="3" s="1"/>
  <c r="L1726" i="3" s="1" a="1"/>
  <c r="L1726" i="3" s="1"/>
  <c r="G1397" i="3"/>
  <c r="H1397" i="3"/>
  <c r="I1397" i="3" s="1"/>
  <c r="J1397" i="3" s="1"/>
  <c r="L1397" i="3" s="1" a="1"/>
  <c r="L1397" i="3" s="1"/>
  <c r="G1264" i="3"/>
  <c r="H1264" i="3"/>
  <c r="I1264" i="3" s="1"/>
  <c r="J1264" i="3" s="1"/>
  <c r="L1264" i="3" s="1" a="1"/>
  <c r="L1264" i="3" s="1"/>
  <c r="H1139" i="3"/>
  <c r="I1139" i="3" s="1"/>
  <c r="J1139" i="3" s="1"/>
  <c r="L1139" i="3" s="1" a="1"/>
  <c r="L1139" i="3" s="1"/>
  <c r="G1139" i="3"/>
  <c r="H1853" i="3"/>
  <c r="I1853" i="3" s="1"/>
  <c r="J1853" i="3" s="1"/>
  <c r="L1853" i="3" s="1" a="1"/>
  <c r="L1853" i="3" s="1"/>
  <c r="G1700" i="3"/>
  <c r="H1700" i="3"/>
  <c r="I1700" i="3" s="1"/>
  <c r="J1700" i="3" s="1"/>
  <c r="L1700" i="3" s="1" a="1"/>
  <c r="L1700" i="3" s="1"/>
  <c r="G1536" i="3"/>
  <c r="H1536" i="3"/>
  <c r="I1536" i="3" s="1"/>
  <c r="J1536" i="3" s="1"/>
  <c r="L1536" i="3" s="1" a="1"/>
  <c r="L1536" i="3" s="1"/>
  <c r="G1594" i="3"/>
  <c r="H1594" i="3"/>
  <c r="I1594" i="3" s="1"/>
  <c r="J1594" i="3" s="1"/>
  <c r="L1594" i="3" s="1" a="1"/>
  <c r="L1594" i="3" s="1"/>
  <c r="H2135" i="3"/>
  <c r="I2135" i="3" s="1"/>
  <c r="J2135" i="3" s="1"/>
  <c r="L2135" i="3" s="1" a="1"/>
  <c r="L2135" i="3" s="1"/>
  <c r="G2047" i="3"/>
  <c r="H2047" i="3"/>
  <c r="I2047" i="3" s="1"/>
  <c r="J2047" i="3" s="1"/>
  <c r="L2047" i="3" s="1" a="1"/>
  <c r="L2047" i="3" s="1"/>
  <c r="G1826" i="3"/>
  <c r="H1826" i="3"/>
  <c r="I1826" i="3" s="1"/>
  <c r="J1826" i="3" s="1"/>
  <c r="L1826" i="3" s="1" a="1"/>
  <c r="L1826" i="3" s="1"/>
  <c r="H1579" i="3"/>
  <c r="I1579" i="3" s="1"/>
  <c r="J1579" i="3" s="1"/>
  <c r="L1579" i="3" s="1" a="1"/>
  <c r="L1579" i="3" s="1"/>
  <c r="G1520" i="3"/>
  <c r="H1520" i="3"/>
  <c r="I1520" i="3" s="1"/>
  <c r="J1520" i="3" s="1"/>
  <c r="L1520" i="3" s="1" a="1"/>
  <c r="L1520" i="3" s="1"/>
  <c r="H1981" i="3"/>
  <c r="I1981" i="3" s="1"/>
  <c r="J1981" i="3" s="1"/>
  <c r="L1981" i="3" s="1" a="1"/>
  <c r="L1981" i="3" s="1"/>
  <c r="H1815" i="3"/>
  <c r="I1815" i="3" s="1"/>
  <c r="J1815" i="3" s="1"/>
  <c r="L1815" i="3" s="1" a="1"/>
  <c r="L1815" i="3" s="1"/>
  <c r="G1593" i="3"/>
  <c r="H1504" i="3"/>
  <c r="I1504" i="3" s="1"/>
  <c r="J1504" i="3" s="1"/>
  <c r="L1504" i="3" s="1" a="1"/>
  <c r="L1504" i="3" s="1"/>
  <c r="H2024" i="3"/>
  <c r="I2024" i="3" s="1"/>
  <c r="J2024" i="3" s="1"/>
  <c r="L2024" i="3" s="1" a="1"/>
  <c r="L2024" i="3" s="1"/>
  <c r="H1969" i="3"/>
  <c r="I1969" i="3" s="1"/>
  <c r="J1969" i="3" s="1"/>
  <c r="L1969" i="3" s="1" a="1"/>
  <c r="L1969" i="3" s="1"/>
  <c r="G1933" i="3"/>
  <c r="H1910" i="3"/>
  <c r="I1910" i="3" s="1"/>
  <c r="J1910" i="3" s="1"/>
  <c r="L1910" i="3" s="1" a="1"/>
  <c r="L1910" i="3" s="1"/>
  <c r="H1395" i="3"/>
  <c r="I1395" i="3" s="1"/>
  <c r="J1395" i="3" s="1"/>
  <c r="L1395" i="3" s="1" a="1"/>
  <c r="L1395" i="3" s="1"/>
  <c r="G1279" i="3"/>
  <c r="H1279" i="3"/>
  <c r="I1279" i="3" s="1"/>
  <c r="J1279" i="3" s="1"/>
  <c r="L1279" i="3" s="1" a="1"/>
  <c r="L1279" i="3" s="1"/>
  <c r="G1839" i="3"/>
  <c r="H1839" i="3"/>
  <c r="I1839" i="3" s="1"/>
  <c r="J1839" i="3" s="1"/>
  <c r="L1839" i="3" s="1" a="1"/>
  <c r="L1839" i="3" s="1"/>
  <c r="G1659" i="3"/>
  <c r="H1659" i="3"/>
  <c r="I1659" i="3" s="1"/>
  <c r="J1659" i="3" s="1"/>
  <c r="L1659" i="3" s="1" a="1"/>
  <c r="L1659" i="3" s="1"/>
  <c r="G1550" i="3"/>
  <c r="H1519" i="3"/>
  <c r="I1519" i="3" s="1"/>
  <c r="J1519" i="3" s="1"/>
  <c r="L1519" i="3" s="1" a="1"/>
  <c r="L1519" i="3" s="1"/>
  <c r="G1503" i="3"/>
  <c r="G1686" i="3"/>
  <c r="H1686" i="3"/>
  <c r="I1686" i="3" s="1"/>
  <c r="J1686" i="3" s="1"/>
  <c r="L1686" i="3" s="1" a="1"/>
  <c r="L1686" i="3" s="1"/>
  <c r="G1346" i="3"/>
  <c r="G1155" i="3"/>
  <c r="H1155" i="3"/>
  <c r="I1155" i="3" s="1"/>
  <c r="J1155" i="3" s="1"/>
  <c r="L1155" i="3" s="1" a="1"/>
  <c r="L1155" i="3" s="1"/>
  <c r="H2038" i="3"/>
  <c r="I2038" i="3" s="1"/>
  <c r="J2038" i="3" s="1"/>
  <c r="L2038" i="3" s="1" a="1"/>
  <c r="L2038" i="3" s="1"/>
  <c r="G2038" i="3"/>
  <c r="G2144" i="3"/>
  <c r="G1968" i="3"/>
  <c r="H1968" i="3"/>
  <c r="I1968" i="3" s="1"/>
  <c r="J1968" i="3" s="1"/>
  <c r="L1968" i="3" s="1" a="1"/>
  <c r="L1968" i="3" s="1"/>
  <c r="H1814" i="3"/>
  <c r="I1814" i="3" s="1"/>
  <c r="J1814" i="3" s="1"/>
  <c r="L1814" i="3" s="1" a="1"/>
  <c r="L1814" i="3" s="1"/>
  <c r="G2185" i="3"/>
  <c r="G1885" i="3"/>
  <c r="G1764" i="3"/>
  <c r="H1764" i="3"/>
  <c r="I1764" i="3" s="1"/>
  <c r="J1764" i="3" s="1"/>
  <c r="L1764" i="3" s="1" a="1"/>
  <c r="L1764" i="3" s="1"/>
  <c r="G1411" i="3"/>
  <c r="H1710" i="3"/>
  <c r="I1710" i="3" s="1"/>
  <c r="J1710" i="3" s="1"/>
  <c r="L1710" i="3" s="1" a="1"/>
  <c r="L1710" i="3" s="1"/>
  <c r="G1710" i="3"/>
  <c r="G1604" i="3"/>
  <c r="H1604" i="3"/>
  <c r="I1604" i="3" s="1"/>
  <c r="J1604" i="3" s="1"/>
  <c r="L1604" i="3" s="1" a="1"/>
  <c r="L1604" i="3" s="1"/>
  <c r="H1548" i="3"/>
  <c r="I1548" i="3" s="1"/>
  <c r="J1548" i="3" s="1"/>
  <c r="L1548" i="3" s="1" a="1"/>
  <c r="L1548" i="3" s="1"/>
  <c r="G1548" i="3"/>
  <c r="G1863" i="3"/>
  <c r="H1863" i="3"/>
  <c r="I1863" i="3" s="1"/>
  <c r="J1863" i="3" s="1"/>
  <c r="L1863" i="3" s="1" a="1"/>
  <c r="L1863" i="3" s="1"/>
  <c r="G1837" i="3"/>
  <c r="H1837" i="3"/>
  <c r="I1837" i="3" s="1"/>
  <c r="J1837" i="3" s="1"/>
  <c r="L1837" i="3" s="1" a="1"/>
  <c r="L1837" i="3" s="1"/>
  <c r="H1292" i="3"/>
  <c r="I1292" i="3" s="1"/>
  <c r="J1292" i="3" s="1"/>
  <c r="L1292" i="3" s="1" a="1"/>
  <c r="L1292" i="3" s="1"/>
  <c r="G1292" i="3"/>
  <c r="G1410" i="3"/>
  <c r="H1410" i="3"/>
  <c r="I1410" i="3" s="1"/>
  <c r="J1410" i="3" s="1"/>
  <c r="L1410" i="3" s="1" a="1"/>
  <c r="L1410" i="3" s="1"/>
  <c r="G2192" i="3"/>
  <c r="G2156" i="3"/>
  <c r="H2208" i="3"/>
  <c r="I2208" i="3" s="1"/>
  <c r="J2208" i="3" s="1"/>
  <c r="L2208" i="3" s="1" a="1"/>
  <c r="L2208" i="3" s="1"/>
  <c r="G1813" i="3"/>
  <c r="H1813" i="3"/>
  <c r="I1813" i="3" s="1"/>
  <c r="J1813" i="3" s="1"/>
  <c r="L1813" i="3" s="1" a="1"/>
  <c r="L1813" i="3" s="1"/>
  <c r="H2174" i="3"/>
  <c r="I2174" i="3" s="1"/>
  <c r="J2174" i="3" s="1"/>
  <c r="L2174" i="3" s="1" a="1"/>
  <c r="L2174" i="3" s="1"/>
  <c r="H2163" i="3"/>
  <c r="I2163" i="3" s="1"/>
  <c r="J2163" i="3" s="1"/>
  <c r="L2163" i="3" s="1" a="1"/>
  <c r="L2163" i="3" s="1"/>
  <c r="H1920" i="3"/>
  <c r="I1920" i="3" s="1"/>
  <c r="J1920" i="3" s="1"/>
  <c r="L1920" i="3" s="1" a="1"/>
  <c r="L1920" i="3" s="1"/>
  <c r="G2179" i="3"/>
  <c r="H2179" i="3"/>
  <c r="I2179" i="3" s="1"/>
  <c r="J2179" i="3" s="1"/>
  <c r="L2179" i="3" s="1" a="1"/>
  <c r="L2179" i="3" s="1"/>
  <c r="G1874" i="3"/>
  <c r="H1874" i="3"/>
  <c r="I1874" i="3" s="1"/>
  <c r="J1874" i="3" s="1"/>
  <c r="L1874" i="3" s="1" a="1"/>
  <c r="L1874" i="3" s="1"/>
  <c r="H2099" i="3"/>
  <c r="I2099" i="3" s="1"/>
  <c r="J2099" i="3" s="1"/>
  <c r="L2099" i="3" s="1" a="1"/>
  <c r="L2099" i="3" s="1"/>
  <c r="H2044" i="3"/>
  <c r="I2044" i="3" s="1"/>
  <c r="J2044" i="3" s="1"/>
  <c r="L2044" i="3" s="1" a="1"/>
  <c r="L2044" i="3" s="1"/>
  <c r="H2033" i="3"/>
  <c r="I2033" i="3" s="1"/>
  <c r="J2033" i="3" s="1"/>
  <c r="L2033" i="3" s="1" a="1"/>
  <c r="L2033" i="3" s="1"/>
  <c r="G1547" i="3"/>
  <c r="G2186" i="3"/>
  <c r="H2186" i="3"/>
  <c r="I2186" i="3" s="1"/>
  <c r="J2186" i="3" s="1"/>
  <c r="L2186" i="3" s="1" a="1"/>
  <c r="L2186" i="3" s="1"/>
  <c r="G2112" i="3"/>
  <c r="G1578" i="3"/>
  <c r="H1578" i="3"/>
  <c r="I1578" i="3" s="1"/>
  <c r="J1578" i="3" s="1"/>
  <c r="L1578" i="3" s="1" a="1"/>
  <c r="L1578" i="3" s="1"/>
  <c r="H1656" i="3"/>
  <c r="I1656" i="3" s="1"/>
  <c r="J1656" i="3" s="1"/>
  <c r="L1656" i="3" s="1" a="1"/>
  <c r="L1656" i="3" s="1"/>
  <c r="G1656" i="3"/>
  <c r="G1487" i="3"/>
  <c r="H1487" i="3"/>
  <c r="I1487" i="3" s="1"/>
  <c r="J1487" i="3" s="1"/>
  <c r="L1487" i="3" s="1" a="1"/>
  <c r="L1487" i="3" s="1"/>
  <c r="H1456" i="3"/>
  <c r="I1456" i="3" s="1"/>
  <c r="J1456" i="3" s="1"/>
  <c r="L1456" i="3" s="1" a="1"/>
  <c r="L1456" i="3" s="1"/>
  <c r="G1589" i="3"/>
  <c r="H1589" i="3"/>
  <c r="I1589" i="3" s="1"/>
  <c r="J1589" i="3" s="1"/>
  <c r="L1589" i="3" s="1" a="1"/>
  <c r="L1589" i="3" s="1"/>
  <c r="G1655" i="3"/>
  <c r="H1655" i="3"/>
  <c r="I1655" i="3" s="1"/>
  <c r="J1655" i="3" s="1"/>
  <c r="L1655" i="3" s="1" a="1"/>
  <c r="L1655" i="3" s="1"/>
  <c r="G2046" i="3"/>
  <c r="H2046" i="3"/>
  <c r="I2046" i="3" s="1"/>
  <c r="J2046" i="3" s="1"/>
  <c r="L2046" i="3" s="1" a="1"/>
  <c r="L2046" i="3" s="1"/>
  <c r="G1953" i="3"/>
  <c r="G2187" i="3"/>
  <c r="H2187" i="3"/>
  <c r="I2187" i="3" s="1"/>
  <c r="J2187" i="3" s="1"/>
  <c r="L2187" i="3" s="1" a="1"/>
  <c r="L2187" i="3" s="1"/>
  <c r="H1515" i="3"/>
  <c r="I1515" i="3" s="1"/>
  <c r="J1515" i="3" s="1"/>
  <c r="L1515" i="3" s="1" a="1"/>
  <c r="L1515" i="3" s="1"/>
  <c r="G1515" i="3"/>
  <c r="G1359" i="3"/>
  <c r="H1359" i="3"/>
  <c r="I1359" i="3" s="1"/>
  <c r="J1359" i="3" s="1"/>
  <c r="L1359" i="3" s="1" a="1"/>
  <c r="L1359" i="3" s="1"/>
  <c r="H1238" i="3"/>
  <c r="I1238" i="3" s="1"/>
  <c r="J1238" i="3" s="1"/>
  <c r="L1238" i="3" s="1" a="1"/>
  <c r="L1238" i="3" s="1"/>
  <c r="G1238" i="3"/>
  <c r="H2065" i="3"/>
  <c r="I2065" i="3" s="1"/>
  <c r="J2065" i="3" s="1"/>
  <c r="L2065" i="3" s="1" a="1"/>
  <c r="L2065" i="3" s="1"/>
  <c r="H1799" i="3"/>
  <c r="I1799" i="3" s="1"/>
  <c r="J1799" i="3" s="1"/>
  <c r="L1799" i="3" s="1" a="1"/>
  <c r="L1799" i="3" s="1"/>
  <c r="G1588" i="3"/>
  <c r="H1588" i="3"/>
  <c r="I1588" i="3" s="1"/>
  <c r="J1588" i="3" s="1"/>
  <c r="L1588" i="3" s="1" a="1"/>
  <c r="L1588" i="3" s="1"/>
  <c r="G1854" i="3"/>
  <c r="G2131" i="3"/>
  <c r="H2131" i="3"/>
  <c r="I2131" i="3" s="1"/>
  <c r="J2131" i="3" s="1"/>
  <c r="L2131" i="3" s="1" a="1"/>
  <c r="L2131" i="3" s="1"/>
  <c r="G1835" i="3"/>
  <c r="H1560" i="3"/>
  <c r="I1560" i="3" s="1"/>
  <c r="J1560" i="3" s="1"/>
  <c r="L1560" i="3" s="1" a="1"/>
  <c r="L1560" i="3" s="1"/>
  <c r="H1229" i="3"/>
  <c r="I1229" i="3" s="1"/>
  <c r="J1229" i="3" s="1"/>
  <c r="L1229" i="3" s="1" a="1"/>
  <c r="L1229" i="3" s="1"/>
  <c r="H1771" i="3"/>
  <c r="I1771" i="3" s="1"/>
  <c r="J1771" i="3" s="1"/>
  <c r="L1771" i="3" s="1" a="1"/>
  <c r="L1771" i="3" s="1"/>
  <c r="H1461" i="3"/>
  <c r="I1461" i="3" s="1"/>
  <c r="J1461" i="3" s="1"/>
  <c r="L1461" i="3" s="1" a="1"/>
  <c r="L1461" i="3" s="1"/>
  <c r="H1671" i="3"/>
  <c r="I1671" i="3" s="1"/>
  <c r="J1671" i="3" s="1"/>
  <c r="L1671" i="3" s="1" a="1"/>
  <c r="L1671" i="3" s="1"/>
  <c r="H1399" i="3"/>
  <c r="I1399" i="3" s="1"/>
  <c r="J1399" i="3" s="1"/>
  <c r="L1399" i="3" s="1" a="1"/>
  <c r="L1399" i="3" s="1"/>
  <c r="H1348" i="3"/>
  <c r="I1348" i="3" s="1"/>
  <c r="J1348" i="3" s="1"/>
  <c r="L1348" i="3" s="1" a="1"/>
  <c r="L1348" i="3" s="1"/>
  <c r="G1294" i="3"/>
  <c r="H909" i="3"/>
  <c r="I909" i="3" s="1"/>
  <c r="J909" i="3" s="1"/>
  <c r="L909" i="3" s="1" a="1"/>
  <c r="L909" i="3" s="1"/>
  <c r="G1761" i="3"/>
  <c r="H1761" i="3"/>
  <c r="I1761" i="3" s="1"/>
  <c r="J1761" i="3" s="1"/>
  <c r="L1761" i="3" s="1" a="1"/>
  <c r="L1761" i="3" s="1"/>
  <c r="H1436" i="3"/>
  <c r="I1436" i="3" s="1"/>
  <c r="J1436" i="3" s="1"/>
  <c r="L1436" i="3" s="1" a="1"/>
  <c r="L1436" i="3" s="1"/>
  <c r="G1436" i="3"/>
  <c r="G709" i="3"/>
  <c r="H709" i="3"/>
  <c r="I709" i="3" s="1"/>
  <c r="J709" i="3" s="1"/>
  <c r="L709" i="3" s="1" a="1"/>
  <c r="L709" i="3" s="1"/>
  <c r="H1201" i="3"/>
  <c r="I1201" i="3" s="1"/>
  <c r="J1201" i="3" s="1"/>
  <c r="L1201" i="3" s="1" a="1"/>
  <c r="L1201" i="3" s="1"/>
  <c r="G1201" i="3"/>
  <c r="G872" i="3"/>
  <c r="H872" i="3"/>
  <c r="I872" i="3" s="1"/>
  <c r="J872" i="3" s="1"/>
  <c r="L872" i="3" s="1" a="1"/>
  <c r="L872" i="3" s="1"/>
  <c r="G1435" i="3"/>
  <c r="H1347" i="3"/>
  <c r="I1347" i="3" s="1"/>
  <c r="J1347" i="3" s="1"/>
  <c r="L1347" i="3" s="1" a="1"/>
  <c r="L1347" i="3" s="1"/>
  <c r="H1307" i="3"/>
  <c r="I1307" i="3" s="1"/>
  <c r="J1307" i="3" s="1"/>
  <c r="L1307" i="3" s="1" a="1"/>
  <c r="L1307" i="3" s="1"/>
  <c r="G1320" i="3"/>
  <c r="H1320" i="3"/>
  <c r="I1320" i="3" s="1"/>
  <c r="J1320" i="3" s="1"/>
  <c r="L1320" i="3" s="1" a="1"/>
  <c r="L1320" i="3" s="1"/>
  <c r="H1200" i="3"/>
  <c r="I1200" i="3" s="1"/>
  <c r="J1200" i="3" s="1"/>
  <c r="L1200" i="3" s="1" a="1"/>
  <c r="L1200" i="3" s="1"/>
  <c r="G1200" i="3"/>
  <c r="G959" i="3"/>
  <c r="H959" i="3"/>
  <c r="I959" i="3" s="1"/>
  <c r="J959" i="3" s="1"/>
  <c r="L959" i="3" s="1" a="1"/>
  <c r="L959" i="3" s="1"/>
  <c r="G1472" i="3"/>
  <c r="H1472" i="3"/>
  <c r="I1472" i="3" s="1"/>
  <c r="J1472" i="3" s="1"/>
  <c r="L1472" i="3" s="1" a="1"/>
  <c r="L1472" i="3" s="1"/>
  <c r="G1422" i="3"/>
  <c r="H1422" i="3"/>
  <c r="I1422" i="3" s="1"/>
  <c r="J1422" i="3" s="1"/>
  <c r="L1422" i="3" s="1" a="1"/>
  <c r="L1422" i="3" s="1"/>
  <c r="H606" i="3"/>
  <c r="I606" i="3" s="1"/>
  <c r="J606" i="3" s="1"/>
  <c r="L606" i="3" s="1" a="1"/>
  <c r="L606" i="3" s="1"/>
  <c r="G606" i="3"/>
  <c r="G1828" i="3"/>
  <c r="H1828" i="3"/>
  <c r="I1828" i="3" s="1"/>
  <c r="J1828" i="3" s="1"/>
  <c r="L1828" i="3" s="1" a="1"/>
  <c r="L1828" i="3" s="1"/>
  <c r="G1333" i="3"/>
  <c r="H1333" i="3"/>
  <c r="I1333" i="3" s="1"/>
  <c r="J1333" i="3" s="1"/>
  <c r="L1333" i="3" s="1" a="1"/>
  <c r="L1333" i="3" s="1"/>
  <c r="G994" i="3"/>
  <c r="H994" i="3"/>
  <c r="I994" i="3" s="1"/>
  <c r="J994" i="3" s="1"/>
  <c r="L994" i="3" s="1" a="1"/>
  <c r="L994" i="3" s="1"/>
  <c r="H1084" i="3"/>
  <c r="I1084" i="3" s="1"/>
  <c r="J1084" i="3" s="1"/>
  <c r="L1084" i="3" s="1" a="1"/>
  <c r="L1084" i="3" s="1"/>
  <c r="G1084" i="3"/>
  <c r="G906" i="3"/>
  <c r="G888" i="3"/>
  <c r="H888" i="3"/>
  <c r="I888" i="3" s="1"/>
  <c r="J888" i="3" s="1"/>
  <c r="L888" i="3" s="1" a="1"/>
  <c r="L888" i="3" s="1"/>
  <c r="G1305" i="3"/>
  <c r="H1305" i="3"/>
  <c r="I1305" i="3" s="1"/>
  <c r="J1305" i="3" s="1"/>
  <c r="L1305" i="3" s="1" a="1"/>
  <c r="L1305" i="3" s="1"/>
  <c r="G1647" i="3"/>
  <c r="H1647" i="3"/>
  <c r="I1647" i="3" s="1"/>
  <c r="J1647" i="3" s="1"/>
  <c r="L1647" i="3" s="1" a="1"/>
  <c r="L1647" i="3" s="1"/>
  <c r="G1626" i="3"/>
  <c r="H1626" i="3"/>
  <c r="I1626" i="3" s="1"/>
  <c r="J1626" i="3" s="1"/>
  <c r="L1626" i="3" s="1" a="1"/>
  <c r="L1626" i="3" s="1"/>
  <c r="H1615" i="3"/>
  <c r="I1615" i="3" s="1"/>
  <c r="J1615" i="3" s="1"/>
  <c r="L1615" i="3" s="1" a="1"/>
  <c r="L1615" i="3" s="1"/>
  <c r="G1383" i="3"/>
  <c r="H1383" i="3"/>
  <c r="I1383" i="3" s="1"/>
  <c r="J1383" i="3" s="1"/>
  <c r="L1383" i="3" s="1" a="1"/>
  <c r="L1383" i="3" s="1"/>
  <c r="G1332" i="3"/>
  <c r="H1332" i="3"/>
  <c r="I1332" i="3" s="1"/>
  <c r="J1332" i="3" s="1"/>
  <c r="L1332" i="3" s="1" a="1"/>
  <c r="L1332" i="3" s="1"/>
  <c r="H1039" i="3"/>
  <c r="I1039" i="3" s="1"/>
  <c r="J1039" i="3" s="1"/>
  <c r="L1039" i="3" s="1" a="1"/>
  <c r="L1039" i="3" s="1"/>
  <c r="H905" i="3"/>
  <c r="I905" i="3" s="1"/>
  <c r="J905" i="3" s="1"/>
  <c r="L905" i="3" s="1" a="1"/>
  <c r="L905" i="3" s="1"/>
  <c r="G905" i="3"/>
  <c r="H1769" i="3"/>
  <c r="I1769" i="3" s="1"/>
  <c r="J1769" i="3" s="1"/>
  <c r="L1769" i="3" s="1" a="1"/>
  <c r="L1769" i="3" s="1"/>
  <c r="G1769" i="3"/>
  <c r="G1517" i="3"/>
  <c r="G1421" i="3"/>
  <c r="G1099" i="3"/>
  <c r="H1099" i="3"/>
  <c r="I1099" i="3" s="1"/>
  <c r="J1099" i="3" s="1"/>
  <c r="L1099" i="3" s="1" a="1"/>
  <c r="L1099" i="3" s="1"/>
  <c r="G1331" i="3"/>
  <c r="H1331" i="3"/>
  <c r="I1331" i="3" s="1"/>
  <c r="J1331" i="3" s="1"/>
  <c r="L1331" i="3" s="1" a="1"/>
  <c r="L1331" i="3" s="1"/>
  <c r="H816" i="3"/>
  <c r="I816" i="3" s="1"/>
  <c r="J816" i="3" s="1"/>
  <c r="L816" i="3" s="1" a="1"/>
  <c r="L816" i="3" s="1"/>
  <c r="G1068" i="3"/>
  <c r="H1068" i="3"/>
  <c r="I1068" i="3" s="1"/>
  <c r="J1068" i="3" s="1"/>
  <c r="L1068" i="3" s="1" a="1"/>
  <c r="L1068" i="3" s="1"/>
  <c r="G1038" i="3"/>
  <c r="H1038" i="3"/>
  <c r="I1038" i="3" s="1"/>
  <c r="J1038" i="3" s="1"/>
  <c r="L1038" i="3" s="1" a="1"/>
  <c r="L1038" i="3" s="1"/>
  <c r="G922" i="3"/>
  <c r="H922" i="3"/>
  <c r="I922" i="3" s="1"/>
  <c r="J922" i="3" s="1"/>
  <c r="L922" i="3" s="1" a="1"/>
  <c r="L922" i="3" s="1"/>
  <c r="H662" i="3"/>
  <c r="I662" i="3" s="1"/>
  <c r="J662" i="3" s="1"/>
  <c r="L662" i="3" s="1" a="1"/>
  <c r="L662" i="3" s="1"/>
  <c r="G662" i="3"/>
  <c r="G762" i="3"/>
  <c r="H762" i="3"/>
  <c r="I762" i="3" s="1"/>
  <c r="J762" i="3" s="1"/>
  <c r="L762" i="3" s="1" a="1"/>
  <c r="L762" i="3" s="1"/>
  <c r="H1432" i="3"/>
  <c r="I1432" i="3" s="1"/>
  <c r="J1432" i="3" s="1"/>
  <c r="L1432" i="3" s="1" a="1"/>
  <c r="L1432" i="3" s="1"/>
  <c r="H1237" i="3"/>
  <c r="I1237" i="3" s="1"/>
  <c r="J1237" i="3" s="1"/>
  <c r="L1237" i="3" s="1" a="1"/>
  <c r="L1237" i="3" s="1"/>
  <c r="H1717" i="3"/>
  <c r="I1717" i="3" s="1"/>
  <c r="J1717" i="3" s="1"/>
  <c r="L1717" i="3" s="1" a="1"/>
  <c r="L1717" i="3" s="1"/>
  <c r="H1514" i="3"/>
  <c r="I1514" i="3" s="1"/>
  <c r="J1514" i="3" s="1"/>
  <c r="L1514" i="3" s="1" a="1"/>
  <c r="L1514" i="3" s="1"/>
  <c r="G1514" i="3"/>
  <c r="G1006" i="3"/>
  <c r="H1006" i="3"/>
  <c r="I1006" i="3" s="1"/>
  <c r="J1006" i="3" s="1"/>
  <c r="L1006" i="3" s="1" a="1"/>
  <c r="L1006" i="3" s="1"/>
  <c r="G989" i="3"/>
  <c r="H989" i="3"/>
  <c r="I989" i="3" s="1"/>
  <c r="J989" i="3" s="1"/>
  <c r="L989" i="3" s="1" a="1"/>
  <c r="L989" i="3" s="1"/>
  <c r="H829" i="3"/>
  <c r="I829" i="3" s="1"/>
  <c r="J829" i="3" s="1"/>
  <c r="L829" i="3" s="1" a="1"/>
  <c r="L829" i="3" s="1"/>
  <c r="G829" i="3"/>
  <c r="H1181" i="3"/>
  <c r="I1181" i="3" s="1"/>
  <c r="J1181" i="3" s="1"/>
  <c r="L1181" i="3" s="1" a="1"/>
  <c r="L1181" i="3" s="1"/>
  <c r="G951" i="3"/>
  <c r="H951" i="3"/>
  <c r="I951" i="3" s="1"/>
  <c r="J951" i="3" s="1"/>
  <c r="L951" i="3" s="1" a="1"/>
  <c r="L951" i="3" s="1"/>
  <c r="G1235" i="3"/>
  <c r="H1180" i="3"/>
  <c r="I1180" i="3" s="1"/>
  <c r="J1180" i="3" s="1"/>
  <c r="L1180" i="3" s="1" a="1"/>
  <c r="L1180" i="3" s="1"/>
  <c r="G1138" i="3"/>
  <c r="G1004" i="3"/>
  <c r="H986" i="3"/>
  <c r="I986" i="3" s="1"/>
  <c r="J986" i="3" s="1"/>
  <c r="L986" i="3" s="1" a="1"/>
  <c r="L986" i="3" s="1"/>
  <c r="G986" i="3"/>
  <c r="H1392" i="3"/>
  <c r="I1392" i="3" s="1"/>
  <c r="J1392" i="3" s="1"/>
  <c r="L1392" i="3" s="1" a="1"/>
  <c r="L1392" i="3" s="1"/>
  <c r="G1392" i="3"/>
  <c r="H1262" i="3"/>
  <c r="I1262" i="3" s="1"/>
  <c r="J1262" i="3" s="1"/>
  <c r="L1262" i="3" s="1" a="1"/>
  <c r="L1262" i="3" s="1"/>
  <c r="G1167" i="3"/>
  <c r="G1109" i="3"/>
  <c r="H1109" i="3"/>
  <c r="I1109" i="3" s="1"/>
  <c r="J1109" i="3" s="1"/>
  <c r="L1109" i="3" s="1" a="1"/>
  <c r="L1109" i="3" s="1"/>
  <c r="H1094" i="3"/>
  <c r="I1094" i="3" s="1"/>
  <c r="J1094" i="3" s="1"/>
  <c r="L1094" i="3" s="1" a="1"/>
  <c r="L1094" i="3" s="1"/>
  <c r="G1094" i="3"/>
  <c r="G1034" i="3"/>
  <c r="H1034" i="3"/>
  <c r="I1034" i="3" s="1"/>
  <c r="J1034" i="3" s="1"/>
  <c r="L1034" i="3" s="1" a="1"/>
  <c r="L1034" i="3" s="1"/>
  <c r="G679" i="3"/>
  <c r="H679" i="3"/>
  <c r="I679" i="3" s="1"/>
  <c r="J679" i="3" s="1"/>
  <c r="L679" i="3" s="1" a="1"/>
  <c r="L679" i="3" s="1"/>
  <c r="G1685" i="3"/>
  <c r="H1685" i="3"/>
  <c r="I1685" i="3" s="1"/>
  <c r="J1685" i="3" s="1"/>
  <c r="L1685" i="3" s="1" a="1"/>
  <c r="L1685" i="3" s="1"/>
  <c r="G1108" i="3"/>
  <c r="H1108" i="3"/>
  <c r="I1108" i="3" s="1"/>
  <c r="J1108" i="3" s="1"/>
  <c r="L1108" i="3" s="1" a="1"/>
  <c r="L1108" i="3" s="1"/>
  <c r="G1404" i="3"/>
  <c r="H1404" i="3"/>
  <c r="I1404" i="3" s="1"/>
  <c r="J1404" i="3" s="1"/>
  <c r="L1404" i="3" s="1" a="1"/>
  <c r="L1404" i="3" s="1"/>
  <c r="G1891" i="3"/>
  <c r="H1891" i="3"/>
  <c r="I1891" i="3" s="1"/>
  <c r="J1891" i="3" s="1"/>
  <c r="L1891" i="3" s="1" a="1"/>
  <c r="L1891" i="3" s="1"/>
  <c r="H1261" i="3"/>
  <c r="I1261" i="3" s="1"/>
  <c r="J1261" i="3" s="1"/>
  <c r="L1261" i="3" s="1" a="1"/>
  <c r="L1261" i="3" s="1"/>
  <c r="G1261" i="3"/>
  <c r="G1247" i="3"/>
  <c r="H1247" i="3"/>
  <c r="I1247" i="3" s="1"/>
  <c r="J1247" i="3" s="1"/>
  <c r="L1247" i="3" s="1" a="1"/>
  <c r="L1247" i="3" s="1"/>
  <c r="G1137" i="3"/>
  <c r="G1353" i="3"/>
  <c r="H1353" i="3"/>
  <c r="I1353" i="3" s="1"/>
  <c r="J1353" i="3" s="1"/>
  <c r="L1353" i="3" s="1" a="1"/>
  <c r="L1353" i="3" s="1"/>
  <c r="G933" i="3"/>
  <c r="H933" i="3"/>
  <c r="I933" i="3" s="1"/>
  <c r="J933" i="3" s="1"/>
  <c r="L933" i="3" s="1" a="1"/>
  <c r="L933" i="3" s="1"/>
  <c r="G2022" i="3"/>
  <c r="G1852" i="3"/>
  <c r="G1465" i="3"/>
  <c r="H1465" i="3"/>
  <c r="I1465" i="3" s="1"/>
  <c r="J1465" i="3" s="1"/>
  <c r="L1465" i="3" s="1" a="1"/>
  <c r="L1465" i="3" s="1"/>
  <c r="G915" i="3"/>
  <c r="H915" i="3"/>
  <c r="I915" i="3" s="1"/>
  <c r="J915" i="3" s="1"/>
  <c r="L915" i="3" s="1" a="1"/>
  <c r="L915" i="3" s="1"/>
  <c r="G1976" i="3"/>
  <c r="H1976" i="3"/>
  <c r="I1976" i="3" s="1"/>
  <c r="J1976" i="3" s="1"/>
  <c r="L1976" i="3" s="1" a="1"/>
  <c r="L1976" i="3" s="1"/>
  <c r="G1985" i="3"/>
  <c r="H1985" i="3"/>
  <c r="I1985" i="3" s="1"/>
  <c r="J1985" i="3" s="1"/>
  <c r="L1985" i="3" s="1" a="1"/>
  <c r="L1985" i="3" s="1"/>
  <c r="G1956" i="3"/>
  <c r="H1956" i="3"/>
  <c r="I1956" i="3" s="1"/>
  <c r="J1956" i="3" s="1"/>
  <c r="L1956" i="3" s="1" a="1"/>
  <c r="L1956" i="3" s="1"/>
  <c r="H1704" i="3"/>
  <c r="I1704" i="3" s="1"/>
  <c r="J1704" i="3" s="1"/>
  <c r="L1704" i="3" s="1" a="1"/>
  <c r="L1704" i="3" s="1"/>
  <c r="G1704" i="3"/>
  <c r="G1339" i="3"/>
  <c r="H1339" i="3"/>
  <c r="I1339" i="3" s="1"/>
  <c r="J1339" i="3" s="1"/>
  <c r="L1339" i="3" s="1" a="1"/>
  <c r="L1339" i="3" s="1"/>
  <c r="G1206" i="3"/>
  <c r="H1206" i="3"/>
  <c r="I1206" i="3" s="1"/>
  <c r="J1206" i="3" s="1"/>
  <c r="L1206" i="3" s="1" a="1"/>
  <c r="L1206" i="3" s="1"/>
  <c r="G1192" i="3"/>
  <c r="G1151" i="3"/>
  <c r="H1151" i="3"/>
  <c r="I1151" i="3" s="1"/>
  <c r="J1151" i="3" s="1"/>
  <c r="L1151" i="3" s="1" a="1"/>
  <c r="L1151" i="3" s="1"/>
  <c r="G1002" i="3"/>
  <c r="H1002" i="3"/>
  <c r="I1002" i="3" s="1"/>
  <c r="J1002" i="3" s="1"/>
  <c r="L1002" i="3" s="1" a="1"/>
  <c r="L1002" i="3" s="1"/>
  <c r="G2068" i="3"/>
  <c r="H2068" i="3"/>
  <c r="I2068" i="3" s="1"/>
  <c r="J2068" i="3" s="1"/>
  <c r="L2068" i="3" s="1" a="1"/>
  <c r="L2068" i="3" s="1"/>
  <c r="G1533" i="3"/>
  <c r="G1365" i="3"/>
  <c r="H1365" i="3"/>
  <c r="I1365" i="3" s="1"/>
  <c r="J1365" i="3" s="1"/>
  <c r="L1365" i="3" s="1" a="1"/>
  <c r="L1365" i="3" s="1"/>
  <c r="G1260" i="3"/>
  <c r="G1325" i="3"/>
  <c r="G1001" i="3"/>
  <c r="H1001" i="3"/>
  <c r="I1001" i="3" s="1"/>
  <c r="J1001" i="3" s="1"/>
  <c r="L1001" i="3" s="1" a="1"/>
  <c r="L1001" i="3" s="1"/>
  <c r="G696" i="3"/>
  <c r="H696" i="3"/>
  <c r="I696" i="3" s="1"/>
  <c r="J696" i="3" s="1"/>
  <c r="L696" i="3" s="1" a="1"/>
  <c r="L696" i="3" s="1"/>
  <c r="G1298" i="3"/>
  <c r="H1298" i="3"/>
  <c r="I1298" i="3" s="1"/>
  <c r="J1298" i="3" s="1"/>
  <c r="L1298" i="3" s="1" a="1"/>
  <c r="L1298" i="3" s="1"/>
  <c r="G1284" i="3"/>
  <c r="H1284" i="3"/>
  <c r="I1284" i="3" s="1"/>
  <c r="J1284" i="3" s="1"/>
  <c r="L1284" i="3" s="1" a="1"/>
  <c r="L1284" i="3" s="1"/>
  <c r="G1120" i="3"/>
  <c r="H1120" i="3"/>
  <c r="I1120" i="3" s="1"/>
  <c r="J1120" i="3" s="1"/>
  <c r="L1120" i="3" s="1" a="1"/>
  <c r="L1120" i="3" s="1"/>
  <c r="G1076" i="3"/>
  <c r="H1076" i="3"/>
  <c r="I1076" i="3" s="1"/>
  <c r="J1076" i="3" s="1"/>
  <c r="L1076" i="3" s="1" a="1"/>
  <c r="L1076" i="3" s="1"/>
  <c r="G1030" i="3"/>
  <c r="H1030" i="3"/>
  <c r="I1030" i="3" s="1"/>
  <c r="J1030" i="3" s="1"/>
  <c r="L1030" i="3" s="1" a="1"/>
  <c r="L1030" i="3" s="1"/>
  <c r="G1149" i="3"/>
  <c r="H1149" i="3"/>
  <c r="I1149" i="3" s="1"/>
  <c r="J1149" i="3" s="1"/>
  <c r="L1149" i="3" s="1" a="1"/>
  <c r="L1149" i="3" s="1"/>
  <c r="H1090" i="3"/>
  <c r="I1090" i="3" s="1"/>
  <c r="J1090" i="3" s="1"/>
  <c r="L1090" i="3" s="1" a="1"/>
  <c r="L1090" i="3" s="1"/>
  <c r="G1090" i="3"/>
  <c r="G1015" i="3"/>
  <c r="H1015" i="3"/>
  <c r="I1015" i="3" s="1"/>
  <c r="J1015" i="3" s="1"/>
  <c r="L1015" i="3" s="1" a="1"/>
  <c r="L1015" i="3" s="1"/>
  <c r="H1733" i="3"/>
  <c r="I1733" i="3" s="1"/>
  <c r="J1733" i="3" s="1"/>
  <c r="L1733" i="3" s="1" a="1"/>
  <c r="L1733" i="3" s="1"/>
  <c r="H1723" i="3"/>
  <c r="I1723" i="3" s="1"/>
  <c r="J1723" i="3" s="1"/>
  <c r="L1723" i="3" s="1" a="1"/>
  <c r="L1723" i="3" s="1"/>
  <c r="H1488" i="3"/>
  <c r="I1488" i="3" s="1"/>
  <c r="J1488" i="3" s="1"/>
  <c r="L1488" i="3" s="1" a="1"/>
  <c r="L1488" i="3" s="1"/>
  <c r="H1272" i="3"/>
  <c r="I1272" i="3" s="1"/>
  <c r="J1272" i="3" s="1"/>
  <c r="L1272" i="3" s="1" a="1"/>
  <c r="L1272" i="3" s="1"/>
  <c r="G1743" i="3"/>
  <c r="G1651" i="3"/>
  <c r="G1608" i="3"/>
  <c r="H1608" i="3"/>
  <c r="I1608" i="3" s="1"/>
  <c r="J1608" i="3" s="1"/>
  <c r="L1608" i="3" s="1" a="1"/>
  <c r="L1608" i="3" s="1"/>
  <c r="H823" i="3"/>
  <c r="I823" i="3" s="1"/>
  <c r="J823" i="3" s="1"/>
  <c r="L823" i="3" s="1" a="1"/>
  <c r="L823" i="3" s="1"/>
  <c r="G823" i="3"/>
  <c r="G2021" i="3"/>
  <c r="H2021" i="3"/>
  <c r="I2021" i="3" s="1"/>
  <c r="J2021" i="3" s="1"/>
  <c r="L2021" i="3" s="1" a="1"/>
  <c r="L2021" i="3" s="1"/>
  <c r="G2086" i="3"/>
  <c r="H2086" i="3"/>
  <c r="I2086" i="3" s="1"/>
  <c r="J2086" i="3" s="1"/>
  <c r="L2086" i="3" s="1" a="1"/>
  <c r="L2086" i="3" s="1"/>
  <c r="H1802" i="3"/>
  <c r="I1802" i="3" s="1"/>
  <c r="J1802" i="3" s="1"/>
  <c r="L1802" i="3" s="1" a="1"/>
  <c r="L1802" i="3" s="1"/>
  <c r="G1802" i="3"/>
  <c r="G1029" i="3"/>
  <c r="H1029" i="3"/>
  <c r="I1029" i="3" s="1"/>
  <c r="J1029" i="3" s="1"/>
  <c r="L1029" i="3" s="1" a="1"/>
  <c r="L1029" i="3" s="1"/>
  <c r="H946" i="3"/>
  <c r="I946" i="3" s="1"/>
  <c r="J946" i="3" s="1"/>
  <c r="L946" i="3" s="1" a="1"/>
  <c r="L946" i="3" s="1"/>
  <c r="G946" i="3"/>
  <c r="G2169" i="3"/>
  <c r="H2169" i="3"/>
  <c r="I2169" i="3" s="1"/>
  <c r="J2169" i="3" s="1"/>
  <c r="L2169" i="3" s="1" a="1"/>
  <c r="L2169" i="3" s="1"/>
  <c r="G1889" i="3"/>
  <c r="H1889" i="3"/>
  <c r="I1889" i="3" s="1"/>
  <c r="J1889" i="3" s="1"/>
  <c r="L1889" i="3" s="1" a="1"/>
  <c r="L1889" i="3" s="1"/>
  <c r="G1692" i="3"/>
  <c r="H1692" i="3"/>
  <c r="I1692" i="3" s="1"/>
  <c r="J1692" i="3" s="1"/>
  <c r="L1692" i="3" s="1" a="1"/>
  <c r="L1692" i="3" s="1"/>
  <c r="G1630" i="3"/>
  <c r="H1630" i="3"/>
  <c r="I1630" i="3" s="1"/>
  <c r="J1630" i="3" s="1"/>
  <c r="L1630" i="3" s="1" a="1"/>
  <c r="L1630" i="3" s="1"/>
  <c r="G1375" i="3"/>
  <c r="H1375" i="3"/>
  <c r="I1375" i="3" s="1"/>
  <c r="J1375" i="3" s="1"/>
  <c r="L1375" i="3" s="1" a="1"/>
  <c r="L1375" i="3" s="1"/>
  <c r="G1926" i="3"/>
  <c r="H1926" i="3"/>
  <c r="I1926" i="3" s="1"/>
  <c r="J1926" i="3" s="1"/>
  <c r="L1926" i="3" s="1" a="1"/>
  <c r="L1926" i="3" s="1"/>
  <c r="H1133" i="3"/>
  <c r="I1133" i="3" s="1"/>
  <c r="J1133" i="3" s="1"/>
  <c r="L1133" i="3" s="1" a="1"/>
  <c r="L1133" i="3" s="1"/>
  <c r="G1133" i="3"/>
  <c r="G2168" i="3"/>
  <c r="H2168" i="3"/>
  <c r="I2168" i="3" s="1"/>
  <c r="J2168" i="3" s="1"/>
  <c r="L2168" i="3" s="1" a="1"/>
  <c r="L2168" i="3" s="1"/>
  <c r="H2158" i="3"/>
  <c r="I2158" i="3" s="1"/>
  <c r="J2158" i="3" s="1"/>
  <c r="L2158" i="3" s="1" a="1"/>
  <c r="L2158" i="3" s="1"/>
  <c r="H1954" i="3"/>
  <c r="I1954" i="3" s="1"/>
  <c r="J1954" i="3" s="1"/>
  <c r="L1954" i="3" s="1" a="1"/>
  <c r="L1954" i="3" s="1"/>
  <c r="H1945" i="3"/>
  <c r="I1945" i="3" s="1"/>
  <c r="J1945" i="3" s="1"/>
  <c r="L1945" i="3" s="1" a="1"/>
  <c r="L1945" i="3" s="1"/>
  <c r="H1879" i="3"/>
  <c r="I1879" i="3" s="1"/>
  <c r="J1879" i="3" s="1"/>
  <c r="L1879" i="3" s="1" a="1"/>
  <c r="L1879" i="3" s="1"/>
  <c r="H1586" i="3"/>
  <c r="I1586" i="3" s="1"/>
  <c r="J1586" i="3" s="1"/>
  <c r="L1586" i="3" s="1" a="1"/>
  <c r="L1586" i="3" s="1"/>
  <c r="G2029" i="3"/>
  <c r="G1742" i="3"/>
  <c r="G1712" i="3"/>
  <c r="H1712" i="3"/>
  <c r="I1712" i="3" s="1"/>
  <c r="J1712" i="3" s="1"/>
  <c r="L1712" i="3" s="1" a="1"/>
  <c r="L1712" i="3" s="1"/>
  <c r="G1607" i="3"/>
  <c r="G1271" i="3"/>
  <c r="G1203" i="3"/>
  <c r="G1088" i="3"/>
  <c r="H1013" i="3"/>
  <c r="I1013" i="3" s="1"/>
  <c r="J1013" i="3" s="1"/>
  <c r="L1013" i="3" s="1" a="1"/>
  <c r="L1013" i="3" s="1"/>
  <c r="G1013" i="3"/>
  <c r="H1486" i="3"/>
  <c r="I1486" i="3" s="1"/>
  <c r="J1486" i="3" s="1"/>
  <c r="L1486" i="3" s="1" a="1"/>
  <c r="L1486" i="3" s="1"/>
  <c r="G1486" i="3"/>
  <c r="G1132" i="3"/>
  <c r="H1132" i="3"/>
  <c r="I1132" i="3" s="1"/>
  <c r="J1132" i="3" s="1"/>
  <c r="L1132" i="3" s="1" a="1"/>
  <c r="L1132" i="3" s="1"/>
  <c r="G1830" i="3"/>
  <c r="H1830" i="3"/>
  <c r="I1830" i="3" s="1"/>
  <c r="J1830" i="3" s="1"/>
  <c r="L1830" i="3" s="1" a="1"/>
  <c r="L1830" i="3" s="1"/>
  <c r="G1309" i="3"/>
  <c r="H1309" i="3"/>
  <c r="I1309" i="3" s="1"/>
  <c r="J1309" i="3" s="1"/>
  <c r="L1309" i="3" s="1" a="1"/>
  <c r="L1309" i="3" s="1"/>
  <c r="H1295" i="3"/>
  <c r="I1295" i="3" s="1"/>
  <c r="J1295" i="3" s="1"/>
  <c r="L1295" i="3" s="1" a="1"/>
  <c r="L1295" i="3" s="1"/>
  <c r="G1295" i="3"/>
  <c r="G1509" i="3"/>
  <c r="H1509" i="3"/>
  <c r="I1509" i="3" s="1"/>
  <c r="J1509" i="3" s="1"/>
  <c r="L1509" i="3" s="1" a="1"/>
  <c r="L1509" i="3" s="1"/>
  <c r="G944" i="3"/>
  <c r="G856" i="3"/>
  <c r="G661" i="3"/>
  <c r="H661" i="3"/>
  <c r="I661" i="3" s="1"/>
  <c r="J661" i="3" s="1"/>
  <c r="L661" i="3" s="1" a="1"/>
  <c r="L661" i="3" s="1"/>
  <c r="H894" i="3"/>
  <c r="I894" i="3" s="1"/>
  <c r="J894" i="3" s="1"/>
  <c r="L894" i="3" s="1" a="1"/>
  <c r="L894" i="3" s="1"/>
  <c r="G894" i="3"/>
  <c r="H878" i="3"/>
  <c r="I878" i="3" s="1"/>
  <c r="J878" i="3" s="1"/>
  <c r="L878" i="3" s="1" a="1"/>
  <c r="L878" i="3" s="1"/>
  <c r="G878" i="3"/>
  <c r="G848" i="3"/>
  <c r="H848" i="3"/>
  <c r="I848" i="3" s="1"/>
  <c r="J848" i="3" s="1"/>
  <c r="L848" i="3" s="1" a="1"/>
  <c r="L848" i="3" s="1"/>
  <c r="G908" i="3"/>
  <c r="H908" i="3"/>
  <c r="I908" i="3" s="1"/>
  <c r="J908" i="3" s="1"/>
  <c r="L908" i="3" s="1" a="1"/>
  <c r="L908" i="3" s="1"/>
  <c r="G641" i="3"/>
  <c r="H641" i="3"/>
  <c r="I641" i="3" s="1"/>
  <c r="J641" i="3" s="1"/>
  <c r="L641" i="3" s="1" a="1"/>
  <c r="L641" i="3" s="1"/>
  <c r="H1445" i="3"/>
  <c r="I1445" i="3" s="1"/>
  <c r="J1445" i="3" s="1"/>
  <c r="L1445" i="3" s="1" a="1"/>
  <c r="L1445" i="3" s="1"/>
  <c r="G1445" i="3"/>
  <c r="G1066" i="3"/>
  <c r="H1066" i="3"/>
  <c r="I1066" i="3" s="1"/>
  <c r="J1066" i="3" s="1"/>
  <c r="L1066" i="3" s="1" a="1"/>
  <c r="L1066" i="3" s="1"/>
  <c r="G602" i="3"/>
  <c r="H602" i="3"/>
  <c r="I602" i="3" s="1"/>
  <c r="J602" i="3" s="1"/>
  <c r="L602" i="3" s="1" a="1"/>
  <c r="L602" i="3" s="1"/>
  <c r="H563" i="3"/>
  <c r="I563" i="3" s="1"/>
  <c r="J563" i="3" s="1"/>
  <c r="L563" i="3" s="1" a="1"/>
  <c r="L563" i="3" s="1"/>
  <c r="G563" i="3"/>
  <c r="G460" i="3"/>
  <c r="H460" i="3"/>
  <c r="I460" i="3" s="1"/>
  <c r="J460" i="3" s="1"/>
  <c r="L460" i="3" s="1" a="1"/>
  <c r="L460" i="3" s="1"/>
  <c r="H921" i="3"/>
  <c r="I921" i="3" s="1"/>
  <c r="J921" i="3" s="1"/>
  <c r="L921" i="3" s="1" a="1"/>
  <c r="L921" i="3" s="1"/>
  <c r="G921" i="3"/>
  <c r="G935" i="3"/>
  <c r="H935" i="3"/>
  <c r="I935" i="3" s="1"/>
  <c r="J935" i="3" s="1"/>
  <c r="L935" i="3" s="1" a="1"/>
  <c r="L935" i="3" s="1"/>
  <c r="G891" i="3"/>
  <c r="H891" i="3"/>
  <c r="I891" i="3" s="1"/>
  <c r="J891" i="3" s="1"/>
  <c r="L891" i="3" s="1" a="1"/>
  <c r="L891" i="3" s="1"/>
  <c r="G1642" i="3"/>
  <c r="H1642" i="3"/>
  <c r="I1642" i="3" s="1"/>
  <c r="J1642" i="3" s="1"/>
  <c r="L1642" i="3" s="1" a="1"/>
  <c r="L1642" i="3" s="1"/>
  <c r="G1226" i="3"/>
  <c r="H1226" i="3"/>
  <c r="I1226" i="3" s="1"/>
  <c r="J1226" i="3" s="1"/>
  <c r="L1226" i="3" s="1" a="1"/>
  <c r="L1226" i="3" s="1"/>
  <c r="G1135" i="3"/>
  <c r="H1135" i="3"/>
  <c r="I1135" i="3" s="1"/>
  <c r="J1135" i="3" s="1"/>
  <c r="L1135" i="3" s="1" a="1"/>
  <c r="L1135" i="3" s="1"/>
  <c r="G988" i="3"/>
  <c r="H988" i="3"/>
  <c r="I988" i="3" s="1"/>
  <c r="J988" i="3" s="1"/>
  <c r="L988" i="3" s="1" a="1"/>
  <c r="L988" i="3" s="1"/>
  <c r="H960" i="3"/>
  <c r="I960" i="3" s="1"/>
  <c r="J960" i="3" s="1"/>
  <c r="L960" i="3" s="1" a="1"/>
  <c r="L960" i="3" s="1"/>
  <c r="G960" i="3"/>
  <c r="H798" i="3"/>
  <c r="I798" i="3" s="1"/>
  <c r="J798" i="3" s="1"/>
  <c r="L798" i="3" s="1" a="1"/>
  <c r="L798" i="3" s="1"/>
  <c r="H713" i="3"/>
  <c r="I713" i="3" s="1"/>
  <c r="J713" i="3" s="1"/>
  <c r="L713" i="3" s="1" a="1"/>
  <c r="L713" i="3" s="1"/>
  <c r="G713" i="3"/>
  <c r="H843" i="3"/>
  <c r="I843" i="3" s="1"/>
  <c r="J843" i="3" s="1"/>
  <c r="L843" i="3" s="1" a="1"/>
  <c r="L843" i="3" s="1"/>
  <c r="G843" i="3"/>
  <c r="H813" i="3"/>
  <c r="I813" i="3" s="1"/>
  <c r="J813" i="3" s="1"/>
  <c r="L813" i="3" s="1" a="1"/>
  <c r="L813" i="3" s="1"/>
  <c r="G813" i="3"/>
  <c r="H730" i="3"/>
  <c r="I730" i="3" s="1"/>
  <c r="J730" i="3" s="1"/>
  <c r="L730" i="3" s="1" a="1"/>
  <c r="L730" i="3" s="1"/>
  <c r="G597" i="3"/>
  <c r="H597" i="3"/>
  <c r="I597" i="3" s="1"/>
  <c r="J597" i="3" s="1"/>
  <c r="L597" i="3" s="1" a="1"/>
  <c r="L597" i="3" s="1"/>
  <c r="G765" i="3"/>
  <c r="H765" i="3"/>
  <c r="I765" i="3" s="1"/>
  <c r="J765" i="3" s="1"/>
  <c r="L765" i="3" s="1" a="1"/>
  <c r="L765" i="3" s="1"/>
  <c r="G711" i="3"/>
  <c r="H711" i="3"/>
  <c r="I711" i="3" s="1"/>
  <c r="J711" i="3" s="1"/>
  <c r="L711" i="3" s="1" a="1"/>
  <c r="L711" i="3" s="1"/>
  <c r="G729" i="3"/>
  <c r="H729" i="3"/>
  <c r="I729" i="3" s="1"/>
  <c r="J729" i="3" s="1"/>
  <c r="L729" i="3" s="1" a="1"/>
  <c r="L729" i="3" s="1"/>
  <c r="G1062" i="3"/>
  <c r="H932" i="3"/>
  <c r="I932" i="3" s="1"/>
  <c r="J932" i="3" s="1"/>
  <c r="L932" i="3" s="1" a="1"/>
  <c r="L932" i="3" s="1"/>
  <c r="H1345" i="3"/>
  <c r="I1345" i="3" s="1"/>
  <c r="J1345" i="3" s="1"/>
  <c r="L1345" i="3" s="1" a="1"/>
  <c r="L1345" i="3" s="1"/>
  <c r="G1345" i="3"/>
  <c r="G972" i="3"/>
  <c r="G857" i="3"/>
  <c r="H857" i="3"/>
  <c r="I857" i="3" s="1"/>
  <c r="J857" i="3" s="1"/>
  <c r="L857" i="3" s="1" a="1"/>
  <c r="L857" i="3" s="1"/>
  <c r="H1419" i="3"/>
  <c r="I1419" i="3" s="1"/>
  <c r="J1419" i="3" s="1"/>
  <c r="L1419" i="3" s="1" a="1"/>
  <c r="L1419" i="3" s="1"/>
  <c r="H1224" i="3"/>
  <c r="I1224" i="3" s="1"/>
  <c r="J1224" i="3" s="1"/>
  <c r="L1224" i="3" s="1" a="1"/>
  <c r="L1224" i="3" s="1"/>
  <c r="H1049" i="3"/>
  <c r="I1049" i="3" s="1"/>
  <c r="J1049" i="3" s="1"/>
  <c r="L1049" i="3" s="1" a="1"/>
  <c r="L1049" i="3" s="1"/>
  <c r="G1024" i="3"/>
  <c r="G1696" i="3"/>
  <c r="H1696" i="3"/>
  <c r="I1696" i="3" s="1"/>
  <c r="J1696" i="3" s="1"/>
  <c r="L1696" i="3" s="1" a="1"/>
  <c r="L1696" i="3" s="1"/>
  <c r="G1085" i="3"/>
  <c r="H1085" i="3"/>
  <c r="I1085" i="3" s="1"/>
  <c r="J1085" i="3" s="1"/>
  <c r="L1085" i="3" s="1" a="1"/>
  <c r="L1085" i="3" s="1"/>
  <c r="G886" i="3"/>
  <c r="H671" i="3"/>
  <c r="I671" i="3" s="1"/>
  <c r="J671" i="3" s="1"/>
  <c r="L671" i="3" s="1" a="1"/>
  <c r="L671" i="3" s="1"/>
  <c r="G671" i="3"/>
  <c r="G885" i="3"/>
  <c r="H885" i="3"/>
  <c r="I885" i="3" s="1"/>
  <c r="J885" i="3" s="1"/>
  <c r="L885" i="3" s="1" a="1"/>
  <c r="L885" i="3" s="1"/>
  <c r="G742" i="3"/>
  <c r="H742" i="3"/>
  <c r="I742" i="3" s="1"/>
  <c r="J742" i="3" s="1"/>
  <c r="L742" i="3" s="1" a="1"/>
  <c r="L742" i="3" s="1"/>
  <c r="G1245" i="3"/>
  <c r="H1245" i="3"/>
  <c r="I1245" i="3" s="1"/>
  <c r="J1245" i="3" s="1"/>
  <c r="L1245" i="3" s="1" a="1"/>
  <c r="L1245" i="3" s="1"/>
  <c r="G839" i="3"/>
  <c r="H839" i="3"/>
  <c r="I839" i="3" s="1"/>
  <c r="J839" i="3" s="1"/>
  <c r="L839" i="3" s="1" a="1"/>
  <c r="L839" i="3" s="1"/>
  <c r="H631" i="3"/>
  <c r="I631" i="3" s="1"/>
  <c r="J631" i="3" s="1"/>
  <c r="L631" i="3" s="1" a="1"/>
  <c r="L631" i="3" s="1"/>
  <c r="G631" i="3"/>
  <c r="G575" i="3"/>
  <c r="H575" i="3"/>
  <c r="I575" i="3" s="1"/>
  <c r="J575" i="3" s="1"/>
  <c r="L575" i="3" s="1" a="1"/>
  <c r="L575" i="3" s="1"/>
  <c r="G1023" i="3"/>
  <c r="H1023" i="3"/>
  <c r="I1023" i="3" s="1"/>
  <c r="J1023" i="3" s="1"/>
  <c r="L1023" i="3" s="1" a="1"/>
  <c r="L1023" i="3" s="1"/>
  <c r="G929" i="3"/>
  <c r="H929" i="3"/>
  <c r="I929" i="3" s="1"/>
  <c r="J929" i="3" s="1"/>
  <c r="L929" i="3" s="1" a="1"/>
  <c r="L929" i="3" s="1"/>
  <c r="H1222" i="3"/>
  <c r="I1222" i="3" s="1"/>
  <c r="J1222" i="3" s="1"/>
  <c r="L1222" i="3" s="1" a="1"/>
  <c r="L1222" i="3" s="1"/>
  <c r="G1222" i="3"/>
  <c r="H1154" i="3"/>
  <c r="I1154" i="3" s="1"/>
  <c r="J1154" i="3" s="1"/>
  <c r="L1154" i="3" s="1" a="1"/>
  <c r="L1154" i="3" s="1"/>
  <c r="G1154" i="3"/>
  <c r="G808" i="3"/>
  <c r="H808" i="3"/>
  <c r="I808" i="3" s="1"/>
  <c r="J808" i="3" s="1"/>
  <c r="L808" i="3" s="1" a="1"/>
  <c r="L808" i="3" s="1"/>
  <c r="H1266" i="3"/>
  <c r="I1266" i="3" s="1"/>
  <c r="J1266" i="3" s="1"/>
  <c r="L1266" i="3" s="1" a="1"/>
  <c r="L1266" i="3" s="1"/>
  <c r="G1266" i="3"/>
  <c r="H1047" i="3"/>
  <c r="I1047" i="3" s="1"/>
  <c r="J1047" i="3" s="1"/>
  <c r="L1047" i="3" s="1" a="1"/>
  <c r="L1047" i="3" s="1"/>
  <c r="G1047" i="3"/>
  <c r="G1244" i="3"/>
  <c r="H1244" i="3"/>
  <c r="I1244" i="3" s="1"/>
  <c r="J1244" i="3" s="1"/>
  <c r="L1244" i="3" s="1" a="1"/>
  <c r="L1244" i="3" s="1"/>
  <c r="H1198" i="3"/>
  <c r="I1198" i="3" s="1"/>
  <c r="J1198" i="3" s="1"/>
  <c r="L1198" i="3" s="1" a="1"/>
  <c r="L1198" i="3" s="1"/>
  <c r="H792" i="3"/>
  <c r="I792" i="3" s="1"/>
  <c r="J792" i="3" s="1"/>
  <c r="L792" i="3" s="1" a="1"/>
  <c r="L792" i="3" s="1"/>
  <c r="G792" i="3"/>
  <c r="G968" i="3"/>
  <c r="H968" i="3"/>
  <c r="I968" i="3" s="1"/>
  <c r="J968" i="3" s="1"/>
  <c r="L968" i="3" s="1" a="1"/>
  <c r="L968" i="3" s="1"/>
  <c r="H722" i="3"/>
  <c r="I722" i="3" s="1"/>
  <c r="J722" i="3" s="1"/>
  <c r="L722" i="3" s="1" a="1"/>
  <c r="L722" i="3" s="1"/>
  <c r="H610" i="3"/>
  <c r="I610" i="3" s="1"/>
  <c r="J610" i="3" s="1"/>
  <c r="L610" i="3" s="1" a="1"/>
  <c r="L610" i="3" s="1"/>
  <c r="G610" i="3"/>
  <c r="H1119" i="3"/>
  <c r="I1119" i="3" s="1"/>
  <c r="J1119" i="3" s="1"/>
  <c r="L1119" i="3" s="1" a="1"/>
  <c r="L1119" i="3" s="1"/>
  <c r="G981" i="3"/>
  <c r="G667" i="3"/>
  <c r="H667" i="3"/>
  <c r="I667" i="3" s="1"/>
  <c r="J667" i="3" s="1"/>
  <c r="L667" i="3" s="1" a="1"/>
  <c r="L667" i="3" s="1"/>
  <c r="G628" i="3"/>
  <c r="H628" i="3"/>
  <c r="I628" i="3" s="1"/>
  <c r="J628" i="3" s="1"/>
  <c r="L628" i="3" s="1" a="1"/>
  <c r="L628" i="3" s="1"/>
  <c r="H1254" i="3"/>
  <c r="I1254" i="3" s="1"/>
  <c r="J1254" i="3" s="1"/>
  <c r="L1254" i="3" s="1" a="1"/>
  <c r="L1254" i="3" s="1"/>
  <c r="H1129" i="3"/>
  <c r="I1129" i="3" s="1"/>
  <c r="J1129" i="3" s="1"/>
  <c r="L1129" i="3" s="1" a="1"/>
  <c r="L1129" i="3" s="1"/>
  <c r="H666" i="3"/>
  <c r="I666" i="3" s="1"/>
  <c r="J666" i="3" s="1"/>
  <c r="L666" i="3" s="1" a="1"/>
  <c r="L666" i="3" s="1"/>
  <c r="G666" i="3"/>
  <c r="G646" i="3"/>
  <c r="H646" i="3"/>
  <c r="I646" i="3" s="1"/>
  <c r="J646" i="3" s="1"/>
  <c r="L646" i="3" s="1" a="1"/>
  <c r="L646" i="3" s="1"/>
  <c r="H550" i="3"/>
  <c r="I550" i="3" s="1"/>
  <c r="J550" i="3" s="1"/>
  <c r="L550" i="3" s="1" a="1"/>
  <c r="L550" i="3" s="1"/>
  <c r="G550" i="3"/>
  <c r="H1416" i="3"/>
  <c r="I1416" i="3" s="1"/>
  <c r="J1416" i="3" s="1"/>
  <c r="L1416" i="3" s="1" a="1"/>
  <c r="L1416" i="3" s="1"/>
  <c r="G1416" i="3"/>
  <c r="H1748" i="3"/>
  <c r="I1748" i="3" s="1"/>
  <c r="J1748" i="3" s="1"/>
  <c r="L1748" i="3" s="1" a="1"/>
  <c r="L1748" i="3" s="1"/>
  <c r="H1739" i="3"/>
  <c r="I1739" i="3" s="1"/>
  <c r="J1739" i="3" s="1"/>
  <c r="L1739" i="3" s="1" a="1"/>
  <c r="L1739" i="3" s="1"/>
  <c r="H1572" i="3"/>
  <c r="I1572" i="3" s="1"/>
  <c r="J1572" i="3" s="1"/>
  <c r="L1572" i="3" s="1" a="1"/>
  <c r="L1572" i="3" s="1"/>
  <c r="H1525" i="3"/>
  <c r="I1525" i="3" s="1"/>
  <c r="J1525" i="3" s="1"/>
  <c r="L1525" i="3" s="1" a="1"/>
  <c r="L1525" i="3" s="1"/>
  <c r="G1448" i="3"/>
  <c r="H1448" i="3"/>
  <c r="I1448" i="3" s="1"/>
  <c r="J1448" i="3" s="1"/>
  <c r="L1448" i="3" s="1" a="1"/>
  <c r="L1448" i="3" s="1"/>
  <c r="H1590" i="3"/>
  <c r="I1590" i="3" s="1"/>
  <c r="J1590" i="3" s="1"/>
  <c r="L1590" i="3" s="1" a="1"/>
  <c r="L1590" i="3" s="1"/>
  <c r="G1197" i="3"/>
  <c r="H1197" i="3"/>
  <c r="I1197" i="3" s="1"/>
  <c r="J1197" i="3" s="1"/>
  <c r="L1197" i="3" s="1" a="1"/>
  <c r="L1197" i="3" s="1"/>
  <c r="G1044" i="3"/>
  <c r="H1044" i="3"/>
  <c r="I1044" i="3" s="1"/>
  <c r="J1044" i="3" s="1"/>
  <c r="L1044" i="3" s="1" a="1"/>
  <c r="L1044" i="3" s="1"/>
  <c r="H1069" i="3"/>
  <c r="I1069" i="3" s="1"/>
  <c r="J1069" i="3" s="1"/>
  <c r="L1069" i="3" s="1" a="1"/>
  <c r="L1069" i="3" s="1"/>
  <c r="H995" i="3"/>
  <c r="I995" i="3" s="1"/>
  <c r="J995" i="3" s="1"/>
  <c r="L995" i="3" s="1" a="1"/>
  <c r="L995" i="3" s="1"/>
  <c r="H896" i="3"/>
  <c r="I896" i="3" s="1"/>
  <c r="J896" i="3" s="1"/>
  <c r="L896" i="3" s="1" a="1"/>
  <c r="L896" i="3" s="1"/>
  <c r="H1032" i="3"/>
  <c r="I1032" i="3" s="1"/>
  <c r="J1032" i="3" s="1"/>
  <c r="L1032" i="3" s="1" a="1"/>
  <c r="L1032" i="3" s="1"/>
  <c r="G881" i="3"/>
  <c r="H835" i="3"/>
  <c r="I835" i="3" s="1"/>
  <c r="J835" i="3" s="1"/>
  <c r="L835" i="3" s="1" a="1"/>
  <c r="L835" i="3" s="1"/>
  <c r="G835" i="3"/>
  <c r="H805" i="3"/>
  <c r="I805" i="3" s="1"/>
  <c r="J805" i="3" s="1"/>
  <c r="L805" i="3" s="1" a="1"/>
  <c r="L805" i="3" s="1"/>
  <c r="G773" i="3"/>
  <c r="G1105" i="3"/>
  <c r="H1105" i="3"/>
  <c r="I1105" i="3" s="1"/>
  <c r="J1105" i="3" s="1"/>
  <c r="L1105" i="3" s="1" a="1"/>
  <c r="L1105" i="3" s="1"/>
  <c r="G569" i="3"/>
  <c r="H569" i="3"/>
  <c r="I569" i="3" s="1"/>
  <c r="J569" i="3" s="1"/>
  <c r="L569" i="3" s="1" a="1"/>
  <c r="L569" i="3" s="1"/>
  <c r="H465" i="3"/>
  <c r="I465" i="3" s="1"/>
  <c r="J465" i="3" s="1"/>
  <c r="L465" i="3" s="1" a="1"/>
  <c r="L465" i="3" s="1"/>
  <c r="G465" i="3"/>
  <c r="G1447" i="3"/>
  <c r="H1447" i="3"/>
  <c r="I1447" i="3" s="1"/>
  <c r="J1447" i="3" s="1"/>
  <c r="L1447" i="3" s="1" a="1"/>
  <c r="L1447" i="3" s="1"/>
  <c r="G1329" i="3"/>
  <c r="G720" i="3"/>
  <c r="H720" i="3"/>
  <c r="I720" i="3" s="1"/>
  <c r="J720" i="3" s="1"/>
  <c r="L720" i="3" s="1" a="1"/>
  <c r="L720" i="3" s="1"/>
  <c r="G664" i="3"/>
  <c r="H664" i="3"/>
  <c r="I664" i="3" s="1"/>
  <c r="J664" i="3" s="1"/>
  <c r="L664" i="3" s="1" a="1"/>
  <c r="L664" i="3" s="1"/>
  <c r="H1543" i="3"/>
  <c r="I1543" i="3" s="1"/>
  <c r="J1543" i="3" s="1"/>
  <c r="L1543" i="3" s="1" a="1"/>
  <c r="L1543" i="3" s="1"/>
  <c r="H1219" i="3"/>
  <c r="I1219" i="3" s="1"/>
  <c r="J1219" i="3" s="1"/>
  <c r="L1219" i="3" s="1" a="1"/>
  <c r="L1219" i="3" s="1"/>
  <c r="H1128" i="3"/>
  <c r="I1128" i="3" s="1"/>
  <c r="J1128" i="3" s="1"/>
  <c r="L1128" i="3" s="1" a="1"/>
  <c r="L1128" i="3" s="1"/>
  <c r="G789" i="3"/>
  <c r="H789" i="3"/>
  <c r="I789" i="3" s="1"/>
  <c r="J789" i="3" s="1"/>
  <c r="L789" i="3" s="1" a="1"/>
  <c r="L789" i="3" s="1"/>
  <c r="G865" i="3"/>
  <c r="G736" i="3"/>
  <c r="H736" i="3"/>
  <c r="I736" i="3" s="1"/>
  <c r="J736" i="3" s="1"/>
  <c r="L736" i="3" s="1" a="1"/>
  <c r="L736" i="3" s="1"/>
  <c r="G509" i="3"/>
  <c r="H509" i="3"/>
  <c r="I509" i="3" s="1"/>
  <c r="J509" i="3" s="1"/>
  <c r="L509" i="3" s="1" a="1"/>
  <c r="L509" i="3" s="1"/>
  <c r="G1153" i="3"/>
  <c r="H1153" i="3"/>
  <c r="I1153" i="3" s="1"/>
  <c r="J1153" i="3" s="1"/>
  <c r="L1153" i="3" s="1" a="1"/>
  <c r="L1153" i="3" s="1"/>
  <c r="H775" i="3"/>
  <c r="I775" i="3" s="1"/>
  <c r="J775" i="3" s="1"/>
  <c r="L775" i="3" s="1" a="1"/>
  <c r="L775" i="3" s="1"/>
  <c r="G775" i="3"/>
  <c r="H538" i="3"/>
  <c r="I538" i="3" s="1"/>
  <c r="J538" i="3" s="1"/>
  <c r="L538" i="3" s="1" a="1"/>
  <c r="L538" i="3" s="1"/>
  <c r="G538" i="3"/>
  <c r="G748" i="3"/>
  <c r="H748" i="3"/>
  <c r="I748" i="3" s="1"/>
  <c r="J748" i="3" s="1"/>
  <c r="L748" i="3" s="1" a="1"/>
  <c r="L748" i="3" s="1"/>
  <c r="G363" i="3"/>
  <c r="H363" i="3"/>
  <c r="I363" i="3" s="1"/>
  <c r="J363" i="3" s="1"/>
  <c r="L363" i="3" s="1" a="1"/>
  <c r="L363" i="3" s="1"/>
  <c r="G747" i="3"/>
  <c r="H747" i="3"/>
  <c r="I747" i="3" s="1"/>
  <c r="J747" i="3" s="1"/>
  <c r="L747" i="3" s="1" a="1"/>
  <c r="L747" i="3" s="1"/>
  <c r="G407" i="3"/>
  <c r="H407" i="3"/>
  <c r="I407" i="3" s="1"/>
  <c r="J407" i="3" s="1"/>
  <c r="L407" i="3" s="1" a="1"/>
  <c r="L407" i="3" s="1"/>
  <c r="G1573" i="3"/>
  <c r="H1573" i="3"/>
  <c r="I1573" i="3" s="1"/>
  <c r="J1573" i="3" s="1"/>
  <c r="L1573" i="3" s="1" a="1"/>
  <c r="L1573" i="3" s="1"/>
  <c r="G953" i="3"/>
  <c r="H584" i="3"/>
  <c r="I584" i="3" s="1"/>
  <c r="J584" i="3" s="1"/>
  <c r="L584" i="3" s="1" a="1"/>
  <c r="L584" i="3" s="1"/>
  <c r="G761" i="3"/>
  <c r="H761" i="3"/>
  <c r="I761" i="3" s="1"/>
  <c r="J761" i="3" s="1"/>
  <c r="L761" i="3" s="1" a="1"/>
  <c r="L761" i="3" s="1"/>
  <c r="G697" i="3"/>
  <c r="H697" i="3"/>
  <c r="I697" i="3" s="1"/>
  <c r="J697" i="3" s="1"/>
  <c r="L697" i="3" s="1" a="1"/>
  <c r="L697" i="3" s="1"/>
  <c r="H384" i="3"/>
  <c r="I384" i="3" s="1"/>
  <c r="J384" i="3" s="1"/>
  <c r="L384" i="3" s="1" a="1"/>
  <c r="L384" i="3" s="1"/>
  <c r="G721" i="3"/>
  <c r="H406" i="3"/>
  <c r="I406" i="3" s="1"/>
  <c r="J406" i="3" s="1"/>
  <c r="L406" i="3" s="1" a="1"/>
  <c r="L406" i="3" s="1"/>
  <c r="G406" i="3"/>
  <c r="G501" i="3"/>
  <c r="H501" i="3"/>
  <c r="I501" i="3" s="1"/>
  <c r="J501" i="3" s="1"/>
  <c r="L501" i="3" s="1" a="1"/>
  <c r="L501" i="3" s="1"/>
  <c r="G500" i="3"/>
  <c r="H500" i="3"/>
  <c r="I500" i="3" s="1"/>
  <c r="J500" i="3" s="1"/>
  <c r="L500" i="3" s="1" a="1"/>
  <c r="L500" i="3" s="1"/>
  <c r="G218" i="3"/>
  <c r="H218" i="3"/>
  <c r="I218" i="3" s="1"/>
  <c r="J218" i="3" s="1"/>
  <c r="L218" i="3" s="1" a="1"/>
  <c r="L218" i="3" s="1"/>
  <c r="G566" i="3"/>
  <c r="H566" i="3"/>
  <c r="I566" i="3" s="1"/>
  <c r="J566" i="3" s="1"/>
  <c r="L566" i="3" s="1" a="1"/>
  <c r="L566" i="3" s="1"/>
  <c r="H240" i="3"/>
  <c r="I240" i="3" s="1"/>
  <c r="J240" i="3" s="1"/>
  <c r="L240" i="3" s="1" a="1"/>
  <c r="L240" i="3" s="1"/>
  <c r="G973" i="3"/>
  <c r="H973" i="3"/>
  <c r="I973" i="3" s="1"/>
  <c r="J973" i="3" s="1"/>
  <c r="L973" i="3" s="1" a="1"/>
  <c r="L973" i="3" s="1"/>
  <c r="G733" i="3"/>
  <c r="H733" i="3"/>
  <c r="I733" i="3" s="1"/>
  <c r="J733" i="3" s="1"/>
  <c r="L733" i="3" s="1" a="1"/>
  <c r="L733" i="3" s="1"/>
  <c r="G668" i="3"/>
  <c r="H668" i="3"/>
  <c r="I668" i="3" s="1"/>
  <c r="J668" i="3" s="1"/>
  <c r="L668" i="3" s="1" a="1"/>
  <c r="L668" i="3" s="1"/>
  <c r="G498" i="3"/>
  <c r="H498" i="3"/>
  <c r="I498" i="3" s="1"/>
  <c r="J498" i="3" s="1"/>
  <c r="L498" i="3" s="1" a="1"/>
  <c r="L498" i="3" s="1"/>
  <c r="G652" i="3"/>
  <c r="H652" i="3"/>
  <c r="I652" i="3" s="1"/>
  <c r="J652" i="3" s="1"/>
  <c r="L652" i="3" s="1" a="1"/>
  <c r="L652" i="3" s="1"/>
  <c r="H623" i="3"/>
  <c r="I623" i="3" s="1"/>
  <c r="J623" i="3" s="1"/>
  <c r="L623" i="3" s="1" a="1"/>
  <c r="L623" i="3" s="1"/>
  <c r="G853" i="3"/>
  <c r="H853" i="3"/>
  <c r="I853" i="3" s="1"/>
  <c r="J853" i="3" s="1"/>
  <c r="L853" i="3" s="1" a="1"/>
  <c r="L853" i="3" s="1"/>
  <c r="G298" i="3"/>
  <c r="H298" i="3"/>
  <c r="I298" i="3" s="1"/>
  <c r="J298" i="3" s="1"/>
  <c r="L298" i="3" s="1" a="1"/>
  <c r="L298" i="3" s="1"/>
  <c r="G580" i="3"/>
  <c r="H580" i="3"/>
  <c r="I580" i="3" s="1"/>
  <c r="J580" i="3" s="1"/>
  <c r="L580" i="3" s="1" a="1"/>
  <c r="L580" i="3" s="1"/>
  <c r="H982" i="3"/>
  <c r="I982" i="3" s="1"/>
  <c r="J982" i="3" s="1"/>
  <c r="L982" i="3" s="1" a="1"/>
  <c r="L982" i="3" s="1"/>
  <c r="G982" i="3"/>
  <c r="H863" i="3"/>
  <c r="I863" i="3" s="1"/>
  <c r="J863" i="3" s="1"/>
  <c r="L863" i="3" s="1" a="1"/>
  <c r="L863" i="3" s="1"/>
  <c r="H806" i="3"/>
  <c r="I806" i="3" s="1"/>
  <c r="J806" i="3" s="1"/>
  <c r="L806" i="3" s="1" a="1"/>
  <c r="L806" i="3" s="1"/>
  <c r="G930" i="3"/>
  <c r="H930" i="3"/>
  <c r="I930" i="3" s="1"/>
  <c r="J930" i="3" s="1"/>
  <c r="L930" i="3" s="1" a="1"/>
  <c r="L930" i="3" s="1"/>
  <c r="G907" i="3"/>
  <c r="H907" i="3"/>
  <c r="I907" i="3" s="1"/>
  <c r="J907" i="3" s="1"/>
  <c r="L907" i="3" s="1" a="1"/>
  <c r="L907" i="3" s="1"/>
  <c r="H479" i="3"/>
  <c r="I479" i="3" s="1"/>
  <c r="J479" i="3" s="1"/>
  <c r="L479" i="3" s="1" a="1"/>
  <c r="L479" i="3" s="1"/>
  <c r="H852" i="3"/>
  <c r="I852" i="3" s="1"/>
  <c r="J852" i="3" s="1"/>
  <c r="L852" i="3" s="1" a="1"/>
  <c r="L852" i="3" s="1"/>
  <c r="G852" i="3"/>
  <c r="G794" i="3"/>
  <c r="H794" i="3"/>
  <c r="I794" i="3" s="1"/>
  <c r="J794" i="3" s="1"/>
  <c r="L794" i="3" s="1" a="1"/>
  <c r="L794" i="3" s="1"/>
  <c r="G355" i="3"/>
  <c r="H355" i="3"/>
  <c r="I355" i="3" s="1"/>
  <c r="J355" i="3" s="1"/>
  <c r="L355" i="3" s="1" a="1"/>
  <c r="L355" i="3" s="1"/>
  <c r="G418" i="3"/>
  <c r="H418" i="3"/>
  <c r="I418" i="3" s="1"/>
  <c r="J418" i="3" s="1"/>
  <c r="L418" i="3" s="1" a="1"/>
  <c r="L418" i="3" s="1"/>
  <c r="H621" i="3"/>
  <c r="I621" i="3" s="1"/>
  <c r="J621" i="3" s="1"/>
  <c r="L621" i="3" s="1" a="1"/>
  <c r="L621" i="3" s="1"/>
  <c r="G621" i="3"/>
  <c r="H605" i="3"/>
  <c r="I605" i="3" s="1"/>
  <c r="J605" i="3" s="1"/>
  <c r="L605" i="3" s="1" a="1"/>
  <c r="L605" i="3" s="1"/>
  <c r="G529" i="3"/>
  <c r="H529" i="3"/>
  <c r="I529" i="3" s="1"/>
  <c r="J529" i="3" s="1"/>
  <c r="L529" i="3" s="1" a="1"/>
  <c r="L529" i="3" s="1"/>
  <c r="H804" i="3"/>
  <c r="I804" i="3" s="1"/>
  <c r="J804" i="3" s="1"/>
  <c r="L804" i="3" s="1" a="1"/>
  <c r="L804" i="3" s="1"/>
  <c r="G804" i="3"/>
  <c r="G767" i="3"/>
  <c r="H767" i="3"/>
  <c r="I767" i="3" s="1"/>
  <c r="J767" i="3" s="1"/>
  <c r="L767" i="3" s="1" a="1"/>
  <c r="L767" i="3" s="1"/>
  <c r="G576" i="3"/>
  <c r="H417" i="3"/>
  <c r="I417" i="3" s="1"/>
  <c r="J417" i="3" s="1"/>
  <c r="L417" i="3" s="1" a="1"/>
  <c r="L417" i="3" s="1"/>
  <c r="G604" i="3"/>
  <c r="H604" i="3"/>
  <c r="I604" i="3" s="1"/>
  <c r="J604" i="3" s="1"/>
  <c r="L604" i="3" s="1" a="1"/>
  <c r="L604" i="3" s="1"/>
  <c r="G1175" i="3"/>
  <c r="H1175" i="3"/>
  <c r="I1175" i="3" s="1"/>
  <c r="J1175" i="3" s="1"/>
  <c r="L1175" i="3" s="1" a="1"/>
  <c r="L1175" i="3" s="1"/>
  <c r="H633" i="3"/>
  <c r="I633" i="3" s="1"/>
  <c r="J633" i="3" s="1"/>
  <c r="L633" i="3" s="1" a="1"/>
  <c r="L633" i="3" s="1"/>
  <c r="H559" i="3"/>
  <c r="I559" i="3" s="1"/>
  <c r="J559" i="3" s="1"/>
  <c r="L559" i="3" s="1" a="1"/>
  <c r="L559" i="3" s="1"/>
  <c r="H528" i="3"/>
  <c r="I528" i="3" s="1"/>
  <c r="J528" i="3" s="1"/>
  <c r="L528" i="3" s="1" a="1"/>
  <c r="L528" i="3" s="1"/>
  <c r="H511" i="3"/>
  <c r="I511" i="3" s="1"/>
  <c r="J511" i="3" s="1"/>
  <c r="L511" i="3" s="1" a="1"/>
  <c r="L511" i="3" s="1"/>
  <c r="G780" i="3"/>
  <c r="H780" i="3"/>
  <c r="I780" i="3" s="1"/>
  <c r="J780" i="3" s="1"/>
  <c r="L780" i="3" s="1" a="1"/>
  <c r="L780" i="3" s="1"/>
  <c r="G372" i="3"/>
  <c r="H372" i="3"/>
  <c r="I372" i="3" s="1"/>
  <c r="J372" i="3" s="1"/>
  <c r="L372" i="3" s="1" a="1"/>
  <c r="L372" i="3" s="1"/>
  <c r="G779" i="3"/>
  <c r="H779" i="3"/>
  <c r="I779" i="3" s="1"/>
  <c r="J779" i="3" s="1"/>
  <c r="L779" i="3" s="1" a="1"/>
  <c r="L779" i="3" s="1"/>
  <c r="G351" i="3"/>
  <c r="H351" i="3"/>
  <c r="I351" i="3" s="1"/>
  <c r="J351" i="3" s="1"/>
  <c r="L351" i="3" s="1" a="1"/>
  <c r="L351" i="3" s="1"/>
  <c r="G882" i="3"/>
  <c r="G871" i="3"/>
  <c r="H491" i="3"/>
  <c r="I491" i="3" s="1"/>
  <c r="J491" i="3" s="1"/>
  <c r="L491" i="3" s="1" a="1"/>
  <c r="L491" i="3" s="1"/>
  <c r="G491" i="3"/>
  <c r="G676" i="3"/>
  <c r="H676" i="3"/>
  <c r="I676" i="3" s="1"/>
  <c r="J676" i="3" s="1"/>
  <c r="L676" i="3" s="1" a="1"/>
  <c r="L676" i="3" s="1"/>
  <c r="G394" i="3"/>
  <c r="H394" i="3"/>
  <c r="I394" i="3" s="1"/>
  <c r="J394" i="3" s="1"/>
  <c r="L394" i="3" s="1" a="1"/>
  <c r="L394" i="3" s="1"/>
  <c r="G230" i="3"/>
  <c r="H230" i="3"/>
  <c r="I230" i="3" s="1"/>
  <c r="J230" i="3" s="1"/>
  <c r="L230" i="3" s="1" a="1"/>
  <c r="L230" i="3" s="1"/>
  <c r="G1482" i="3"/>
  <c r="H1482" i="3"/>
  <c r="I1482" i="3" s="1"/>
  <c r="J1482" i="3" s="1"/>
  <c r="L1482" i="3" s="1" a="1"/>
  <c r="L1482" i="3" s="1"/>
  <c r="H543" i="3"/>
  <c r="I543" i="3" s="1"/>
  <c r="J543" i="3" s="1"/>
  <c r="L543" i="3" s="1" a="1"/>
  <c r="L543" i="3" s="1"/>
  <c r="G543" i="3"/>
  <c r="G473" i="3"/>
  <c r="H473" i="3"/>
  <c r="I473" i="3" s="1"/>
  <c r="J473" i="3" s="1"/>
  <c r="L473" i="3" s="1" a="1"/>
  <c r="L473" i="3" s="1"/>
  <c r="G393" i="3"/>
  <c r="H393" i="3"/>
  <c r="I393" i="3" s="1"/>
  <c r="J393" i="3" s="1"/>
  <c r="L393" i="3" s="1" a="1"/>
  <c r="L393" i="3" s="1"/>
  <c r="G937" i="3"/>
  <c r="H702" i="3"/>
  <c r="I702" i="3" s="1"/>
  <c r="J702" i="3" s="1"/>
  <c r="L702" i="3" s="1" a="1"/>
  <c r="L702" i="3" s="1"/>
  <c r="H688" i="3"/>
  <c r="I688" i="3" s="1"/>
  <c r="J688" i="3" s="1"/>
  <c r="L688" i="3" s="1" a="1"/>
  <c r="L688" i="3" s="1"/>
  <c r="G370" i="3"/>
  <c r="H370" i="3"/>
  <c r="I370" i="3" s="1"/>
  <c r="J370" i="3" s="1"/>
  <c r="L370" i="3" s="1" a="1"/>
  <c r="L370" i="3" s="1"/>
  <c r="G618" i="3"/>
  <c r="H618" i="3"/>
  <c r="I618" i="3" s="1"/>
  <c r="J618" i="3" s="1"/>
  <c r="L618" i="3" s="1" a="1"/>
  <c r="L618" i="3" s="1"/>
  <c r="G452" i="3"/>
  <c r="H452" i="3"/>
  <c r="I452" i="3" s="1"/>
  <c r="J452" i="3" s="1"/>
  <c r="L452" i="3" s="1" a="1"/>
  <c r="L452" i="3" s="1"/>
  <c r="G250" i="3"/>
  <c r="H250" i="3"/>
  <c r="I250" i="3" s="1"/>
  <c r="J250" i="3" s="1"/>
  <c r="L250" i="3" s="1" a="1"/>
  <c r="L250" i="3" s="1"/>
  <c r="G414" i="3"/>
  <c r="H414" i="3"/>
  <c r="I414" i="3" s="1"/>
  <c r="J414" i="3" s="1"/>
  <c r="L414" i="3" s="1" a="1"/>
  <c r="L414" i="3" s="1"/>
  <c r="G957" i="3"/>
  <c r="H957" i="3"/>
  <c r="I957" i="3" s="1"/>
  <c r="J957" i="3" s="1"/>
  <c r="L957" i="3" s="1" a="1"/>
  <c r="L957" i="3" s="1"/>
  <c r="G914" i="3"/>
  <c r="G903" i="3"/>
  <c r="H847" i="3"/>
  <c r="I847" i="3" s="1"/>
  <c r="J847" i="3" s="1"/>
  <c r="L847" i="3" s="1" a="1"/>
  <c r="L847" i="3" s="1"/>
  <c r="G185" i="3"/>
  <c r="H185" i="3"/>
  <c r="I185" i="3" s="1"/>
  <c r="J185" i="3" s="1"/>
  <c r="L185" i="3" s="1" a="1"/>
  <c r="L185" i="3" s="1"/>
  <c r="H777" i="3"/>
  <c r="I777" i="3" s="1"/>
  <c r="J777" i="3" s="1"/>
  <c r="L777" i="3" s="1" a="1"/>
  <c r="L777" i="3" s="1"/>
  <c r="H687" i="3"/>
  <c r="I687" i="3" s="1"/>
  <c r="J687" i="3" s="1"/>
  <c r="L687" i="3" s="1" a="1"/>
  <c r="L687" i="3" s="1"/>
  <c r="G880" i="3"/>
  <c r="H880" i="3"/>
  <c r="I880" i="3" s="1"/>
  <c r="J880" i="3" s="1"/>
  <c r="L880" i="3" s="1" a="1"/>
  <c r="L880" i="3" s="1"/>
  <c r="G616" i="3"/>
  <c r="H616" i="3"/>
  <c r="I616" i="3" s="1"/>
  <c r="J616" i="3" s="1"/>
  <c r="L616" i="3" s="1" a="1"/>
  <c r="L616" i="3" s="1"/>
  <c r="G525" i="3"/>
  <c r="H525" i="3"/>
  <c r="I525" i="3" s="1"/>
  <c r="J525" i="3" s="1"/>
  <c r="L525" i="3" s="1" a="1"/>
  <c r="L525" i="3" s="1"/>
  <c r="H788" i="3"/>
  <c r="I788" i="3" s="1"/>
  <c r="J788" i="3" s="1"/>
  <c r="L788" i="3" s="1" a="1"/>
  <c r="L788" i="3" s="1"/>
  <c r="H712" i="3"/>
  <c r="I712" i="3" s="1"/>
  <c r="J712" i="3" s="1"/>
  <c r="L712" i="3" s="1" a="1"/>
  <c r="L712" i="3" s="1"/>
  <c r="G658" i="3"/>
  <c r="H658" i="3"/>
  <c r="I658" i="3" s="1"/>
  <c r="J658" i="3" s="1"/>
  <c r="L658" i="3" s="1" a="1"/>
  <c r="L658" i="3" s="1"/>
  <c r="G541" i="3"/>
  <c r="H541" i="3"/>
  <c r="I541" i="3" s="1"/>
  <c r="J541" i="3" s="1"/>
  <c r="L541" i="3" s="1" a="1"/>
  <c r="L541" i="3" s="1"/>
  <c r="G507" i="3"/>
  <c r="H507" i="3"/>
  <c r="I507" i="3" s="1"/>
  <c r="J507" i="3" s="1"/>
  <c r="L507" i="3" s="1" a="1"/>
  <c r="L507" i="3" s="1"/>
  <c r="G411" i="3"/>
  <c r="H411" i="3"/>
  <c r="I411" i="3" s="1"/>
  <c r="J411" i="3" s="1"/>
  <c r="L411" i="3" s="1" a="1"/>
  <c r="L411" i="3" s="1"/>
  <c r="G586" i="3"/>
  <c r="H586" i="3"/>
  <c r="I586" i="3" s="1"/>
  <c r="J586" i="3" s="1"/>
  <c r="L586" i="3" s="1" a="1"/>
  <c r="L586" i="3" s="1"/>
  <c r="G776" i="3"/>
  <c r="H776" i="3"/>
  <c r="I776" i="3" s="1"/>
  <c r="J776" i="3" s="1"/>
  <c r="L776" i="3" s="1" a="1"/>
  <c r="L776" i="3" s="1"/>
  <c r="G1046" i="3"/>
  <c r="H1046" i="3"/>
  <c r="I1046" i="3" s="1"/>
  <c r="J1046" i="3" s="1"/>
  <c r="L1046" i="3" s="1" a="1"/>
  <c r="L1046" i="3" s="1"/>
  <c r="G955" i="3"/>
  <c r="H955" i="3"/>
  <c r="I955" i="3" s="1"/>
  <c r="J955" i="3" s="1"/>
  <c r="L955" i="3" s="1" a="1"/>
  <c r="L955" i="3" s="1"/>
  <c r="G700" i="3"/>
  <c r="H700" i="3"/>
  <c r="I700" i="3" s="1"/>
  <c r="J700" i="3" s="1"/>
  <c r="L700" i="3" s="1" a="1"/>
  <c r="L700" i="3" s="1"/>
  <c r="G1540" i="3"/>
  <c r="H1540" i="3"/>
  <c r="I1540" i="3" s="1"/>
  <c r="J1540" i="3" s="1"/>
  <c r="L1540" i="3" s="1" a="1"/>
  <c r="L1540" i="3" s="1"/>
  <c r="H1210" i="3"/>
  <c r="I1210" i="3" s="1"/>
  <c r="J1210" i="3" s="1"/>
  <c r="L1210" i="3" s="1" a="1"/>
  <c r="L1210" i="3" s="1"/>
  <c r="H1016" i="3"/>
  <c r="I1016" i="3" s="1"/>
  <c r="J1016" i="3" s="1"/>
  <c r="L1016" i="3" s="1" a="1"/>
  <c r="L1016" i="3" s="1"/>
  <c r="H1007" i="3"/>
  <c r="I1007" i="3" s="1"/>
  <c r="J1007" i="3" s="1"/>
  <c r="L1007" i="3" s="1" a="1"/>
  <c r="L1007" i="3" s="1"/>
  <c r="H976" i="3"/>
  <c r="I976" i="3" s="1"/>
  <c r="J976" i="3" s="1"/>
  <c r="L976" i="3" s="1" a="1"/>
  <c r="L976" i="3" s="1"/>
  <c r="H934" i="3"/>
  <c r="I934" i="3" s="1"/>
  <c r="J934" i="3" s="1"/>
  <c r="L934" i="3" s="1" a="1"/>
  <c r="L934" i="3" s="1"/>
  <c r="H787" i="3"/>
  <c r="I787" i="3" s="1"/>
  <c r="J787" i="3" s="1"/>
  <c r="L787" i="3" s="1" a="1"/>
  <c r="L787" i="3" s="1"/>
  <c r="H685" i="3"/>
  <c r="I685" i="3" s="1"/>
  <c r="J685" i="3" s="1"/>
  <c r="L685" i="3" s="1" a="1"/>
  <c r="L685" i="3" s="1"/>
  <c r="H1248" i="3"/>
  <c r="I1248" i="3" s="1"/>
  <c r="J1248" i="3" s="1"/>
  <c r="L1248" i="3" s="1" a="1"/>
  <c r="L1248" i="3" s="1"/>
  <c r="G901" i="3"/>
  <c r="H901" i="3"/>
  <c r="I901" i="3" s="1"/>
  <c r="J901" i="3" s="1"/>
  <c r="L901" i="3" s="1" a="1"/>
  <c r="L901" i="3" s="1"/>
  <c r="G890" i="3"/>
  <c r="H810" i="3"/>
  <c r="I810" i="3" s="1"/>
  <c r="J810" i="3" s="1"/>
  <c r="L810" i="3" s="1" a="1"/>
  <c r="L810" i="3" s="1"/>
  <c r="G749" i="3"/>
  <c r="H749" i="3"/>
  <c r="I749" i="3" s="1"/>
  <c r="J749" i="3" s="1"/>
  <c r="L749" i="3" s="1" a="1"/>
  <c r="L749" i="3" s="1"/>
  <c r="H447" i="3"/>
  <c r="I447" i="3" s="1"/>
  <c r="J447" i="3" s="1"/>
  <c r="L447" i="3" s="1" a="1"/>
  <c r="L447" i="3" s="1"/>
  <c r="G388" i="3"/>
  <c r="H388" i="3"/>
  <c r="I388" i="3" s="1"/>
  <c r="J388" i="3" s="1"/>
  <c r="L388" i="3" s="1" a="1"/>
  <c r="L388" i="3" s="1"/>
  <c r="G242" i="3"/>
  <c r="H242" i="3"/>
  <c r="I242" i="3" s="1"/>
  <c r="J242" i="3" s="1"/>
  <c r="L242" i="3" s="1" a="1"/>
  <c r="L242" i="3" s="1"/>
  <c r="G205" i="3"/>
  <c r="H205" i="3"/>
  <c r="I205" i="3" s="1"/>
  <c r="J205" i="3" s="1"/>
  <c r="L205" i="3" s="1" a="1"/>
  <c r="L205" i="3" s="1"/>
  <c r="G276" i="3"/>
  <c r="H276" i="3"/>
  <c r="I276" i="3" s="1"/>
  <c r="J276" i="3" s="1"/>
  <c r="L276" i="3" s="1" a="1"/>
  <c r="L276" i="3" s="1"/>
  <c r="G261" i="3"/>
  <c r="H261" i="3"/>
  <c r="I261" i="3" s="1"/>
  <c r="J261" i="3" s="1"/>
  <c r="L261" i="3" s="1" a="1"/>
  <c r="L261" i="3" s="1"/>
  <c r="G670" i="3"/>
  <c r="H670" i="3"/>
  <c r="I670" i="3" s="1"/>
  <c r="J670" i="3" s="1"/>
  <c r="L670" i="3" s="1" a="1"/>
  <c r="L670" i="3" s="1"/>
  <c r="G484" i="3"/>
  <c r="H484" i="3"/>
  <c r="I484" i="3" s="1"/>
  <c r="J484" i="3" s="1"/>
  <c r="L484" i="3" s="1" a="1"/>
  <c r="L484" i="3" s="1"/>
  <c r="G453" i="3"/>
  <c r="H453" i="3"/>
  <c r="I453" i="3" s="1"/>
  <c r="J453" i="3" s="1"/>
  <c r="L453" i="3" s="1" a="1"/>
  <c r="L453" i="3" s="1"/>
  <c r="G467" i="3"/>
  <c r="H467" i="3"/>
  <c r="I467" i="3" s="1"/>
  <c r="J467" i="3" s="1"/>
  <c r="L467" i="3" s="1" a="1"/>
  <c r="L467" i="3" s="1"/>
  <c r="G405" i="3"/>
  <c r="H405" i="3"/>
  <c r="I405" i="3" s="1"/>
  <c r="J405" i="3" s="1"/>
  <c r="L405" i="3" s="1" a="1"/>
  <c r="L405" i="3" s="1"/>
  <c r="G548" i="3"/>
  <c r="H548" i="3"/>
  <c r="I548" i="3" s="1"/>
  <c r="J548" i="3" s="1"/>
  <c r="L548" i="3" s="1" a="1"/>
  <c r="L548" i="3" s="1"/>
  <c r="G450" i="3"/>
  <c r="H450" i="3"/>
  <c r="I450" i="3" s="1"/>
  <c r="J450" i="3" s="1"/>
  <c r="L450" i="3" s="1" a="1"/>
  <c r="L450" i="3" s="1"/>
  <c r="G420" i="3"/>
  <c r="H420" i="3"/>
  <c r="I420" i="3" s="1"/>
  <c r="J420" i="3" s="1"/>
  <c r="L420" i="3" s="1" a="1"/>
  <c r="L420" i="3" s="1"/>
  <c r="G404" i="3"/>
  <c r="H404" i="3"/>
  <c r="I404" i="3" s="1"/>
  <c r="J404" i="3" s="1"/>
  <c r="L404" i="3" s="1" a="1"/>
  <c r="L404" i="3" s="1"/>
  <c r="G353" i="3"/>
  <c r="H353" i="3"/>
  <c r="I353" i="3" s="1"/>
  <c r="J353" i="3" s="1"/>
  <c r="L353" i="3" s="1" a="1"/>
  <c r="L353" i="3" s="1"/>
  <c r="G644" i="3"/>
  <c r="H644" i="3"/>
  <c r="I644" i="3" s="1"/>
  <c r="J644" i="3" s="1"/>
  <c r="L644" i="3" s="1" a="1"/>
  <c r="L644" i="3" s="1"/>
  <c r="G596" i="3"/>
  <c r="H596" i="3"/>
  <c r="I596" i="3" s="1"/>
  <c r="J596" i="3" s="1"/>
  <c r="L596" i="3" s="1" a="1"/>
  <c r="L596" i="3" s="1"/>
  <c r="G403" i="3"/>
  <c r="H403" i="3"/>
  <c r="I403" i="3" s="1"/>
  <c r="J403" i="3" s="1"/>
  <c r="L403" i="3" s="1" a="1"/>
  <c r="L403" i="3" s="1"/>
  <c r="G44" i="3"/>
  <c r="H44" i="3"/>
  <c r="I44" i="3" s="1"/>
  <c r="L44" i="3" s="1" a="1"/>
  <c r="L44" i="3" s="1"/>
  <c r="H337" i="3"/>
  <c r="I337" i="3" s="1"/>
  <c r="J337" i="3" s="1"/>
  <c r="L337" i="3" s="1" a="1"/>
  <c r="L337" i="3" s="1"/>
  <c r="G219" i="3"/>
  <c r="H219" i="3"/>
  <c r="I219" i="3" s="1"/>
  <c r="J219" i="3" s="1"/>
  <c r="L219" i="3" s="1" a="1"/>
  <c r="L219" i="3" s="1"/>
  <c r="H305" i="3"/>
  <c r="I305" i="3" s="1"/>
  <c r="J305" i="3" s="1"/>
  <c r="L305" i="3" s="1" a="1"/>
  <c r="L305" i="3" s="1"/>
  <c r="H318" i="3"/>
  <c r="I318" i="3" s="1"/>
  <c r="J318" i="3" s="1"/>
  <c r="L318" i="3" s="1" a="1"/>
  <c r="L318" i="3" s="1"/>
  <c r="H520" i="3"/>
  <c r="I520" i="3" s="1"/>
  <c r="J520" i="3" s="1"/>
  <c r="L520" i="3" s="1" a="1"/>
  <c r="L520" i="3" s="1"/>
  <c r="G520" i="3"/>
  <c r="H382" i="3"/>
  <c r="I382" i="3" s="1"/>
  <c r="J382" i="3" s="1"/>
  <c r="L382" i="3" s="1" a="1"/>
  <c r="L382" i="3" s="1"/>
  <c r="G432" i="3"/>
  <c r="H432" i="3"/>
  <c r="I432" i="3" s="1"/>
  <c r="J432" i="3" s="1"/>
  <c r="L432" i="3" s="1" a="1"/>
  <c r="L432" i="3" s="1"/>
  <c r="G399" i="3"/>
  <c r="H399" i="3"/>
  <c r="I399" i="3" s="1"/>
  <c r="J399" i="3" s="1"/>
  <c r="L399" i="3" s="1" a="1"/>
  <c r="L399" i="3" s="1"/>
  <c r="H350" i="3"/>
  <c r="I350" i="3" s="1"/>
  <c r="J350" i="3" s="1"/>
  <c r="L350" i="3" s="1" a="1"/>
  <c r="L350" i="3" s="1"/>
  <c r="G286" i="3"/>
  <c r="H286" i="3"/>
  <c r="I286" i="3" s="1"/>
  <c r="J286" i="3" s="1"/>
  <c r="L286" i="3" s="1" a="1"/>
  <c r="L286" i="3" s="1"/>
  <c r="G665" i="3"/>
  <c r="G570" i="3"/>
  <c r="H570" i="3"/>
  <c r="I570" i="3" s="1"/>
  <c r="J570" i="3" s="1"/>
  <c r="L570" i="3" s="1" a="1"/>
  <c r="L570" i="3" s="1"/>
  <c r="H490" i="3"/>
  <c r="I490" i="3" s="1"/>
  <c r="J490" i="3" s="1"/>
  <c r="L490" i="3" s="1" a="1"/>
  <c r="L490" i="3" s="1"/>
  <c r="G519" i="3"/>
  <c r="H519" i="3"/>
  <c r="I519" i="3" s="1"/>
  <c r="J519" i="3" s="1"/>
  <c r="L519" i="3" s="1" a="1"/>
  <c r="L519" i="3" s="1"/>
  <c r="G461" i="3"/>
  <c r="H461" i="3"/>
  <c r="I461" i="3" s="1"/>
  <c r="J461" i="3" s="1"/>
  <c r="L461" i="3" s="1" a="1"/>
  <c r="L461" i="3" s="1"/>
  <c r="G284" i="3"/>
  <c r="H284" i="3"/>
  <c r="I284" i="3" s="1"/>
  <c r="J284" i="3" s="1"/>
  <c r="L284" i="3" s="1" a="1"/>
  <c r="L284" i="3" s="1"/>
  <c r="G175" i="3"/>
  <c r="G194" i="3"/>
  <c r="G530" i="3"/>
  <c r="H530" i="3"/>
  <c r="I530" i="3" s="1"/>
  <c r="J530" i="3" s="1"/>
  <c r="L530" i="3" s="1" a="1"/>
  <c r="L530" i="3" s="1"/>
  <c r="G397" i="3"/>
  <c r="H397" i="3"/>
  <c r="I397" i="3" s="1"/>
  <c r="J397" i="3" s="1"/>
  <c r="L397" i="3" s="1" a="1"/>
  <c r="L397" i="3" s="1"/>
  <c r="H750" i="3"/>
  <c r="I750" i="3" s="1"/>
  <c r="J750" i="3" s="1"/>
  <c r="L750" i="3" s="1" a="1"/>
  <c r="L750" i="3" s="1"/>
  <c r="G675" i="3"/>
  <c r="H675" i="3"/>
  <c r="I675" i="3" s="1"/>
  <c r="J675" i="3" s="1"/>
  <c r="L675" i="3" s="1" a="1"/>
  <c r="L675" i="3" s="1"/>
  <c r="G663" i="3"/>
  <c r="H663" i="3"/>
  <c r="I663" i="3" s="1"/>
  <c r="J663" i="3" s="1"/>
  <c r="L663" i="3" s="1" a="1"/>
  <c r="L663" i="3" s="1"/>
  <c r="G428" i="3"/>
  <c r="H428" i="3"/>
  <c r="I428" i="3" s="1"/>
  <c r="J428" i="3" s="1"/>
  <c r="L428" i="3" s="1" a="1"/>
  <c r="L428" i="3" s="1"/>
  <c r="G396" i="3"/>
  <c r="H396" i="3"/>
  <c r="I396" i="3" s="1"/>
  <c r="J396" i="3" s="1"/>
  <c r="L396" i="3" s="1" a="1"/>
  <c r="L396" i="3" s="1"/>
  <c r="G475" i="3"/>
  <c r="H475" i="3"/>
  <c r="I475" i="3" s="1"/>
  <c r="J475" i="3" s="1"/>
  <c r="L475" i="3" s="1" a="1"/>
  <c r="L475" i="3" s="1"/>
  <c r="G379" i="3"/>
  <c r="H379" i="3"/>
  <c r="I379" i="3" s="1"/>
  <c r="J379" i="3" s="1"/>
  <c r="L379" i="3" s="1" a="1"/>
  <c r="L379" i="3" s="1"/>
  <c r="H174" i="3"/>
  <c r="I174" i="3" s="1"/>
  <c r="J174" i="3" s="1"/>
  <c r="L174" i="3" s="1" a="1"/>
  <c r="L174" i="3" s="1"/>
  <c r="G947" i="3"/>
  <c r="H947" i="3"/>
  <c r="I947" i="3" s="1"/>
  <c r="J947" i="3" s="1"/>
  <c r="L947" i="3" s="1" a="1"/>
  <c r="L947" i="3" s="1"/>
  <c r="G116" i="3"/>
  <c r="H116" i="3"/>
  <c r="I116" i="3" s="1"/>
  <c r="J116" i="3" s="1"/>
  <c r="L116" i="3" s="1" a="1"/>
  <c r="L116" i="3" s="1"/>
  <c r="G264" i="3"/>
  <c r="H264" i="3"/>
  <c r="I264" i="3" s="1"/>
  <c r="J264" i="3" s="1"/>
  <c r="L264" i="3" s="1" a="1"/>
  <c r="L264" i="3" s="1"/>
  <c r="G554" i="3"/>
  <c r="H554" i="3"/>
  <c r="I554" i="3" s="1"/>
  <c r="J554" i="3" s="1"/>
  <c r="L554" i="3" s="1" a="1"/>
  <c r="L554" i="3" s="1"/>
  <c r="G229" i="3"/>
  <c r="H229" i="3"/>
  <c r="I229" i="3" s="1"/>
  <c r="J229" i="3" s="1"/>
  <c r="L229" i="3" s="1" a="1"/>
  <c r="L229" i="3" s="1"/>
  <c r="G517" i="3"/>
  <c r="H517" i="3"/>
  <c r="I517" i="3" s="1"/>
  <c r="J517" i="3" s="1"/>
  <c r="L517" i="3" s="1" a="1"/>
  <c r="L517" i="3" s="1"/>
  <c r="H297" i="3"/>
  <c r="I297" i="3" s="1"/>
  <c r="J297" i="3" s="1"/>
  <c r="L297" i="3" s="1" a="1"/>
  <c r="L297" i="3" s="1"/>
  <c r="G173" i="3"/>
  <c r="H173" i="3"/>
  <c r="I173" i="3" s="1"/>
  <c r="J173" i="3" s="1"/>
  <c r="L173" i="3" s="1" a="1"/>
  <c r="L173" i="3" s="1"/>
  <c r="G983" i="3"/>
  <c r="H983" i="3"/>
  <c r="I983" i="3" s="1"/>
  <c r="J983" i="3" s="1"/>
  <c r="L983" i="3" s="1" a="1"/>
  <c r="L983" i="3" s="1"/>
  <c r="G228" i="3"/>
  <c r="H228" i="3"/>
  <c r="I228" i="3" s="1"/>
  <c r="J228" i="3" s="1"/>
  <c r="L228" i="3" s="1" a="1"/>
  <c r="L228" i="3" s="1"/>
  <c r="G516" i="3"/>
  <c r="H516" i="3"/>
  <c r="I516" i="3" s="1"/>
  <c r="J516" i="3" s="1"/>
  <c r="L516" i="3" s="1" a="1"/>
  <c r="L516" i="3" s="1"/>
  <c r="G1019" i="3"/>
  <c r="G830" i="3"/>
  <c r="G540" i="3"/>
  <c r="H540" i="3"/>
  <c r="I540" i="3" s="1"/>
  <c r="J540" i="3" s="1"/>
  <c r="L540" i="3" s="1" a="1"/>
  <c r="L540" i="3" s="1"/>
  <c r="H499" i="3"/>
  <c r="I499" i="3" s="1"/>
  <c r="J499" i="3" s="1"/>
  <c r="L499" i="3" s="1" a="1"/>
  <c r="L499" i="3" s="1"/>
  <c r="G515" i="3"/>
  <c r="G859" i="3"/>
  <c r="G564" i="3"/>
  <c r="H564" i="3"/>
  <c r="I564" i="3" s="1"/>
  <c r="J564" i="3" s="1"/>
  <c r="L564" i="3" s="1" a="1"/>
  <c r="L564" i="3" s="1"/>
  <c r="G309" i="3"/>
  <c r="H309" i="3"/>
  <c r="I309" i="3" s="1"/>
  <c r="J309" i="3" s="1"/>
  <c r="L309" i="3" s="1" a="1"/>
  <c r="L309" i="3" s="1"/>
  <c r="G869" i="3"/>
  <c r="H869" i="3"/>
  <c r="I869" i="3" s="1"/>
  <c r="J869" i="3" s="1"/>
  <c r="L869" i="3" s="1" a="1"/>
  <c r="L869" i="3" s="1"/>
  <c r="G716" i="3"/>
  <c r="H716" i="3"/>
  <c r="I716" i="3" s="1"/>
  <c r="J716" i="3" s="1"/>
  <c r="L716" i="3" s="1" a="1"/>
  <c r="L716" i="3" s="1"/>
  <c r="G695" i="3"/>
  <c r="H695" i="3"/>
  <c r="I695" i="3" s="1"/>
  <c r="J695" i="3" s="1"/>
  <c r="L695" i="3" s="1" a="1"/>
  <c r="L695" i="3" s="1"/>
  <c r="G612" i="3"/>
  <c r="H612" i="3"/>
  <c r="I612" i="3" s="1"/>
  <c r="J612" i="3" s="1"/>
  <c r="L612" i="3" s="1" a="1"/>
  <c r="L612" i="3" s="1"/>
  <c r="H514" i="3"/>
  <c r="I514" i="3" s="1"/>
  <c r="J514" i="3" s="1"/>
  <c r="L514" i="3" s="1" a="1"/>
  <c r="L514" i="3" s="1"/>
  <c r="H487" i="3"/>
  <c r="I487" i="3" s="1"/>
  <c r="J487" i="3" s="1"/>
  <c r="L487" i="3" s="1" a="1"/>
  <c r="L487" i="3" s="1"/>
  <c r="G636" i="3"/>
  <c r="H636" i="3"/>
  <c r="I636" i="3" s="1"/>
  <c r="J636" i="3" s="1"/>
  <c r="L636" i="3" s="1" a="1"/>
  <c r="L636" i="3" s="1"/>
  <c r="G551" i="3"/>
  <c r="H551" i="3"/>
  <c r="I551" i="3" s="1"/>
  <c r="J551" i="3" s="1"/>
  <c r="L551" i="3" s="1" a="1"/>
  <c r="L551" i="3" s="1"/>
  <c r="G359" i="3"/>
  <c r="H359" i="3"/>
  <c r="I359" i="3" s="1"/>
  <c r="J359" i="3" s="1"/>
  <c r="L359" i="3" s="1" a="1"/>
  <c r="L359" i="3" s="1"/>
  <c r="G324" i="3"/>
  <c r="H324" i="3"/>
  <c r="I324" i="3" s="1"/>
  <c r="J324" i="3" s="1"/>
  <c r="L324" i="3" s="1" a="1"/>
  <c r="L324" i="3" s="1"/>
  <c r="G308" i="3"/>
  <c r="H308" i="3"/>
  <c r="I308" i="3" s="1"/>
  <c r="J308" i="3" s="1"/>
  <c r="L308" i="3" s="1" a="1"/>
  <c r="L308" i="3" s="1"/>
  <c r="G225" i="3"/>
  <c r="H225" i="3"/>
  <c r="I225" i="3" s="1"/>
  <c r="J225" i="3" s="1"/>
  <c r="L225" i="3" s="1" a="1"/>
  <c r="L225" i="3" s="1"/>
  <c r="G513" i="3"/>
  <c r="H513" i="3"/>
  <c r="I513" i="3" s="1"/>
  <c r="J513" i="3" s="1"/>
  <c r="L513" i="3" s="1" a="1"/>
  <c r="L513" i="3" s="1"/>
  <c r="G277" i="3"/>
  <c r="H277" i="3"/>
  <c r="I277" i="3" s="1"/>
  <c r="J277" i="3" s="1"/>
  <c r="L277" i="3" s="1" a="1"/>
  <c r="L277" i="3" s="1"/>
  <c r="G117" i="3"/>
  <c r="H117" i="3"/>
  <c r="I117" i="3" s="1"/>
  <c r="J117" i="3" s="1"/>
  <c r="L117" i="3" s="1" a="1"/>
  <c r="L117" i="3" s="1"/>
  <c r="G317" i="3"/>
  <c r="H317" i="3"/>
  <c r="I317" i="3" s="1"/>
  <c r="J317" i="3" s="1"/>
  <c r="L317" i="3" s="1" a="1"/>
  <c r="L317" i="3" s="1"/>
  <c r="G288" i="3"/>
  <c r="H288" i="3"/>
  <c r="I288" i="3" s="1"/>
  <c r="J288" i="3" s="1"/>
  <c r="L288" i="3" s="1" a="1"/>
  <c r="L288" i="3" s="1"/>
  <c r="G204" i="3"/>
  <c r="H204" i="3"/>
  <c r="I204" i="3" s="1"/>
  <c r="J204" i="3" s="1"/>
  <c r="L204" i="3" s="1" a="1"/>
  <c r="L204" i="3" s="1"/>
  <c r="G469" i="3"/>
  <c r="H469" i="3"/>
  <c r="I469" i="3" s="1"/>
  <c r="J469" i="3" s="1"/>
  <c r="L469" i="3" s="1" a="1"/>
  <c r="L469" i="3" s="1"/>
  <c r="G254" i="3"/>
  <c r="H254" i="3"/>
  <c r="I254" i="3" s="1"/>
  <c r="J254" i="3" s="1"/>
  <c r="L254" i="3" s="1" a="1"/>
  <c r="L254" i="3" s="1"/>
  <c r="G150" i="3"/>
  <c r="G253" i="3"/>
  <c r="H253" i="3"/>
  <c r="I253" i="3" s="1"/>
  <c r="J253" i="3" s="1"/>
  <c r="L253" i="3" s="1" a="1"/>
  <c r="L253" i="3" s="1"/>
  <c r="G252" i="3"/>
  <c r="H252" i="3"/>
  <c r="I252" i="3" s="1"/>
  <c r="J252" i="3" s="1"/>
  <c r="L252" i="3" s="1" a="1"/>
  <c r="L252" i="3" s="1"/>
  <c r="G725" i="3"/>
  <c r="H725" i="3"/>
  <c r="I725" i="3" s="1"/>
  <c r="J725" i="3" s="1"/>
  <c r="L725" i="3" s="1" a="1"/>
  <c r="L725" i="3" s="1"/>
  <c r="G660" i="3"/>
  <c r="H660" i="3"/>
  <c r="I660" i="3" s="1"/>
  <c r="J660" i="3" s="1"/>
  <c r="L660" i="3" s="1" a="1"/>
  <c r="L660" i="3" s="1"/>
  <c r="H251" i="3"/>
  <c r="I251" i="3" s="1"/>
  <c r="J251" i="3" s="1"/>
  <c r="L251" i="3" s="1" a="1"/>
  <c r="L251" i="3" s="1"/>
  <c r="G449" i="3"/>
  <c r="H449" i="3"/>
  <c r="I449" i="3" s="1"/>
  <c r="J449" i="3" s="1"/>
  <c r="L449" i="3" s="1" a="1"/>
  <c r="L449" i="3" s="1"/>
  <c r="G437" i="3"/>
  <c r="H437" i="3"/>
  <c r="I437" i="3" s="1"/>
  <c r="J437" i="3" s="1"/>
  <c r="L437" i="3" s="1" a="1"/>
  <c r="L437" i="3" s="1"/>
  <c r="H216" i="3"/>
  <c r="I216" i="3" s="1"/>
  <c r="J216" i="3" s="1"/>
  <c r="L216" i="3" s="1" a="1"/>
  <c r="L216" i="3" s="1"/>
  <c r="H128" i="3"/>
  <c r="I128" i="3" s="1"/>
  <c r="J128" i="3" s="1"/>
  <c r="L128" i="3" s="1" a="1"/>
  <c r="L128" i="3" s="1"/>
  <c r="G91" i="3"/>
  <c r="H91" i="3"/>
  <c r="I91" i="3" s="1"/>
  <c r="J91" i="3" s="1"/>
  <c r="L91" i="3" s="1" a="1"/>
  <c r="L91" i="3" s="1"/>
  <c r="H1158" i="3"/>
  <c r="I1158" i="3" s="1"/>
  <c r="J1158" i="3" s="1"/>
  <c r="L1158" i="3" s="1" a="1"/>
  <c r="L1158" i="3" s="1"/>
  <c r="H992" i="3"/>
  <c r="I992" i="3" s="1"/>
  <c r="J992" i="3" s="1"/>
  <c r="L992" i="3" s="1" a="1"/>
  <c r="L992" i="3" s="1"/>
  <c r="G956" i="3"/>
  <c r="H506" i="3"/>
  <c r="I506" i="3" s="1"/>
  <c r="J506" i="3" s="1"/>
  <c r="L506" i="3" s="1" a="1"/>
  <c r="L506" i="3" s="1"/>
  <c r="G436" i="3"/>
  <c r="H436" i="3"/>
  <c r="I436" i="3" s="1"/>
  <c r="J436" i="3" s="1"/>
  <c r="L436" i="3" s="1" a="1"/>
  <c r="L436" i="3" s="1"/>
  <c r="H374" i="3"/>
  <c r="I374" i="3" s="1"/>
  <c r="J374" i="3" s="1"/>
  <c r="L374" i="3" s="1" a="1"/>
  <c r="L374" i="3" s="1"/>
  <c r="G163" i="3"/>
  <c r="H163" i="3"/>
  <c r="I163" i="3" s="1"/>
  <c r="J163" i="3" s="1"/>
  <c r="L163" i="3" s="1" a="1"/>
  <c r="L163" i="3" s="1"/>
  <c r="G834" i="3"/>
  <c r="H834" i="3"/>
  <c r="I834" i="3" s="1"/>
  <c r="J834" i="3" s="1"/>
  <c r="L834" i="3" s="1" a="1"/>
  <c r="L834" i="3" s="1"/>
  <c r="G624" i="3"/>
  <c r="H624" i="3"/>
  <c r="I624" i="3" s="1"/>
  <c r="J624" i="3" s="1"/>
  <c r="L624" i="3" s="1" a="1"/>
  <c r="L624" i="3" s="1"/>
  <c r="G391" i="3"/>
  <c r="H391" i="3"/>
  <c r="I391" i="3" s="1"/>
  <c r="J391" i="3" s="1"/>
  <c r="L391" i="3" s="1" a="1"/>
  <c r="L391" i="3" s="1"/>
  <c r="G344" i="3"/>
  <c r="H344" i="3"/>
  <c r="I344" i="3" s="1"/>
  <c r="J344" i="3" s="1"/>
  <c r="L344" i="3" s="1" a="1"/>
  <c r="L344" i="3" s="1"/>
  <c r="G233" i="3"/>
  <c r="H233" i="3"/>
  <c r="I233" i="3" s="1"/>
  <c r="J233" i="3" s="1"/>
  <c r="L233" i="3" s="1" a="1"/>
  <c r="L233" i="3" s="1"/>
  <c r="G92" i="3"/>
  <c r="H92" i="3"/>
  <c r="I92" i="3" s="1"/>
  <c r="J92" i="3" s="1"/>
  <c r="L92" i="3" s="1" a="1"/>
  <c r="L92" i="3" s="1"/>
  <c r="G172" i="3"/>
  <c r="H172" i="3"/>
  <c r="I172" i="3" s="1"/>
  <c r="J172" i="3" s="1"/>
  <c r="L172" i="3" s="1" a="1"/>
  <c r="L172" i="3" s="1"/>
  <c r="G57" i="3"/>
  <c r="H57" i="3"/>
  <c r="I57" i="3" s="1"/>
  <c r="J57" i="3" s="1"/>
  <c r="L57" i="3" s="1" a="1"/>
  <c r="L57" i="3" s="1"/>
  <c r="G153" i="3"/>
  <c r="H153" i="3"/>
  <c r="I153" i="3" s="1"/>
  <c r="J153" i="3" s="1"/>
  <c r="L153" i="3" s="1" a="1"/>
  <c r="L153" i="3" s="1"/>
  <c r="G55" i="3"/>
  <c r="H55" i="3"/>
  <c r="I55" i="3" s="1"/>
  <c r="J55" i="3" s="1"/>
  <c r="L55" i="3" s="1" a="1"/>
  <c r="L55" i="3" s="1"/>
  <c r="G458" i="3"/>
  <c r="H458" i="3"/>
  <c r="I458" i="3" s="1"/>
  <c r="J458" i="3" s="1"/>
  <c r="L458" i="3" s="1" a="1"/>
  <c r="L458" i="3" s="1"/>
  <c r="H71" i="3"/>
  <c r="I71" i="3" s="1"/>
  <c r="J71" i="3" s="1"/>
  <c r="L71" i="3" s="1" a="1"/>
  <c r="L71" i="3" s="1"/>
  <c r="G152" i="3"/>
  <c r="H152" i="3"/>
  <c r="I152" i="3" s="1"/>
  <c r="J152" i="3" s="1"/>
  <c r="L152" i="3" s="1" a="1"/>
  <c r="L152" i="3" s="1"/>
  <c r="G316" i="3"/>
  <c r="H316" i="3"/>
  <c r="I316" i="3" s="1"/>
  <c r="J316" i="3" s="1"/>
  <c r="L316" i="3" s="1" a="1"/>
  <c r="L316" i="3" s="1"/>
  <c r="G260" i="3"/>
  <c r="H260" i="3"/>
  <c r="I260" i="3" s="1"/>
  <c r="J260" i="3" s="1"/>
  <c r="L260" i="3" s="1" a="1"/>
  <c r="L260" i="3" s="1"/>
  <c r="G534" i="3"/>
  <c r="H534" i="3"/>
  <c r="I534" i="3" s="1"/>
  <c r="J534" i="3" s="1"/>
  <c r="L534" i="3" s="1" a="1"/>
  <c r="L534" i="3" s="1"/>
  <c r="G373" i="3"/>
  <c r="H373" i="3"/>
  <c r="I373" i="3" s="1"/>
  <c r="J373" i="3" s="1"/>
  <c r="L373" i="3" s="1" a="1"/>
  <c r="L373" i="3" s="1"/>
  <c r="G103" i="3"/>
  <c r="H103" i="3"/>
  <c r="I103" i="3" s="1"/>
  <c r="J103" i="3" s="1"/>
  <c r="L103" i="3" s="1" a="1"/>
  <c r="L103" i="3" s="1"/>
  <c r="H195" i="3"/>
  <c r="I195" i="3" s="1"/>
  <c r="J195" i="3" s="1"/>
  <c r="L195" i="3" s="1" a="1"/>
  <c r="L195" i="3" s="1"/>
  <c r="G149" i="3"/>
  <c r="H149" i="3"/>
  <c r="I149" i="3" s="1"/>
  <c r="J149" i="3" s="1"/>
  <c r="L149" i="3" s="1" a="1"/>
  <c r="L149" i="3" s="1"/>
  <c r="G724" i="3"/>
  <c r="H724" i="3"/>
  <c r="I724" i="3" s="1"/>
  <c r="J724" i="3" s="1"/>
  <c r="L724" i="3" s="1" a="1"/>
  <c r="L724" i="3" s="1"/>
  <c r="G508" i="3"/>
  <c r="H508" i="3"/>
  <c r="I508" i="3" s="1"/>
  <c r="J508" i="3" s="1"/>
  <c r="L508" i="3" s="1" a="1"/>
  <c r="L508" i="3" s="1"/>
  <c r="G588" i="3"/>
  <c r="H588" i="3"/>
  <c r="I588" i="3" s="1"/>
  <c r="J588" i="3" s="1"/>
  <c r="L588" i="3" s="1" a="1"/>
  <c r="L588" i="3" s="1"/>
  <c r="G148" i="3"/>
  <c r="H148" i="3"/>
  <c r="I148" i="3" s="1"/>
  <c r="J148" i="3" s="1"/>
  <c r="L148" i="3" s="1" a="1"/>
  <c r="L148" i="3" s="1"/>
  <c r="G68" i="3"/>
  <c r="H68" i="3"/>
  <c r="I68" i="3" s="1"/>
  <c r="J68" i="3" s="1"/>
  <c r="L68" i="3" s="1" a="1"/>
  <c r="L68" i="3" s="1"/>
  <c r="G182" i="3"/>
  <c r="H182" i="3"/>
  <c r="I182" i="3" s="1"/>
  <c r="J182" i="3" s="1"/>
  <c r="L182" i="3" s="1" a="1"/>
  <c r="L182" i="3" s="1"/>
  <c r="G455" i="3"/>
  <c r="H455" i="3"/>
  <c r="I455" i="3" s="1"/>
  <c r="J455" i="3" s="1"/>
  <c r="L455" i="3" s="1" a="1"/>
  <c r="L455" i="3" s="1"/>
  <c r="H342" i="3"/>
  <c r="I342" i="3" s="1"/>
  <c r="J342" i="3" s="1"/>
  <c r="L342" i="3" s="1" a="1"/>
  <c r="L342" i="3" s="1"/>
  <c r="G876" i="3"/>
  <c r="G734" i="3"/>
  <c r="G673" i="3"/>
  <c r="G468" i="3"/>
  <c r="H468" i="3"/>
  <c r="I468" i="3" s="1"/>
  <c r="J468" i="3" s="1"/>
  <c r="L468" i="3" s="1" a="1"/>
  <c r="L468" i="3" s="1"/>
  <c r="G82" i="3"/>
  <c r="H82" i="3"/>
  <c r="I82" i="3" s="1"/>
  <c r="J82" i="3" s="1"/>
  <c r="L82" i="3" s="1" a="1"/>
  <c r="L82" i="3" s="1"/>
  <c r="G620" i="3"/>
  <c r="H620" i="3"/>
  <c r="I620" i="3" s="1"/>
  <c r="J620" i="3" s="1"/>
  <c r="L620" i="3" s="1" a="1"/>
  <c r="L620" i="3" s="1"/>
  <c r="G598" i="3"/>
  <c r="H598" i="3"/>
  <c r="I598" i="3" s="1"/>
  <c r="J598" i="3" s="1"/>
  <c r="L598" i="3" s="1" a="1"/>
  <c r="L598" i="3" s="1"/>
  <c r="H31" i="3"/>
  <c r="I31" i="3" s="1"/>
  <c r="J31" i="3" s="1"/>
  <c r="L31" i="3" s="1" a="1"/>
  <c r="L31" i="3" s="1"/>
  <c r="H42" i="3"/>
  <c r="I42" i="3" s="1"/>
  <c r="J42" i="3" s="1"/>
  <c r="L42" i="3" s="1" a="1"/>
  <c r="L42" i="3" s="1"/>
  <c r="H15" i="3"/>
  <c r="I15" i="3" s="1"/>
  <c r="J15" i="3" s="1"/>
  <c r="L15" i="3" s="1" a="1"/>
  <c r="L15" i="3" s="1"/>
  <c r="G30" i="3"/>
  <c r="H30" i="3"/>
  <c r="I30" i="3" s="1"/>
  <c r="J30" i="3" s="1"/>
  <c r="L30" i="3" s="1" a="1"/>
  <c r="L30" i="3" s="1"/>
  <c r="H54" i="3"/>
  <c r="I54" i="3" s="1"/>
  <c r="J54" i="3" s="1"/>
  <c r="L54" i="3" s="1" a="1"/>
  <c r="L54" i="3" s="1"/>
  <c r="H41" i="3"/>
  <c r="I41" i="3" s="1"/>
  <c r="J41" i="3" s="1"/>
  <c r="L41" i="3" s="1" a="1"/>
  <c r="L41" i="3" s="1"/>
  <c r="G14" i="3"/>
  <c r="H14" i="3"/>
  <c r="I14" i="3" s="1"/>
  <c r="J14" i="3" s="1"/>
  <c r="L14" i="3" s="1" a="1"/>
  <c r="L14" i="3" s="1"/>
  <c r="G101" i="3"/>
  <c r="H101" i="3"/>
  <c r="I101" i="3" s="1"/>
  <c r="J101" i="3" s="1"/>
  <c r="L101" i="3" s="1" a="1"/>
  <c r="L101" i="3" s="1"/>
  <c r="G169" i="3"/>
  <c r="H169" i="3"/>
  <c r="I169" i="3" s="1"/>
  <c r="J169" i="3" s="1"/>
  <c r="L169" i="3" s="1" a="1"/>
  <c r="L169" i="3" s="1"/>
  <c r="G100" i="3"/>
  <c r="H100" i="3"/>
  <c r="I100" i="3" s="1"/>
  <c r="J100" i="3" s="1"/>
  <c r="L100" i="3" s="1" a="1"/>
  <c r="L100" i="3" s="1"/>
  <c r="G381" i="3"/>
  <c r="H381" i="3"/>
  <c r="I381" i="3" s="1"/>
  <c r="J381" i="3" s="1"/>
  <c r="L381" i="3" s="1" a="1"/>
  <c r="L381" i="3" s="1"/>
  <c r="G445" i="3"/>
  <c r="H445" i="3"/>
  <c r="I445" i="3" s="1"/>
  <c r="J445" i="3" s="1"/>
  <c r="L445" i="3" s="1" a="1"/>
  <c r="L445" i="3" s="1"/>
  <c r="G380" i="3"/>
  <c r="H380" i="3"/>
  <c r="I380" i="3" s="1"/>
  <c r="J380" i="3" s="1"/>
  <c r="L380" i="3" s="1" a="1"/>
  <c r="L380" i="3" s="1"/>
  <c r="G125" i="3"/>
  <c r="H125" i="3"/>
  <c r="I125" i="3" s="1"/>
  <c r="J125" i="3" s="1"/>
  <c r="L125" i="3" s="1" a="1"/>
  <c r="L125" i="3" s="1"/>
  <c r="G52" i="3"/>
  <c r="H52" i="3"/>
  <c r="I52" i="3" s="1"/>
  <c r="J52" i="3" s="1"/>
  <c r="L52" i="3" s="1" a="1"/>
  <c r="L52" i="3" s="1"/>
  <c r="G573" i="3"/>
  <c r="H573" i="3"/>
  <c r="I573" i="3" s="1"/>
  <c r="J573" i="3" s="1"/>
  <c r="L573" i="3" s="1" a="1"/>
  <c r="L573" i="3" s="1"/>
  <c r="G444" i="3"/>
  <c r="H444" i="3"/>
  <c r="I444" i="3" s="1"/>
  <c r="J444" i="3" s="1"/>
  <c r="L444" i="3" s="1" a="1"/>
  <c r="L444" i="3" s="1"/>
  <c r="G412" i="3"/>
  <c r="H412" i="3"/>
  <c r="I412" i="3" s="1"/>
  <c r="J412" i="3" s="1"/>
  <c r="L412" i="3" s="1" a="1"/>
  <c r="L412" i="3" s="1"/>
  <c r="G235" i="3"/>
  <c r="H235" i="3"/>
  <c r="I235" i="3" s="1"/>
  <c r="J235" i="3" s="1"/>
  <c r="L235" i="3" s="1" a="1"/>
  <c r="L235" i="3" s="1"/>
  <c r="G357" i="3"/>
  <c r="H357" i="3"/>
  <c r="I357" i="3" s="1"/>
  <c r="J357" i="3" s="1"/>
  <c r="L357" i="3" s="1" a="1"/>
  <c r="L357" i="3" s="1"/>
  <c r="H291" i="3"/>
  <c r="I291" i="3" s="1"/>
  <c r="J291" i="3" s="1"/>
  <c r="L291" i="3" s="1" a="1"/>
  <c r="L291" i="3" s="1"/>
  <c r="G213" i="3"/>
  <c r="H213" i="3"/>
  <c r="I213" i="3" s="1"/>
  <c r="J213" i="3" s="1"/>
  <c r="L213" i="3" s="1" a="1"/>
  <c r="L213" i="3" s="1"/>
  <c r="G157" i="3"/>
  <c r="H157" i="3"/>
  <c r="I157" i="3" s="1"/>
  <c r="J157" i="3" s="1"/>
  <c r="L157" i="3" s="1" a="1"/>
  <c r="L157" i="3" s="1"/>
  <c r="G572" i="3"/>
  <c r="H572" i="3"/>
  <c r="I572" i="3" s="1"/>
  <c r="J572" i="3" s="1"/>
  <c r="L572" i="3" s="1" a="1"/>
  <c r="L572" i="3" s="1"/>
  <c r="G325" i="3"/>
  <c r="H325" i="3"/>
  <c r="I325" i="3" s="1"/>
  <c r="J325" i="3" s="1"/>
  <c r="L325" i="3" s="1" a="1"/>
  <c r="L325" i="3" s="1"/>
  <c r="H178" i="3"/>
  <c r="I178" i="3" s="1"/>
  <c r="J178" i="3" s="1"/>
  <c r="L178" i="3" s="1" a="1"/>
  <c r="L178" i="3" s="1"/>
  <c r="G123" i="3"/>
  <c r="H123" i="3"/>
  <c r="I123" i="3" s="1"/>
  <c r="J123" i="3" s="1"/>
  <c r="L123" i="3" s="1" a="1"/>
  <c r="L123" i="3" s="1"/>
  <c r="G356" i="3"/>
  <c r="H356" i="3"/>
  <c r="I356" i="3" s="1"/>
  <c r="J356" i="3" s="1"/>
  <c r="L356" i="3" s="1" a="1"/>
  <c r="L356" i="3" s="1"/>
  <c r="G212" i="3"/>
  <c r="H212" i="3"/>
  <c r="I212" i="3" s="1"/>
  <c r="J212" i="3" s="1"/>
  <c r="L212" i="3" s="1" a="1"/>
  <c r="L212" i="3" s="1"/>
  <c r="G156" i="3"/>
  <c r="H156" i="3"/>
  <c r="I156" i="3" s="1"/>
  <c r="J156" i="3" s="1"/>
  <c r="L156" i="3" s="1" a="1"/>
  <c r="L156" i="3" s="1"/>
  <c r="H38" i="3"/>
  <c r="I38" i="3" s="1"/>
  <c r="J38" i="3" s="1"/>
  <c r="L38" i="3" s="1" a="1"/>
  <c r="L38" i="3" s="1"/>
  <c r="G38" i="3"/>
  <c r="G422" i="3"/>
  <c r="H422" i="3"/>
  <c r="I422" i="3" s="1"/>
  <c r="J422" i="3" s="1"/>
  <c r="L422" i="3" s="1" a="1"/>
  <c r="L422" i="3" s="1"/>
  <c r="G247" i="3"/>
  <c r="H247" i="3"/>
  <c r="I247" i="3" s="1"/>
  <c r="J247" i="3" s="1"/>
  <c r="L247" i="3" s="1" a="1"/>
  <c r="L247" i="3" s="1"/>
  <c r="G74" i="3"/>
  <c r="H74" i="3"/>
  <c r="I74" i="3" s="1"/>
  <c r="J74" i="3" s="1"/>
  <c r="L74" i="3" s="1" a="1"/>
  <c r="L74" i="3" s="1"/>
  <c r="G269" i="3"/>
  <c r="H269" i="3"/>
  <c r="I269" i="3" s="1"/>
  <c r="J269" i="3" s="1"/>
  <c r="L269" i="3" s="1" a="1"/>
  <c r="L269" i="3" s="1"/>
  <c r="G524" i="3"/>
  <c r="H524" i="3"/>
  <c r="I524" i="3" s="1"/>
  <c r="J524" i="3" s="1"/>
  <c r="L524" i="3" s="1" a="1"/>
  <c r="L524" i="3" s="1"/>
  <c r="H335" i="3"/>
  <c r="I335" i="3" s="1"/>
  <c r="J335" i="3" s="1"/>
  <c r="L335" i="3" s="1" a="1"/>
  <c r="L335" i="3" s="1"/>
  <c r="H167" i="3"/>
  <c r="I167" i="3" s="1"/>
  <c r="J167" i="3" s="1"/>
  <c r="L167" i="3" s="1" a="1"/>
  <c r="L167" i="3" s="1"/>
  <c r="G268" i="3"/>
  <c r="H268" i="3"/>
  <c r="I268" i="3" s="1"/>
  <c r="J268" i="3" s="1"/>
  <c r="L268" i="3" s="1" a="1"/>
  <c r="L268" i="3" s="1"/>
  <c r="G590" i="3"/>
  <c r="H590" i="3"/>
  <c r="I590" i="3" s="1"/>
  <c r="J590" i="3" s="1"/>
  <c r="L590" i="3" s="1" a="1"/>
  <c r="L590" i="3" s="1"/>
  <c r="G421" i="3"/>
  <c r="H421" i="3"/>
  <c r="I421" i="3" s="1"/>
  <c r="J421" i="3" s="1"/>
  <c r="L421" i="3" s="1" a="1"/>
  <c r="L421" i="3" s="1"/>
  <c r="H290" i="3"/>
  <c r="I290" i="3" s="1"/>
  <c r="J290" i="3" s="1"/>
  <c r="L290" i="3" s="1" a="1"/>
  <c r="L290" i="3" s="1"/>
  <c r="G245" i="3"/>
  <c r="H245" i="3"/>
  <c r="I245" i="3" s="1"/>
  <c r="J245" i="3" s="1"/>
  <c r="L245" i="3" s="1" a="1"/>
  <c r="L245" i="3" s="1"/>
  <c r="H223" i="3"/>
  <c r="I223" i="3" s="1"/>
  <c r="J223" i="3" s="1"/>
  <c r="L223" i="3" s="1" a="1"/>
  <c r="L223" i="3" s="1"/>
  <c r="H211" i="3"/>
  <c r="I211" i="3" s="1"/>
  <c r="J211" i="3" s="1"/>
  <c r="L211" i="3" s="1" a="1"/>
  <c r="L211" i="3" s="1"/>
  <c r="G494" i="3"/>
  <c r="H494" i="3"/>
  <c r="I494" i="3" s="1"/>
  <c r="J494" i="3" s="1"/>
  <c r="L494" i="3" s="1" a="1"/>
  <c r="L494" i="3" s="1"/>
  <c r="G35" i="3"/>
  <c r="H35" i="3"/>
  <c r="I35" i="3" s="1"/>
  <c r="J35" i="3" s="1"/>
  <c r="L35" i="3" s="1" a="1"/>
  <c r="L35" i="3" s="1"/>
  <c r="G244" i="3"/>
  <c r="H244" i="3"/>
  <c r="I244" i="3" s="1"/>
  <c r="J244" i="3" s="1"/>
  <c r="L244" i="3" s="1" a="1"/>
  <c r="L244" i="3" s="1"/>
  <c r="G133" i="3"/>
  <c r="H133" i="3"/>
  <c r="I133" i="3" s="1"/>
  <c r="J133" i="3" s="1"/>
  <c r="L133" i="3" s="1" a="1"/>
  <c r="L133" i="3" s="1"/>
  <c r="G86" i="3"/>
  <c r="H86" i="3"/>
  <c r="I86" i="3" s="1"/>
  <c r="J86" i="3" s="1"/>
  <c r="L86" i="3" s="1" a="1"/>
  <c r="L86" i="3" s="1"/>
  <c r="H23" i="3"/>
  <c r="I23" i="3" s="1"/>
  <c r="J23" i="3" s="1"/>
  <c r="L23" i="3" s="1" a="1"/>
  <c r="L23" i="3" s="1"/>
  <c r="H366" i="3"/>
  <c r="I366" i="3" s="1"/>
  <c r="J366" i="3" s="1"/>
  <c r="L366" i="3" s="1" a="1"/>
  <c r="L366" i="3" s="1"/>
  <c r="G301" i="3"/>
  <c r="H301" i="3"/>
  <c r="I301" i="3" s="1"/>
  <c r="J301" i="3" s="1"/>
  <c r="L301" i="3" s="1" a="1"/>
  <c r="L301" i="3" s="1"/>
  <c r="G389" i="3"/>
  <c r="H389" i="3"/>
  <c r="I389" i="3" s="1"/>
  <c r="J389" i="3" s="1"/>
  <c r="L389" i="3" s="1" a="1"/>
  <c r="L389" i="3" s="1"/>
  <c r="H187" i="3"/>
  <c r="I187" i="3" s="1"/>
  <c r="J187" i="3" s="1"/>
  <c r="L187" i="3" s="1" a="1"/>
  <c r="L187" i="3" s="1"/>
  <c r="G109" i="3"/>
  <c r="H109" i="3"/>
  <c r="I109" i="3" s="1"/>
  <c r="J109" i="3" s="1"/>
  <c r="L109" i="3" s="1" a="1"/>
  <c r="L109" i="3" s="1"/>
  <c r="G431" i="3"/>
  <c r="H431" i="3"/>
  <c r="I431" i="3" s="1"/>
  <c r="J431" i="3" s="1"/>
  <c r="L431" i="3" s="1" a="1"/>
  <c r="L431" i="3" s="1"/>
  <c r="G300" i="3"/>
  <c r="H300" i="3"/>
  <c r="I300" i="3" s="1"/>
  <c r="J300" i="3" s="1"/>
  <c r="L300" i="3" s="1" a="1"/>
  <c r="L300" i="3" s="1"/>
  <c r="G108" i="3"/>
  <c r="H108" i="3"/>
  <c r="I108" i="3" s="1"/>
  <c r="J108" i="3" s="1"/>
  <c r="L108" i="3" s="1" a="1"/>
  <c r="L108" i="3" s="1"/>
  <c r="G493" i="3"/>
  <c r="H493" i="3"/>
  <c r="I493" i="3" s="1"/>
  <c r="J493" i="3" s="1"/>
  <c r="L493" i="3" s="1" a="1"/>
  <c r="L493" i="3" s="1"/>
  <c r="G311" i="3"/>
  <c r="H311" i="3"/>
  <c r="I311" i="3" s="1"/>
  <c r="J311" i="3" s="1"/>
  <c r="L311" i="3" s="1" a="1"/>
  <c r="L311" i="3" s="1"/>
  <c r="H120" i="3"/>
  <c r="I120" i="3" s="1"/>
  <c r="J120" i="3" s="1"/>
  <c r="L120" i="3" s="1" a="1"/>
  <c r="L120" i="3" s="1"/>
  <c r="H34" i="3"/>
  <c r="I34" i="3" s="1"/>
  <c r="J34" i="3" s="1"/>
  <c r="L34" i="3" s="1" a="1"/>
  <c r="L34" i="3" s="1"/>
  <c r="H83" i="3"/>
  <c r="I83" i="3" s="1"/>
  <c r="J83" i="3" s="1"/>
  <c r="L83" i="3" s="1" a="1"/>
  <c r="L83" i="3" s="1"/>
  <c r="G492" i="3"/>
  <c r="H492" i="3"/>
  <c r="I492" i="3" s="1"/>
  <c r="J492" i="3" s="1"/>
  <c r="L492" i="3" s="1" a="1"/>
  <c r="L492" i="3" s="1"/>
  <c r="G22" i="3"/>
  <c r="H22" i="3"/>
  <c r="I22" i="3" s="1"/>
  <c r="J22" i="3" s="1"/>
  <c r="L22" i="3" s="1" a="1"/>
  <c r="L22" i="3" s="1"/>
  <c r="G607" i="3"/>
  <c r="H607" i="3"/>
  <c r="I607" i="3" s="1"/>
  <c r="J607" i="3" s="1"/>
  <c r="L607" i="3" s="1" a="1"/>
  <c r="L607" i="3" s="1"/>
  <c r="G365" i="3"/>
  <c r="H365" i="3"/>
  <c r="I365" i="3" s="1"/>
  <c r="J365" i="3" s="1"/>
  <c r="L365" i="3" s="1" a="1"/>
  <c r="L365" i="3" s="1"/>
  <c r="G198" i="3"/>
  <c r="H198" i="3"/>
  <c r="I198" i="3" s="1"/>
  <c r="J198" i="3" s="1"/>
  <c r="L198" i="3" s="1" a="1"/>
  <c r="L198" i="3" s="1"/>
  <c r="H502" i="3"/>
  <c r="I502" i="3" s="1"/>
  <c r="J502" i="3" s="1"/>
  <c r="L502" i="3" s="1" a="1"/>
  <c r="L502" i="3" s="1"/>
  <c r="H472" i="3"/>
  <c r="I472" i="3" s="1"/>
  <c r="J472" i="3" s="1"/>
  <c r="L472" i="3" s="1" a="1"/>
  <c r="L472" i="3" s="1"/>
  <c r="H451" i="3"/>
  <c r="I451" i="3" s="1"/>
  <c r="J451" i="3" s="1"/>
  <c r="L451" i="3" s="1" a="1"/>
  <c r="L451" i="3" s="1"/>
  <c r="H387" i="3"/>
  <c r="I387" i="3" s="1"/>
  <c r="J387" i="3" s="1"/>
  <c r="L387" i="3" s="1" a="1"/>
  <c r="L387" i="3" s="1"/>
  <c r="H232" i="3"/>
  <c r="I232" i="3" s="1"/>
  <c r="J232" i="3" s="1"/>
  <c r="L232" i="3" s="1" a="1"/>
  <c r="L232" i="3" s="1"/>
  <c r="H186" i="3"/>
  <c r="I186" i="3" s="1"/>
  <c r="J186" i="3" s="1"/>
  <c r="L186" i="3" s="1" a="1"/>
  <c r="L186" i="3" s="1"/>
  <c r="G165" i="3"/>
  <c r="H165" i="3"/>
  <c r="I165" i="3" s="1"/>
  <c r="J165" i="3" s="1"/>
  <c r="L165" i="3" s="1" a="1"/>
  <c r="L165" i="3" s="1"/>
  <c r="G60" i="3"/>
  <c r="H60" i="3"/>
  <c r="I60" i="3" s="1"/>
  <c r="J60" i="3" s="1"/>
  <c r="L60" i="3" s="1" a="1"/>
  <c r="L60" i="3" s="1"/>
  <c r="G532" i="3"/>
  <c r="H532" i="3"/>
  <c r="I532" i="3" s="1"/>
  <c r="J532" i="3" s="1"/>
  <c r="L532" i="3" s="1" a="1"/>
  <c r="L532" i="3" s="1"/>
  <c r="G364" i="3"/>
  <c r="H364" i="3"/>
  <c r="I364" i="3" s="1"/>
  <c r="J364" i="3" s="1"/>
  <c r="L364" i="3" s="1" a="1"/>
  <c r="L364" i="3" s="1"/>
  <c r="G333" i="3"/>
  <c r="H333" i="3"/>
  <c r="I333" i="3" s="1"/>
  <c r="J333" i="3" s="1"/>
  <c r="L333" i="3" s="1" a="1"/>
  <c r="L333" i="3" s="1"/>
  <c r="H130" i="3"/>
  <c r="I130" i="3" s="1"/>
  <c r="J130" i="3" s="1"/>
  <c r="L130" i="3" s="1" a="1"/>
  <c r="L130" i="3" s="1"/>
  <c r="G96" i="3"/>
  <c r="H96" i="3"/>
  <c r="I96" i="3" s="1"/>
  <c r="J96" i="3" s="1"/>
  <c r="L96" i="3" s="1" a="1"/>
  <c r="L96" i="3" s="1"/>
  <c r="G440" i="3"/>
  <c r="H440" i="3"/>
  <c r="I440" i="3" s="1"/>
  <c r="J440" i="3" s="1"/>
  <c r="L440" i="3" s="1" a="1"/>
  <c r="L440" i="3" s="1"/>
  <c r="G221" i="3"/>
  <c r="H221" i="3"/>
  <c r="I221" i="3" s="1"/>
  <c r="J221" i="3" s="1"/>
  <c r="L221" i="3" s="1" a="1"/>
  <c r="L221" i="3" s="1"/>
  <c r="G164" i="3"/>
  <c r="H164" i="3"/>
  <c r="I164" i="3" s="1"/>
  <c r="J164" i="3" s="1"/>
  <c r="L164" i="3" s="1" a="1"/>
  <c r="L164" i="3" s="1"/>
  <c r="H398" i="3"/>
  <c r="I398" i="3" s="1"/>
  <c r="J398" i="3" s="1"/>
  <c r="L398" i="3" s="1" a="1"/>
  <c r="L398" i="3" s="1"/>
  <c r="H343" i="3"/>
  <c r="I343" i="3" s="1"/>
  <c r="J343" i="3" s="1"/>
  <c r="L343" i="3" s="1" a="1"/>
  <c r="L343" i="3" s="1"/>
  <c r="G332" i="3"/>
  <c r="H332" i="3"/>
  <c r="I332" i="3" s="1"/>
  <c r="J332" i="3" s="1"/>
  <c r="L332" i="3" s="1" a="1"/>
  <c r="L332" i="3" s="1"/>
  <c r="G197" i="3"/>
  <c r="H197" i="3"/>
  <c r="I197" i="3" s="1"/>
  <c r="J197" i="3" s="1"/>
  <c r="L197" i="3" s="1" a="1"/>
  <c r="L197" i="3" s="1"/>
  <c r="G320" i="3"/>
  <c r="G220" i="3"/>
  <c r="H220" i="3"/>
  <c r="I220" i="3" s="1"/>
  <c r="J220" i="3" s="1"/>
  <c r="L220" i="3" s="1" a="1"/>
  <c r="L220" i="3" s="1"/>
  <c r="G140" i="3"/>
  <c r="H140" i="3"/>
  <c r="I140" i="3" s="1"/>
  <c r="J140" i="3" s="1"/>
  <c r="L140" i="3" s="1" a="1"/>
  <c r="L140" i="3" s="1"/>
  <c r="G46" i="3"/>
  <c r="G429" i="3"/>
  <c r="H429" i="3"/>
  <c r="I429" i="3" s="1"/>
  <c r="J429" i="3" s="1"/>
  <c r="L429" i="3" s="1" a="1"/>
  <c r="L429" i="3" s="1"/>
  <c r="G196" i="3"/>
  <c r="H196" i="3"/>
  <c r="I196" i="3" s="1"/>
  <c r="J196" i="3" s="1"/>
  <c r="L196" i="3" s="1" a="1"/>
  <c r="L196" i="3" s="1"/>
  <c r="H9" i="3"/>
  <c r="I9" i="3" s="1"/>
  <c r="J9" i="3" s="1"/>
  <c r="L9" i="3" s="1" a="1"/>
  <c r="L9" i="3" s="1"/>
  <c r="H49" i="3"/>
  <c r="I49" i="3" s="1"/>
  <c r="J49" i="3" s="1"/>
  <c r="L49" i="3" s="1" a="1"/>
  <c r="L49" i="3" s="1"/>
  <c r="H18" i="3"/>
  <c r="I18" i="3" s="1"/>
  <c r="J18" i="3" s="1"/>
  <c r="L18" i="3" s="1" a="1"/>
  <c r="L18" i="3" s="1"/>
  <c r="H39" i="3"/>
  <c r="I39" i="3" s="1"/>
  <c r="J39" i="3" s="1"/>
  <c r="L39" i="3" s="1" a="1"/>
  <c r="L39" i="3" s="1"/>
  <c r="G124" i="3"/>
  <c r="H124" i="3"/>
  <c r="I124" i="3" s="1"/>
  <c r="J124" i="3" s="1"/>
  <c r="L124" i="3" s="1" a="1"/>
  <c r="L124" i="3" s="1"/>
  <c r="H67" i="3"/>
  <c r="I67" i="3" s="1"/>
  <c r="J67" i="3" s="1"/>
  <c r="L67" i="3" s="1" a="1"/>
  <c r="L67" i="3" s="1"/>
  <c r="H8" i="3"/>
  <c r="I8" i="3" s="1"/>
  <c r="J8" i="3" s="1"/>
  <c r="L8" i="3" s="1" a="1"/>
  <c r="L8" i="3" s="1"/>
  <c r="H331" i="3"/>
  <c r="I331" i="3" s="1"/>
  <c r="J331" i="3" s="1"/>
  <c r="L331" i="3" s="1" a="1"/>
  <c r="L331" i="3" s="1"/>
  <c r="H275" i="3"/>
  <c r="I275" i="3" s="1"/>
  <c r="J275" i="3" s="1"/>
  <c r="L275" i="3" s="1" a="1"/>
  <c r="L275" i="3" s="1"/>
  <c r="H238" i="3"/>
  <c r="I238" i="3" s="1"/>
  <c r="J238" i="3" s="1"/>
  <c r="L238" i="3" s="1" a="1"/>
  <c r="L238" i="3" s="1"/>
  <c r="H209" i="3"/>
  <c r="I209" i="3" s="1"/>
  <c r="J209" i="3" s="1"/>
  <c r="L209" i="3" s="1" a="1"/>
  <c r="L209" i="3" s="1"/>
  <c r="G181" i="3"/>
  <c r="H181" i="3"/>
  <c r="I181" i="3" s="1"/>
  <c r="J181" i="3" s="1"/>
  <c r="L181" i="3" s="1" a="1"/>
  <c r="L181" i="3" s="1"/>
  <c r="H143" i="3"/>
  <c r="I143" i="3" s="1"/>
  <c r="J143" i="3" s="1"/>
  <c r="L143" i="3" s="1" a="1"/>
  <c r="L143" i="3" s="1"/>
  <c r="H114" i="3"/>
  <c r="I114" i="3" s="1"/>
  <c r="J114" i="3" s="1"/>
  <c r="L114" i="3" s="1" a="1"/>
  <c r="L114" i="3" s="1"/>
  <c r="G76" i="3"/>
  <c r="H76" i="3"/>
  <c r="I76" i="3" s="1"/>
  <c r="J76" i="3" s="1"/>
  <c r="L76" i="3" s="1" a="1"/>
  <c r="L76" i="3" s="1"/>
  <c r="H48" i="3"/>
  <c r="I48" i="3" s="1"/>
  <c r="J48" i="3" s="1"/>
  <c r="L48" i="3" s="1" a="1"/>
  <c r="L48" i="3" s="1"/>
  <c r="H27" i="3"/>
  <c r="I27" i="3" s="1"/>
  <c r="J27" i="3" s="1"/>
  <c r="L27" i="3" s="1" a="1"/>
  <c r="L27" i="3" s="1"/>
  <c r="G341" i="3"/>
  <c r="H341" i="3"/>
  <c r="I341" i="3" s="1"/>
  <c r="J341" i="3" s="1"/>
  <c r="L341" i="3" s="1" a="1"/>
  <c r="L341" i="3" s="1"/>
  <c r="G285" i="3"/>
  <c r="H285" i="3"/>
  <c r="I285" i="3" s="1"/>
  <c r="J285" i="3" s="1"/>
  <c r="L285" i="3" s="1" a="1"/>
  <c r="L285" i="3" s="1"/>
  <c r="G180" i="3"/>
  <c r="H180" i="3"/>
  <c r="I180" i="3" s="1"/>
  <c r="J180" i="3" s="1"/>
  <c r="L180" i="3" s="1" a="1"/>
  <c r="L180" i="3" s="1"/>
  <c r="H17" i="3"/>
  <c r="I17" i="3" s="1"/>
  <c r="J17" i="3" s="1"/>
  <c r="L17" i="3" s="1" a="1"/>
  <c r="L17" i="3" s="1"/>
  <c r="G340" i="3"/>
  <c r="H340" i="3"/>
  <c r="I340" i="3" s="1"/>
  <c r="J340" i="3" s="1"/>
  <c r="L340" i="3" s="1" a="1"/>
  <c r="L340" i="3" s="1"/>
  <c r="H7" i="3"/>
  <c r="I7" i="3" s="1"/>
  <c r="J7" i="3" s="1"/>
  <c r="L7" i="3" s="1" a="1"/>
  <c r="L7" i="3" s="1"/>
  <c r="G237" i="3"/>
  <c r="H237" i="3"/>
  <c r="I237" i="3" s="1"/>
  <c r="J237" i="3" s="1"/>
  <c r="L237" i="3" s="1" a="1"/>
  <c r="L237" i="3" s="1"/>
  <c r="G132" i="3"/>
  <c r="H132" i="3"/>
  <c r="I132" i="3" s="1"/>
  <c r="J132" i="3" s="1"/>
  <c r="L132" i="3" s="1" a="1"/>
  <c r="L132" i="3" s="1"/>
  <c r="G477" i="3"/>
  <c r="H477" i="3"/>
  <c r="I477" i="3" s="1"/>
  <c r="J477" i="3" s="1"/>
  <c r="L477" i="3" s="1" a="1"/>
  <c r="L477" i="3" s="1"/>
  <c r="H330" i="3"/>
  <c r="I330" i="3" s="1"/>
  <c r="J330" i="3" s="1"/>
  <c r="L330" i="3" s="1" a="1"/>
  <c r="L330" i="3" s="1"/>
  <c r="H274" i="3"/>
  <c r="I274" i="3" s="1"/>
  <c r="J274" i="3" s="1"/>
  <c r="L274" i="3" s="1" a="1"/>
  <c r="L274" i="3" s="1"/>
  <c r="G236" i="3"/>
  <c r="H236" i="3"/>
  <c r="I236" i="3" s="1"/>
  <c r="J236" i="3" s="1"/>
  <c r="L236" i="3" s="1" a="1"/>
  <c r="L236" i="3" s="1"/>
  <c r="H208" i="3"/>
  <c r="I208" i="3" s="1"/>
  <c r="J208" i="3" s="1"/>
  <c r="L208" i="3" s="1" a="1"/>
  <c r="L208" i="3" s="1"/>
  <c r="H179" i="3"/>
  <c r="I179" i="3" s="1"/>
  <c r="J179" i="3" s="1"/>
  <c r="L179" i="3" s="1" a="1"/>
  <c r="L179" i="3" s="1"/>
  <c r="H142" i="3"/>
  <c r="I142" i="3" s="1"/>
  <c r="J142" i="3" s="1"/>
  <c r="L142" i="3" s="1" a="1"/>
  <c r="L142" i="3" s="1"/>
  <c r="H113" i="3"/>
  <c r="I113" i="3" s="1"/>
  <c r="J113" i="3" s="1"/>
  <c r="L113" i="3" s="1" a="1"/>
  <c r="L113" i="3" s="1"/>
  <c r="H47" i="3"/>
  <c r="I47" i="3" s="1"/>
  <c r="J47" i="3" s="1"/>
  <c r="L47" i="3" s="1" a="1"/>
  <c r="L47" i="3" s="1"/>
  <c r="H26" i="3"/>
  <c r="I26" i="3" s="1"/>
  <c r="J26" i="3" s="1"/>
  <c r="L26" i="3" s="1" a="1"/>
  <c r="L26" i="3" s="1"/>
  <c r="G413" i="3"/>
  <c r="H413" i="3"/>
  <c r="I413" i="3" s="1"/>
  <c r="J413" i="3" s="1"/>
  <c r="L413" i="3" s="1" a="1"/>
  <c r="L413" i="3" s="1"/>
  <c r="H385" i="3"/>
  <c r="I385" i="3" s="1"/>
  <c r="J385" i="3" s="1"/>
  <c r="L385" i="3" s="1" a="1"/>
  <c r="L385" i="3" s="1"/>
  <c r="H376" i="3"/>
  <c r="I376" i="3" s="1"/>
  <c r="J376" i="3" s="1"/>
  <c r="L376" i="3" s="1" a="1"/>
  <c r="L376" i="3" s="1"/>
  <c r="H367" i="3"/>
  <c r="I367" i="3" s="1"/>
  <c r="J367" i="3" s="1"/>
  <c r="L367" i="3" s="1" a="1"/>
  <c r="L367" i="3" s="1"/>
  <c r="H358" i="3"/>
  <c r="I358" i="3" s="1"/>
  <c r="J358" i="3" s="1"/>
  <c r="L358" i="3" s="1" a="1"/>
  <c r="L358" i="3" s="1"/>
  <c r="G349" i="3"/>
  <c r="H349" i="3"/>
  <c r="I349" i="3" s="1"/>
  <c r="J349" i="3" s="1"/>
  <c r="L349" i="3" s="1" a="1"/>
  <c r="L349" i="3" s="1"/>
  <c r="H283" i="3"/>
  <c r="I283" i="3" s="1"/>
  <c r="J283" i="3" s="1"/>
  <c r="L283" i="3" s="1" a="1"/>
  <c r="L283" i="3" s="1"/>
  <c r="H246" i="3"/>
  <c r="I246" i="3" s="1"/>
  <c r="J246" i="3" s="1"/>
  <c r="L246" i="3" s="1" a="1"/>
  <c r="L246" i="3" s="1"/>
  <c r="H217" i="3"/>
  <c r="I217" i="3" s="1"/>
  <c r="J217" i="3" s="1"/>
  <c r="L217" i="3" s="1" a="1"/>
  <c r="L217" i="3" s="1"/>
  <c r="G189" i="3"/>
  <c r="H189" i="3"/>
  <c r="I189" i="3" s="1"/>
  <c r="J189" i="3" s="1"/>
  <c r="L189" i="3" s="1" a="1"/>
  <c r="L189" i="3" s="1"/>
  <c r="H151" i="3"/>
  <c r="I151" i="3" s="1"/>
  <c r="J151" i="3" s="1"/>
  <c r="L151" i="3" s="1" a="1"/>
  <c r="L151" i="3" s="1"/>
  <c r="H122" i="3"/>
  <c r="I122" i="3" s="1"/>
  <c r="J122" i="3" s="1"/>
  <c r="L122" i="3" s="1" a="1"/>
  <c r="L122" i="3" s="1"/>
  <c r="G84" i="3"/>
  <c r="H84" i="3"/>
  <c r="I84" i="3" s="1"/>
  <c r="J84" i="3" s="1"/>
  <c r="L84" i="3" s="1" a="1"/>
  <c r="L84" i="3" s="1"/>
  <c r="G556" i="3"/>
  <c r="H556" i="3"/>
  <c r="I556" i="3" s="1"/>
  <c r="J556" i="3" s="1"/>
  <c r="L556" i="3" s="1" a="1"/>
  <c r="L556" i="3" s="1"/>
  <c r="G476" i="3"/>
  <c r="H476" i="3"/>
  <c r="I476" i="3" s="1"/>
  <c r="J476" i="3" s="1"/>
  <c r="L476" i="3" s="1" a="1"/>
  <c r="L476" i="3" s="1"/>
  <c r="G293" i="3"/>
  <c r="H293" i="3"/>
  <c r="I293" i="3" s="1"/>
  <c r="J293" i="3" s="1"/>
  <c r="L293" i="3" s="1" a="1"/>
  <c r="L293" i="3" s="1"/>
  <c r="G348" i="3"/>
  <c r="H348" i="3"/>
  <c r="I348" i="3" s="1"/>
  <c r="J348" i="3" s="1"/>
  <c r="L348" i="3" s="1" a="1"/>
  <c r="L348" i="3" s="1"/>
  <c r="G188" i="3"/>
  <c r="H188" i="3"/>
  <c r="I188" i="3" s="1"/>
  <c r="J188" i="3" s="1"/>
  <c r="L188" i="3" s="1" a="1"/>
  <c r="L188" i="3" s="1"/>
  <c r="H503" i="3"/>
  <c r="I503" i="3" s="1"/>
  <c r="J503" i="3" s="1"/>
  <c r="L503" i="3" s="1" a="1"/>
  <c r="L503" i="3" s="1"/>
  <c r="G292" i="3"/>
  <c r="H292" i="3"/>
  <c r="I292" i="3" s="1"/>
  <c r="J292" i="3" s="1"/>
  <c r="L292" i="3" s="1" a="1"/>
  <c r="L292" i="3" s="1"/>
  <c r="G141" i="3"/>
  <c r="H141" i="3"/>
  <c r="I141" i="3" s="1"/>
  <c r="J141" i="3" s="1"/>
  <c r="L141" i="3" s="1" a="1"/>
  <c r="L141" i="3" s="1"/>
  <c r="G485" i="3"/>
  <c r="H485" i="3"/>
  <c r="I485" i="3" s="1"/>
  <c r="J485" i="3" s="1"/>
  <c r="L485" i="3" s="1" a="1"/>
  <c r="L485" i="3" s="1"/>
  <c r="H6" i="3"/>
  <c r="I6" i="3" s="1"/>
  <c r="J6" i="3" s="1"/>
  <c r="L6" i="3" s="1" a="1"/>
  <c r="L6" i="3" s="1"/>
  <c r="H93" i="3"/>
  <c r="I93" i="3" s="1"/>
  <c r="J93" i="3" s="1"/>
  <c r="L93" i="3" s="1" a="1"/>
  <c r="L93" i="3" s="1"/>
  <c r="H85" i="3"/>
  <c r="I85" i="3" s="1"/>
  <c r="J85" i="3" s="1"/>
  <c r="L85" i="3" s="1" a="1"/>
  <c r="L85" i="3" s="1"/>
  <c r="H77" i="3"/>
  <c r="I77" i="3" s="1"/>
  <c r="J77" i="3" s="1"/>
  <c r="L77" i="3" s="1" a="1"/>
  <c r="L77" i="3" s="1"/>
  <c r="H69" i="3"/>
  <c r="I69" i="3" s="1"/>
  <c r="J69" i="3" s="1"/>
  <c r="L69" i="3" s="1" a="1"/>
  <c r="L69" i="3" s="1"/>
  <c r="H61" i="3"/>
  <c r="I61" i="3" s="1"/>
  <c r="J61" i="3" s="1"/>
  <c r="L61" i="3" s="1" a="1"/>
  <c r="L61" i="3" s="1"/>
  <c r="H53" i="3"/>
  <c r="I53" i="3" s="1"/>
  <c r="J53" i="3" s="1"/>
  <c r="L53" i="3" s="1" a="1"/>
  <c r="L53" i="3" s="1"/>
  <c r="H45" i="3"/>
  <c r="I45" i="3" s="1"/>
  <c r="J45" i="3" s="1"/>
  <c r="L45" i="3" s="1" a="1"/>
  <c r="L45" i="3" s="1"/>
  <c r="H37" i="3"/>
  <c r="I37" i="3" s="1"/>
  <c r="J37" i="3" s="1"/>
  <c r="L37" i="3" s="1" a="1"/>
  <c r="L37" i="3" s="1"/>
  <c r="H29" i="3"/>
  <c r="I29" i="3" s="1"/>
  <c r="J29" i="3" s="1"/>
  <c r="L29" i="3" s="1" a="1"/>
  <c r="L29" i="3" s="1"/>
  <c r="H21" i="3"/>
  <c r="I21" i="3" s="1"/>
  <c r="J21" i="3" s="1"/>
  <c r="L21" i="3" s="1" a="1"/>
  <c r="L21" i="3" s="1"/>
  <c r="H13" i="3"/>
  <c r="I13" i="3" s="1"/>
  <c r="J13" i="3" s="1"/>
  <c r="L13" i="3" s="1" a="1"/>
  <c r="L13" i="3" s="1"/>
  <c r="H5" i="3"/>
  <c r="I5" i="3" s="1"/>
  <c r="J5" i="3" s="1"/>
  <c r="L5" i="3" s="1" a="1"/>
  <c r="L5" i="3" s="1"/>
  <c r="H36" i="3"/>
  <c r="I36" i="3" s="1"/>
  <c r="J36" i="3" s="1"/>
  <c r="L36" i="3" s="1" a="1"/>
  <c r="L36" i="3" s="1"/>
  <c r="H28" i="3"/>
  <c r="I28" i="3" s="1"/>
  <c r="J28" i="3" s="1"/>
  <c r="L28" i="3" s="1" a="1"/>
  <c r="L28" i="3" s="1"/>
  <c r="H20" i="3"/>
  <c r="I20" i="3" s="1"/>
  <c r="J20" i="3" s="1"/>
  <c r="L20" i="3" s="1" a="1"/>
  <c r="L20" i="3" s="1"/>
  <c r="H12" i="3"/>
  <c r="I12" i="3" s="1"/>
  <c r="J12" i="3" s="1"/>
  <c r="L12" i="3" s="1" a="1"/>
  <c r="L12" i="3" s="1"/>
  <c r="H4" i="3"/>
  <c r="I4" i="3" s="1"/>
  <c r="J4" i="3" s="1"/>
  <c r="L4" i="3" s="1" a="1"/>
  <c r="L4" i="3" s="1"/>
  <c r="G3" i="3"/>
  <c r="L6" i="4" l="1" a="1"/>
  <c r="L6" i="4" s="1"/>
  <c r="L14" i="4" a="1"/>
  <c r="L14" i="4" s="1"/>
  <c r="L7" i="4" a="1"/>
  <c r="L7" i="4" s="1"/>
  <c r="L15" i="4" a="1"/>
  <c r="L15" i="4" s="1"/>
  <c r="L8" i="4" a="1"/>
  <c r="L8" i="4" s="1"/>
  <c r="L16" i="4" a="1"/>
  <c r="L16" i="4" s="1"/>
  <c r="L9" i="4" a="1"/>
  <c r="L9" i="4" s="1"/>
  <c r="L17" i="4" a="1"/>
  <c r="L17" i="4" s="1"/>
  <c r="L10" i="4" a="1"/>
  <c r="L10" i="4" s="1"/>
  <c r="L18" i="4" a="1"/>
  <c r="L18" i="4" s="1"/>
  <c r="L11" i="4" a="1"/>
  <c r="L11" i="4" s="1"/>
  <c r="L19" i="4" a="1"/>
  <c r="L19" i="4" s="1"/>
  <c r="L12" i="4" a="1"/>
  <c r="L12" i="4" s="1"/>
  <c r="L13" i="4" a="1"/>
  <c r="L13" i="4" s="1"/>
  <c r="E6" i="4" l="1"/>
  <c r="K6" i="4" s="1"/>
  <c r="E7" i="4"/>
  <c r="K7" i="4" s="1"/>
  <c r="E8" i="4"/>
  <c r="K8" i="4" s="1"/>
  <c r="E9" i="4"/>
  <c r="K9" i="4" s="1"/>
  <c r="E10" i="4"/>
  <c r="K10" i="4" s="1"/>
  <c r="E11" i="4"/>
  <c r="K11" i="4" s="1"/>
  <c r="E12" i="4"/>
  <c r="K12" i="4" s="1"/>
  <c r="E13" i="4"/>
  <c r="K13" i="4" s="1"/>
  <c r="E14" i="4"/>
  <c r="K14" i="4" s="1"/>
  <c r="E15" i="4"/>
  <c r="K15" i="4" s="1"/>
  <c r="E16" i="4"/>
  <c r="K16" i="4" s="1"/>
  <c r="E17" i="4"/>
  <c r="K17" i="4" s="1"/>
  <c r="E18" i="4"/>
  <c r="K18" i="4" s="1"/>
  <c r="E19" i="4"/>
  <c r="K19" i="4" s="1"/>
  <c r="F5" i="4"/>
  <c r="H5" i="4" s="1"/>
  <c r="I5" i="4" s="1"/>
  <c r="J5" i="4" s="1"/>
  <c r="E5" i="4"/>
  <c r="K5" i="4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5" i="2"/>
  <c r="L5" i="4" l="1" a="1"/>
  <c r="L5" i="4" s="1"/>
  <c r="G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<sst xmlns="http://schemas.openxmlformats.org/spreadsheetml/2006/main" count="3676" uniqueCount="3188">
  <si>
    <t>n</t>
  </si>
  <si>
    <t>z</t>
  </si>
  <si>
    <t>halflife/s</t>
    <phoneticPr fontId="2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</si>
  <si>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</si>
  <si>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</si>
  <si>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</si>
  <si>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</si>
  <si>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</si>
  <si>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</si>
  <si>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</si>
  <si>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</si>
  <si>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</si>
  <si>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</si>
  <si>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</si>
  <si>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</si>
  <si>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</si>
  <si>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</si>
  <si>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</si>
  <si>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</si>
  <si>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</si>
  <si>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</si>
  <si>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</si>
  <si>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</si>
  <si>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</si>
  <si>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</si>
  <si>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</si>
  <si>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</si>
  <si>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</si>
  <si>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</si>
  <si>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</si>
  <si>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</si>
  <si>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</si>
  <si>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</si>
  <si>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</si>
  <si>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</si>
  <si>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</si>
  <si>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</si>
  <si>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</si>
  <si>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</si>
  <si>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</si>
  <si>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</si>
  <si>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</si>
  <si>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</si>
  <si>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</si>
  <si>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</si>
  <si>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</si>
  <si>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</si>
  <si>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</si>
  <si>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</si>
  <si>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</si>
  <si>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</si>
  <si>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</si>
  <si>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</si>
  <si>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</si>
  <si>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</si>
  <si>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</si>
  <si>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</si>
  <si>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</si>
  <si>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</si>
  <si>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</si>
  <si>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</si>
  <si>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</si>
  <si>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</si>
  <si>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</si>
  <si>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</si>
  <si>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</si>
  <si>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</si>
  <si>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</si>
  <si>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</si>
  <si>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</si>
  <si>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</si>
  <si>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</si>
  <si>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</si>
  <si>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</si>
  <si>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</si>
  <si>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</si>
  <si>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</si>
  <si>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</si>
  <si>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</si>
  <si>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</si>
  <si>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</si>
  <si>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</si>
  <si>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</si>
  <si>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</si>
  <si>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</si>
  <si>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</si>
  <si>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</si>
  <si>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</si>
  <si>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</si>
  <si>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</si>
  <si>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</si>
  <si>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</si>
  <si>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</si>
  <si>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</si>
  <si>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</si>
  <si>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</si>
  <si>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</si>
  <si>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</si>
  <si>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</si>
  <si>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</si>
  <si>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</si>
  <si>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</si>
  <si>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</si>
  <si>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</si>
  <si>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</si>
  <si>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</si>
  <si>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</si>
  <si>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</si>
  <si>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</si>
  <si>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</si>
  <si>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</si>
  <si>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</si>
  <si>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</si>
  <si>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</si>
  <si>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</si>
  <si>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</si>
  <si>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</si>
  <si>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</si>
  <si>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</si>
  <si>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</si>
  <si>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</si>
  <si>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</si>
  <si>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</si>
  <si>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</si>
  <si>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</si>
  <si>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</si>
  <si>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</si>
  <si>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</si>
  <si>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</si>
  <si>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</si>
  <si>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</si>
  <si>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</si>
  <si>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</si>
  <si>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</si>
  <si>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</si>
  <si>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</si>
  <si>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</si>
  <si>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</si>
  <si>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</si>
  <si>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</si>
  <si>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</si>
  <si>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</si>
  <si>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</si>
  <si>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</si>
  <si>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</si>
  <si>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</si>
  <si>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</si>
  <si>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</si>
  <si>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</si>
  <si>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</si>
  <si>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</si>
  <si>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</si>
  <si>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</si>
  <si>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</si>
  <si>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</si>
  <si>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</si>
  <si>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</si>
  <si>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</si>
  <si>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</si>
  <si>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</si>
  <si>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</si>
  <si>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</si>
  <si>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</si>
  <si>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</si>
  <si>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</si>
  <si>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</si>
  <si>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</si>
  <si>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</si>
  <si>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</si>
  <si>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</si>
  <si>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</si>
  <si>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</si>
  <si>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</si>
  <si>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</si>
  <si>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</si>
  <si>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</si>
  <si>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</si>
  <si>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</si>
  <si>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</si>
  <si>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</si>
  <si>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</si>
  <si>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</si>
  <si>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</si>
  <si>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</si>
  <si>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</si>
  <si>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</si>
  <si>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</si>
  <si>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</si>
  <si>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</si>
  <si>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</si>
  <si>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</si>
  <si>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</si>
  <si>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</si>
  <si>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</si>
  <si>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</si>
  <si>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</si>
  <si>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</si>
  <si>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</si>
  <si>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</si>
  <si>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</si>
  <si>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</si>
  <si>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</si>
  <si>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</si>
  <si>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</si>
  <si>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</si>
  <si>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</si>
  <si>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</si>
  <si>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</si>
  <si>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</si>
  <si>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</si>
  <si>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</si>
  <si>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</si>
  <si>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</si>
  <si>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</si>
  <si>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</si>
  <si>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</si>
  <si>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</si>
  <si>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</si>
  <si>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</si>
  <si>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</si>
  <si>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</si>
  <si>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</si>
  <si>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</si>
  <si>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</si>
  <si>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</si>
  <si>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</si>
  <si>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</si>
  <si>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</si>
  <si>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</si>
  <si>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</si>
  <si>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</si>
  <si>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</si>
  <si>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</si>
  <si>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</si>
  <si>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</si>
  <si>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</si>
  <si>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</si>
  <si>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</si>
  <si>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</si>
  <si>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</si>
  <si>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</si>
  <si>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</si>
  <si>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</si>
  <si>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</si>
  <si>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</si>
  <si>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</si>
  <si>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</si>
  <si>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</si>
  <si>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</si>
  <si>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</si>
  <si>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</si>
  <si>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</si>
  <si>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</si>
  <si>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</si>
  <si>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</si>
  <si>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</si>
  <si>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</si>
  <si>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</si>
  <si>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</si>
  <si>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</si>
  <si>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</si>
  <si>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</si>
  <si>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</si>
  <si>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</si>
  <si>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</si>
  <si>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</si>
  <si>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</si>
  <si>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</si>
  <si>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</si>
  <si>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</si>
  <si>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</si>
  <si>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</si>
  <si>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</si>
  <si>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</si>
  <si>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</si>
  <si>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</si>
  <si>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</si>
  <si>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</si>
  <si>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</si>
  <si>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</si>
  <si>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</si>
  <si>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</si>
  <si>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</si>
  <si>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</si>
  <si>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</si>
  <si>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</si>
  <si>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</si>
  <si>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</si>
  <si>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</si>
  <si>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</si>
  <si>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</si>
  <si>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</si>
  <si>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</si>
  <si>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</si>
  <si>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</si>
  <si>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</si>
  <si>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</si>
  <si>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</si>
  <si>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</si>
  <si>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</si>
  <si>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</si>
  <si>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</si>
  <si>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</si>
  <si>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</si>
  <si>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</si>
  <si>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</si>
  <si>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</si>
  <si>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</si>
  <si>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</si>
  <si>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</si>
  <si>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</si>
  <si>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</si>
  <si>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</si>
  <si>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</si>
  <si>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</si>
  <si>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</si>
  <si>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</si>
  <si>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</si>
  <si>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</si>
  <si>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</si>
  <si>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</si>
  <si>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</si>
  <si>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</si>
  <si>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</si>
  <si>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</si>
  <si>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</si>
  <si>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</si>
  <si>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</si>
  <si>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</si>
  <si>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</si>
  <si>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</si>
  <si>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</si>
  <si>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</si>
  <si>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</si>
  <si>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</si>
  <si>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</si>
  <si>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</si>
  <si>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</si>
  <si>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</si>
  <si>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</si>
  <si>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</si>
  <si>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</si>
  <si>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</si>
  <si>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</si>
  <si>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</si>
  <si>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</si>
  <si>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</si>
  <si>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</si>
  <si>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</si>
  <si>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</si>
  <si>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</si>
  <si>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</si>
  <si>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</si>
  <si>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</si>
  <si>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</si>
  <si>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</si>
  <si>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</si>
  <si>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</si>
  <si>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</si>
  <si>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</si>
  <si>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</si>
  <si>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</si>
  <si>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</si>
  <si>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</si>
  <si>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</si>
  <si>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</si>
  <si>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</si>
  <si>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</si>
  <si>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</si>
  <si>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</si>
  <si>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</si>
  <si>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</si>
  <si>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</si>
  <si>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</si>
  <si>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</si>
  <si>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</si>
  <si>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</si>
  <si>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</si>
  <si>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</si>
  <si>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</si>
  <si>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</si>
  <si>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</si>
  <si>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</si>
  <si>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</si>
  <si>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</si>
  <si>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</si>
  <si>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</si>
  <si>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</si>
  <si>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</si>
  <si>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</si>
  <si>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</si>
  <si>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</si>
  <si>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</si>
  <si>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</si>
  <si>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</si>
  <si>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</si>
  <si>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</si>
  <si>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</si>
  <si>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</si>
  <si>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</si>
  <si>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</si>
  <si>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</si>
  <si>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</si>
  <si>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</si>
  <si>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</si>
  <si>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</si>
  <si>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</si>
  <si>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</si>
  <si>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</si>
  <si>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</si>
  <si>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</si>
  <si>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</si>
  <si>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</si>
  <si>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</si>
  <si>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</si>
  <si>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</si>
  <si>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</si>
  <si>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</si>
  <si>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</si>
  <si>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</si>
  <si>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</si>
  <si>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</si>
  <si>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</si>
  <si>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</si>
  <si>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</si>
  <si>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</si>
  <si>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</si>
  <si>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</si>
  <si>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</si>
  <si>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</si>
  <si>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</si>
  <si>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</si>
  <si>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</si>
  <si>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</si>
  <si>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</si>
  <si>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</si>
  <si>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</si>
  <si>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</si>
  <si>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</si>
  <si>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</si>
  <si>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</si>
  <si>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</si>
  <si>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</si>
  <si>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</si>
  <si>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</si>
  <si>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</si>
  <si>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</si>
  <si>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</si>
  <si>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</si>
  <si>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</si>
  <si>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</si>
  <si>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</si>
  <si>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</si>
  <si>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</si>
  <si>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</si>
  <si>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</si>
  <si>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</si>
  <si>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</si>
  <si>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</si>
  <si>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</si>
  <si>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</si>
  <si>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</si>
  <si>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</si>
  <si>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</si>
  <si>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</si>
  <si>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</si>
  <si>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</si>
  <si>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</si>
  <si>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</si>
  <si>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</si>
  <si>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</si>
  <si>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</si>
  <si>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</si>
  <si>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</si>
  <si>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</si>
  <si>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</si>
  <si>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</si>
  <si>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</si>
  <si>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</si>
  <si>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</si>
  <si>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</si>
  <si>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</si>
  <si>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</si>
  <si>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</si>
  <si>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</si>
  <si>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</si>
  <si>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</si>
  <si>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</si>
  <si>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</si>
  <si>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</si>
  <si>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</si>
  <si>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</si>
  <si>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</si>
  <si>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</si>
  <si>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</si>
  <si>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</si>
  <si>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</si>
  <si>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</si>
  <si>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</si>
  <si>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</si>
  <si>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</si>
  <si>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</si>
  <si>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</si>
  <si>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</si>
  <si>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</si>
  <si>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</si>
  <si>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</si>
  <si>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</si>
  <si>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</si>
  <si>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</si>
  <si>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</si>
  <si>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</si>
  <si>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</si>
  <si>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</si>
  <si>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</si>
  <si>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</si>
  <si>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</si>
  <si>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</si>
  <si>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</si>
  <si>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</si>
  <si>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</si>
  <si>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</si>
  <si>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</si>
  <si>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</si>
  <si>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</si>
  <si>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</si>
  <si>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</si>
  <si>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</si>
  <si>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</si>
  <si>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</si>
  <si>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</si>
  <si>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</si>
  <si>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</si>
  <si>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</si>
  <si>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</si>
  <si>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</si>
  <si>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</si>
  <si>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</si>
  <si>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</si>
  <si>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</si>
  <si>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</si>
  <si>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</si>
  <si>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</si>
  <si>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</si>
  <si>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</si>
  <si>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</si>
  <si>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</si>
  <si>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</si>
  <si>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</si>
  <si>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</si>
  <si>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</si>
  <si>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</si>
  <si>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</si>
  <si>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</si>
  <si>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</si>
  <si>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</si>
  <si>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</si>
  <si>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</si>
  <si>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</si>
  <si>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</si>
  <si>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</si>
  <si>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</si>
  <si>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</si>
  <si>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</si>
  <si>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</si>
  <si>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</si>
  <si>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</si>
  <si>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</si>
  <si>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</si>
  <si>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</si>
  <si>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</si>
  <si>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</si>
  <si>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</si>
  <si>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</si>
  <si>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</si>
  <si>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</si>
  <si>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</si>
  <si>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</si>
  <si>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</si>
  <si>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</si>
  <si>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</si>
  <si>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</si>
  <si>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</si>
  <si>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</si>
  <si>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</si>
  <si>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</si>
  <si>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</si>
  <si>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</si>
  <si>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</si>
  <si>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</si>
  <si>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</si>
  <si>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</si>
  <si>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</si>
  <si>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</si>
  <si>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</si>
  <si>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</si>
  <si>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</si>
  <si>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</si>
  <si>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</si>
  <si>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</si>
  <si>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</si>
  <si>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</si>
  <si>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</si>
  <si>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</si>
  <si>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</si>
  <si>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</si>
  <si>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</si>
  <si>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</si>
  <si>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</si>
  <si>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</si>
  <si>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</si>
  <si>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</si>
  <si>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</si>
  <si>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</si>
  <si>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</si>
  <si>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</si>
  <si>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</si>
  <si>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</si>
  <si>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</si>
  <si>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</si>
  <si>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</si>
  <si>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</si>
  <si>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</si>
  <si>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</si>
  <si>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</si>
  <si>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</si>
  <si>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</si>
  <si>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</si>
  <si>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</si>
  <si>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</si>
  <si>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</si>
  <si>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</si>
  <si>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</si>
  <si>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</si>
  <si>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</si>
  <si>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</si>
  <si>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</si>
  <si>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</si>
  <si>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</si>
  <si>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</si>
  <si>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</si>
  <si>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</si>
  <si>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</si>
  <si>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</si>
  <si>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</si>
  <si>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</si>
  <si>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</si>
  <si>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</si>
  <si>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</si>
  <si>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</si>
  <si>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</si>
  <si>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</si>
  <si>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</si>
  <si>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</si>
  <si>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</si>
  <si>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</si>
  <si>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</si>
  <si>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</si>
  <si>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</si>
  <si>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</si>
  <si>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</si>
  <si>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</si>
  <si>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</si>
  <si>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</si>
  <si>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</si>
  <si>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</si>
  <si>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</si>
  <si>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</si>
  <si>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</si>
  <si>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</si>
  <si>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</si>
  <si>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</si>
  <si>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</si>
  <si>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</si>
  <si>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</si>
  <si>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</si>
  <si>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</si>
  <si>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</si>
  <si>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</si>
  <si>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</si>
  <si>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</si>
  <si>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</si>
  <si>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</si>
  <si>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</si>
  <si>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</si>
  <si>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</si>
  <si>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</si>
  <si>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</si>
  <si>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</si>
  <si>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</si>
  <si>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</si>
  <si>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</si>
  <si>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</si>
  <si>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</si>
  <si>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</si>
  <si>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</si>
  <si>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</si>
  <si>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</si>
  <si>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</si>
  <si>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</si>
  <si>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</si>
  <si>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</si>
  <si>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</si>
  <si>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</si>
  <si>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</si>
  <si>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</si>
  <si>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</si>
  <si>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</si>
  <si>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</si>
  <si>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</si>
  <si>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</si>
  <si>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</si>
  <si>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</si>
  <si>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</si>
  <si>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</si>
  <si>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</si>
  <si>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</si>
  <si>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</si>
  <si>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</si>
  <si>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</si>
  <si>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</si>
  <si>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</si>
  <si>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</si>
  <si>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</si>
  <si>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</si>
  <si>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</si>
  <si>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</si>
  <si>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</si>
  <si>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</si>
  <si>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</si>
  <si>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</si>
  <si>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</si>
  <si>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</si>
  <si>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</si>
  <si>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</si>
  <si>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</si>
  <si>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</si>
  <si>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</si>
  <si>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</si>
  <si>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</si>
  <si>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</si>
  <si>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</si>
  <si>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</si>
  <si>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</si>
  <si>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</si>
  <si>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</si>
  <si>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</si>
  <si>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</si>
  <si>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</si>
  <si>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</si>
  <si>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</si>
  <si>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</si>
  <si>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</si>
  <si>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</si>
  <si>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</si>
  <si>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</si>
  <si>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</si>
  <si>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</si>
  <si>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</si>
  <si>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</si>
  <si>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</si>
  <si>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</si>
  <si>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</si>
  <si>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</si>
  <si>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</si>
  <si>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</si>
  <si>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</si>
  <si>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</si>
  <si>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</si>
  <si>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</si>
  <si>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</si>
  <si>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</si>
  <si>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</si>
  <si>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</si>
  <si>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</si>
  <si>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</si>
  <si>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</si>
  <si>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</si>
  <si>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</si>
  <si>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</si>
  <si>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</si>
  <si>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</si>
  <si>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</si>
  <si>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</si>
  <si>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</si>
  <si>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</si>
  <si>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</si>
  <si>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</si>
  <si>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</si>
  <si>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</si>
  <si>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</si>
  <si>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</si>
  <si>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</si>
  <si>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</si>
  <si>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</si>
  <si>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</si>
  <si>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</si>
  <si>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</si>
  <si>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</si>
  <si>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</si>
  <si>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</si>
  <si>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</si>
  <si>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</si>
  <si>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</si>
  <si>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</si>
  <si>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</si>
  <si>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</si>
  <si>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</si>
  <si>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</si>
  <si>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</si>
  <si>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</si>
  <si>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</si>
  <si>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</si>
  <si>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</si>
  <si>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</si>
  <si>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</si>
  <si>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</si>
  <si>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</si>
  <si>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</si>
  <si>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</si>
  <si>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</si>
  <si>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</si>
  <si>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</si>
  <si>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</si>
  <si>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</si>
  <si>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</si>
  <si>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</si>
  <si>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</si>
  <si>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</si>
  <si>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</si>
  <si>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</si>
  <si>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</si>
  <si>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</si>
  <si>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</si>
  <si>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</si>
  <si>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</si>
  <si>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</si>
  <si>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</si>
  <si>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</si>
  <si>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</si>
  <si>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</si>
  <si>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</si>
  <si>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</si>
  <si>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</si>
  <si>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</si>
  <si>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</si>
  <si>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</si>
  <si>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</si>
  <si>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</si>
  <si>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</si>
  <si>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</si>
  <si>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</si>
  <si>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</si>
  <si>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</si>
  <si>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</si>
  <si>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</si>
  <si>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</si>
  <si>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</si>
  <si>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</si>
  <si>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</si>
  <si>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</si>
  <si>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</si>
  <si>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</si>
  <si>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</si>
  <si>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</si>
  <si>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</si>
  <si>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</si>
  <si>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</si>
  <si>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</si>
  <si>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</si>
  <si>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</si>
  <si>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</si>
  <si>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</si>
  <si>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</si>
  <si>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</si>
  <si>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</si>
  <si>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</si>
  <si>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</si>
  <si>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</si>
  <si>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</si>
  <si>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</si>
  <si>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</si>
  <si>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</si>
  <si>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</si>
  <si>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</si>
  <si>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</si>
  <si>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</si>
  <si>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</si>
  <si>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</si>
  <si>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</si>
  <si>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</si>
  <si>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</si>
  <si>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</si>
  <si>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</si>
  <si>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</si>
  <si>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</si>
  <si>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</si>
  <si>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</si>
  <si>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</si>
  <si>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</si>
  <si>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</si>
  <si>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</si>
  <si>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</si>
  <si>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</si>
  <si>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</si>
  <si>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</si>
  <si>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</si>
  <si>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</si>
  <si>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</si>
  <si>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</si>
  <si>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</si>
  <si>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</si>
  <si>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</si>
  <si>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</si>
  <si>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</si>
  <si>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</si>
  <si>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</si>
  <si>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</si>
  <si>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</si>
  <si>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</si>
  <si>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</si>
  <si>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</si>
  <si>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</si>
  <si>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</si>
  <si>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</si>
  <si>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</si>
  <si>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</si>
  <si>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</si>
  <si>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</si>
  <si>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</si>
  <si>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</si>
  <si>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</si>
  <si>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</si>
  <si>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</si>
  <si>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</si>
  <si>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</si>
  <si>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</si>
  <si>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</si>
  <si>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</si>
  <si>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</si>
  <si>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</si>
  <si>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</si>
  <si>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</si>
  <si>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</si>
  <si>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</si>
  <si>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</si>
  <si>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</si>
  <si>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</si>
  <si>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</si>
  <si>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</si>
  <si>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</si>
  <si>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</si>
  <si>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</si>
  <si>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</si>
  <si>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</si>
  <si>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</si>
  <si>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</si>
  <si>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</si>
  <si>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</si>
  <si>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</si>
  <si>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</si>
  <si>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</si>
  <si>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</si>
  <si>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</si>
  <si>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</si>
  <si>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</si>
  <si>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</si>
  <si>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</si>
  <si>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</si>
  <si>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</si>
  <si>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</si>
  <si>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</si>
  <si>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</si>
  <si>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</si>
  <si>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</si>
  <si>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</si>
  <si>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</si>
  <si>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</si>
  <si>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</si>
  <si>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</si>
  <si>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</si>
  <si>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</si>
  <si>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</si>
  <si>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</si>
  <si>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</si>
  <si>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</si>
  <si>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</si>
  <si>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</si>
  <si>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</si>
  <si>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</si>
  <si>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</si>
  <si>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</si>
  <si>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</si>
  <si>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</si>
  <si>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</si>
  <si>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</si>
  <si>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</si>
  <si>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</si>
  <si>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</si>
  <si>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</si>
  <si>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</si>
  <si>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</si>
  <si>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</si>
  <si>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</si>
  <si>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</si>
  <si>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</si>
  <si>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</si>
  <si>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</si>
  <si>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</si>
  <si>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</si>
  <si>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</si>
  <si>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</si>
  <si>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</si>
  <si>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</si>
  <si>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</si>
  <si>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</si>
  <si>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</si>
  <si>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</si>
  <si>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</si>
  <si>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</si>
  <si>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</si>
  <si>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</si>
  <si>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</si>
  <si>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</si>
  <si>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</si>
  <si>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</si>
  <si>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</si>
  <si>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</si>
  <si>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</si>
  <si>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</si>
  <si>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</si>
  <si>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</si>
  <si>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</si>
  <si>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</si>
  <si>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</si>
  <si>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</si>
  <si>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</si>
  <si>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</si>
  <si>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</si>
  <si>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</si>
  <si>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</si>
  <si>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</si>
  <si>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</si>
  <si>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</si>
  <si>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</si>
  <si>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</si>
  <si>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</si>
  <si>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</si>
  <si>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</si>
  <si>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</si>
  <si>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</si>
  <si>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</si>
  <si>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</si>
  <si>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</si>
  <si>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</si>
  <si>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</si>
  <si>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</si>
  <si>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</si>
  <si>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</si>
  <si>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</si>
  <si>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</si>
  <si>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</si>
  <si>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</si>
  <si>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</si>
  <si>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</si>
  <si>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</si>
  <si>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</si>
  <si>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</si>
  <si>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</si>
  <si>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</si>
  <si>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</si>
  <si>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</si>
  <si>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</si>
  <si>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</si>
  <si>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</si>
  <si>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</si>
  <si>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</si>
  <si>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</si>
  <si>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</si>
  <si>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</si>
  <si>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</si>
  <si>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</si>
  <si>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</si>
  <si>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</si>
  <si>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</si>
  <si>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</si>
  <si>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</si>
  <si>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</si>
  <si>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</si>
  <si>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</si>
  <si>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</si>
  <si>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</si>
  <si>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</si>
  <si>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</si>
  <si>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</si>
  <si>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</si>
  <si>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</si>
  <si>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</si>
  <si>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</si>
  <si>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</si>
  <si>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</si>
  <si>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</si>
  <si>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</si>
  <si>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</si>
  <si>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</si>
  <si>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</si>
  <si>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</si>
  <si>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</si>
  <si>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</si>
  <si>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</si>
  <si>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</si>
  <si>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</si>
  <si>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</si>
  <si>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</si>
  <si>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</si>
  <si>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</si>
  <si>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</si>
  <si>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</si>
  <si>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</si>
  <si>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</si>
  <si>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</si>
  <si>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</si>
  <si>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</si>
  <si>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</si>
  <si>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</si>
  <si>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</si>
  <si>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</si>
  <si>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</si>
  <si>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</si>
  <si>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</si>
  <si>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</si>
  <si>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</si>
  <si>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</si>
  <si>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</si>
  <si>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</si>
  <si>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</si>
  <si>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</si>
  <si>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</si>
  <si>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</si>
  <si>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</si>
  <si>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</si>
  <si>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</si>
  <si>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</si>
  <si>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</si>
  <si>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</si>
  <si>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</si>
  <si>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</si>
  <si>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</si>
  <si>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</si>
  <si>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</si>
  <si>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</si>
  <si>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</si>
  <si>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</si>
  <si>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</si>
  <si>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</si>
  <si>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</si>
  <si>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</si>
  <si>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</si>
  <si>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</si>
  <si>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</si>
  <si>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</si>
  <si>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</si>
  <si>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</si>
  <si>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</si>
  <si>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</si>
  <si>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</si>
  <si>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</si>
  <si>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</si>
  <si>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</si>
  <si>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</si>
  <si>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</si>
  <si>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</si>
  <si>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</si>
  <si>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</si>
  <si>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</si>
  <si>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</si>
  <si>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</si>
  <si>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</si>
  <si>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</si>
  <si>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</si>
  <si>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</si>
  <si>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</si>
  <si>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</si>
  <si>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</si>
  <si>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</si>
  <si>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</si>
  <si>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</si>
  <si>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</si>
  <si>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</si>
  <si>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</si>
  <si>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</si>
  <si>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</si>
  <si>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</si>
  <si>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</si>
  <si>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</si>
  <si>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</si>
  <si>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</si>
  <si>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</si>
  <si>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</si>
  <si>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</si>
  <si>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</si>
  <si>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</si>
  <si>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</si>
  <si>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</si>
  <si>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</si>
  <si>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</si>
  <si>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</si>
  <si>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</si>
  <si>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</si>
  <si>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</si>
  <si>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</si>
  <si>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</si>
  <si>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</si>
  <si>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</si>
  <si>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</si>
  <si>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</si>
  <si>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</si>
  <si>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</si>
  <si>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</si>
  <si>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</si>
  <si>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</si>
  <si>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</si>
  <si>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</si>
  <si>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</si>
  <si>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</si>
  <si>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</si>
  <si>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</si>
  <si>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</si>
  <si>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</si>
  <si>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</si>
  <si>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</si>
  <si>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</si>
  <si>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</si>
  <si>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</si>
  <si>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</si>
  <si>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</si>
  <si>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</si>
  <si>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</si>
  <si>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</si>
  <si>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</si>
  <si>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</si>
  <si>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</si>
  <si>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</si>
  <si>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</si>
  <si>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</si>
  <si>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</si>
  <si>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</si>
  <si>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</si>
  <si>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</si>
  <si>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</si>
  <si>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</si>
  <si>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</si>
  <si>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</si>
  <si>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</si>
  <si>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</si>
  <si>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</si>
  <si>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</si>
  <si>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</si>
  <si>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</si>
  <si>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</si>
  <si>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</si>
  <si>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</si>
  <si>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</si>
  <si>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</si>
  <si>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</si>
  <si>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</si>
  <si>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</si>
  <si>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</si>
  <si>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</si>
  <si>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</si>
  <si>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</si>
  <si>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</si>
  <si>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</si>
  <si>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</si>
  <si>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</si>
  <si>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</si>
  <si>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</si>
  <si>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</si>
  <si>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</si>
  <si>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</si>
  <si>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</si>
  <si>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</si>
  <si>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</si>
  <si>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</si>
  <si>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</si>
  <si>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</si>
  <si>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</si>
  <si>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</si>
  <si>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</si>
  <si>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</si>
  <si>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</si>
  <si>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</si>
  <si>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</si>
  <si>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</si>
  <si>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</si>
  <si>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</si>
  <si>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</si>
  <si>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</si>
  <si>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</si>
  <si>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</si>
  <si>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</si>
  <si>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</si>
  <si>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</si>
  <si>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</si>
  <si>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</si>
  <si>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</si>
  <si>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</si>
  <si>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</si>
  <si>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</si>
  <si>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</si>
  <si>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</si>
  <si>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</si>
  <si>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</si>
  <si>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</si>
  <si>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</si>
  <si>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</si>
  <si>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</si>
  <si>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</si>
  <si>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</si>
  <si>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</si>
  <si>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</si>
  <si>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</si>
  <si>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</si>
  <si>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</si>
  <si>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</si>
  <si>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</si>
  <si>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</si>
  <si>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</si>
  <si>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</si>
  <si>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</si>
  <si>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</si>
  <si>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</si>
  <si>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</si>
  <si>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</si>
  <si>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</si>
  <si>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</si>
  <si>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</si>
  <si>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</si>
  <si>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</si>
  <si>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</si>
  <si>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</si>
  <si>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</si>
  <si>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</si>
  <si>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</si>
  <si>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</si>
  <si>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</si>
  <si>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</si>
  <si>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</si>
  <si>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</si>
  <si>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</si>
  <si>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</si>
  <si>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</si>
  <si>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</si>
  <si>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</si>
  <si>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</si>
  <si>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</si>
  <si>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</si>
  <si>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</si>
  <si>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</si>
  <si>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</si>
  <si>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</si>
  <si>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</si>
  <si>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</si>
  <si>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</si>
  <si>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</si>
  <si>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</si>
  <si>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</si>
  <si>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</si>
  <si>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</si>
  <si>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</si>
  <si>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</si>
  <si>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</si>
  <si>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</si>
  <si>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</si>
  <si>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</si>
  <si>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</si>
  <si>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</si>
  <si>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</si>
  <si>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</si>
  <si>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</si>
  <si>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</si>
  <si>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</si>
  <si>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</si>
  <si>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</si>
  <si>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</si>
  <si>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</si>
  <si>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</si>
  <si>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</si>
  <si>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</si>
  <si>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</si>
  <si>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</si>
  <si>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</si>
  <si>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</si>
  <si>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</si>
  <si>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</si>
  <si>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</si>
  <si>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</si>
  <si>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</si>
  <si>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</si>
  <si>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</si>
  <si>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</si>
  <si>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</si>
  <si>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</si>
  <si>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</si>
  <si>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</si>
  <si>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</si>
  <si>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</si>
  <si>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</si>
  <si>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</si>
  <si>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</si>
  <si>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</si>
  <si>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</si>
  <si>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</si>
  <si>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</si>
  <si>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</si>
  <si>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</si>
  <si>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</si>
  <si>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</si>
  <si>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</si>
  <si>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</si>
  <si>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</si>
  <si>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</si>
  <si>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</si>
  <si>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</si>
  <si>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</si>
  <si>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</si>
  <si>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</si>
  <si>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</si>
  <si>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</si>
  <si>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</si>
  <si>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</si>
  <si>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</si>
  <si>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</si>
  <si>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</si>
  <si>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</si>
  <si>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</si>
  <si>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</si>
  <si>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</si>
  <si>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</si>
  <si>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</si>
  <si>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</si>
  <si>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</si>
  <si>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</si>
  <si>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</si>
  <si>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</si>
  <si>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</si>
  <si>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</si>
  <si>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</si>
  <si>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</si>
  <si>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</si>
  <si>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</si>
  <si>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</si>
  <si>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</si>
  <si>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</si>
  <si>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</si>
  <si>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</si>
  <si>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</si>
  <si>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</si>
  <si>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</si>
  <si>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</si>
  <si>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</si>
  <si>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</si>
  <si>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</si>
  <si>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</si>
  <si>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</si>
  <si>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</si>
  <si>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</si>
  <si>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</si>
  <si>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</si>
  <si>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</si>
  <si>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</si>
  <si>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</si>
  <si>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</si>
  <si>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</si>
  <si>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</si>
  <si>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</si>
  <si>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</si>
  <si>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</si>
  <si>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</si>
  <si>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</si>
  <si>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</si>
  <si>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</si>
  <si>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</si>
  <si>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</si>
  <si>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</si>
  <si>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</si>
  <si>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</si>
  <si>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</si>
  <si>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</si>
  <si>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</si>
  <si>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</si>
  <si>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</si>
  <si>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</si>
  <si>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</si>
  <si>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</si>
  <si>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</si>
  <si>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</si>
  <si>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</si>
  <si>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</si>
  <si>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</si>
  <si>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</si>
  <si>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</si>
  <si>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</si>
  <si>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</si>
  <si>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</si>
  <si>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</si>
  <si>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</si>
  <si>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</si>
  <si>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</si>
  <si>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</si>
  <si>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</si>
  <si>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</si>
  <si>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</si>
  <si>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</si>
  <si>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</si>
  <si>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</si>
  <si>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</si>
  <si>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</si>
  <si>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</si>
  <si>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</si>
  <si>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</si>
  <si>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</si>
  <si>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</si>
  <si>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</si>
  <si>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</si>
  <si>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</si>
  <si>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</si>
  <si>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</si>
  <si>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</si>
  <si>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</si>
  <si>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</si>
  <si>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</si>
  <si>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</si>
  <si>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</si>
  <si>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</si>
  <si>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</si>
  <si>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</si>
  <si>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</si>
  <si>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</si>
  <si>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</si>
  <si>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</si>
  <si>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</si>
  <si>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</si>
  <si>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</si>
  <si>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</si>
  <si>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</si>
  <si>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</si>
  <si>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</si>
  <si>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</si>
  <si>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</si>
  <si>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</si>
  <si>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</si>
  <si>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</si>
  <si>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</si>
  <si>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</si>
  <si>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</si>
  <si>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</si>
  <si>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</si>
  <si>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</si>
  <si>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</si>
  <si>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</si>
  <si>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</si>
  <si>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</si>
  <si>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</si>
  <si>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</si>
  <si>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</si>
  <si>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</si>
  <si>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</si>
  <si>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</si>
  <si>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</si>
  <si>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</si>
  <si>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</si>
  <si>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</si>
  <si>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</si>
  <si>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</si>
  <si>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</si>
  <si>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</si>
  <si>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</si>
  <si>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</si>
  <si>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</si>
  <si>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</si>
  <si>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</si>
  <si>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</si>
  <si>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</si>
  <si>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</si>
  <si>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</si>
  <si>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</si>
  <si>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</si>
  <si>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</si>
  <si>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</si>
  <si>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</si>
  <si>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</si>
  <si>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</si>
  <si>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</si>
  <si>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</si>
  <si>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</si>
  <si>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</si>
  <si>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</si>
  <si>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</si>
  <si>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</si>
  <si>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</si>
  <si>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</si>
  <si>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</si>
  <si>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</si>
  <si>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</si>
  <si>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</si>
  <si>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</si>
  <si>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</si>
  <si>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</si>
  <si>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</si>
  <si>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</si>
  <si>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</si>
  <si>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</si>
  <si>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</si>
  <si>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</si>
  <si>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</si>
  <si>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</si>
  <si>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</si>
  <si>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</si>
  <si>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</si>
  <si>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</si>
  <si>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</si>
  <si>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</si>
  <si>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</si>
  <si>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</si>
  <si>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</si>
  <si>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</si>
  <si>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</si>
  <si>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</si>
  <si>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</si>
  <si>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</si>
  <si>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</si>
  <si>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</si>
  <si>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</si>
  <si>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</si>
  <si>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</si>
  <si>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</si>
  <si>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</si>
  <si>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</si>
  <si>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</si>
  <si>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</si>
  <si>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</si>
  <si>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</si>
  <si>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</si>
  <si>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</si>
  <si>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</si>
  <si>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</si>
  <si>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</si>
  <si>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</si>
  <si>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</si>
  <si>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</si>
  <si>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</si>
  <si>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</si>
  <si>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</si>
  <si>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</si>
  <si>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</si>
  <si>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</si>
  <si>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</si>
  <si>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</si>
  <si>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</si>
  <si>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</si>
  <si>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</si>
  <si>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</si>
  <si>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</si>
  <si>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</si>
  <si>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</si>
  <si>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</si>
  <si>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</si>
  <si>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</si>
  <si>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</si>
  <si>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</si>
  <si>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</si>
  <si>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</si>
  <si>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</si>
  <si>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</si>
  <si>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</si>
  <si>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</si>
  <si>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</si>
  <si>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</si>
  <si>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</si>
  <si>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</si>
  <si>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</si>
  <si>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</si>
  <si>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</si>
  <si>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</si>
  <si>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</si>
  <si>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</si>
  <si>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</si>
  <si>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</si>
  <si>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</si>
  <si>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</si>
  <si>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</si>
  <si>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</si>
  <si>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</si>
  <si>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</si>
  <si>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</si>
  <si>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</si>
  <si>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</si>
  <si>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</si>
  <si>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</si>
  <si>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</si>
  <si>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</si>
  <si>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</si>
  <si>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</si>
  <si>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</si>
  <si>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</si>
  <si>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</si>
  <si>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</si>
  <si>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</si>
  <si>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</si>
  <si>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</si>
  <si>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</si>
  <si>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</si>
  <si>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</si>
  <si>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</si>
  <si>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</si>
  <si>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</si>
  <si>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</si>
  <si>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</si>
  <si>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</si>
  <si>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</si>
  <si>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</si>
  <si>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</si>
  <si>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</si>
  <si>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</si>
  <si>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</si>
  <si>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</si>
  <si>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</si>
  <si>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</si>
  <si>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</si>
  <si>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</si>
  <si>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</si>
  <si>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</si>
  <si>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</si>
  <si>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</si>
  <si>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</si>
  <si>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</si>
  <si>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</si>
  <si>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</si>
  <si>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</si>
  <si>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</si>
  <si>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</si>
  <si>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</si>
  <si>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</si>
  <si>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</si>
  <si>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</si>
  <si>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</si>
  <si>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</si>
  <si>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</si>
  <si>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</si>
  <si>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</si>
  <si>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</si>
  <si>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</si>
  <si>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</si>
  <si>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</si>
  <si>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</si>
  <si>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</si>
  <si>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</si>
  <si>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</si>
  <si>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</si>
  <si>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</si>
  <si>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</si>
  <si>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</si>
  <si>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</si>
  <si>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</si>
  <si>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</si>
  <si>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</si>
  <si>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</si>
  <si>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</si>
  <si>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</si>
  <si>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</si>
  <si>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</si>
  <si>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</si>
  <si>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</si>
  <si>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</si>
  <si>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</si>
  <si>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</si>
  <si>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</si>
  <si>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</si>
  <si>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</si>
  <si>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</si>
  <si>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</si>
  <si>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</si>
  <si>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</si>
  <si>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</si>
  <si>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</si>
  <si>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</si>
  <si>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</si>
  <si>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</si>
  <si>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</si>
  <si>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</si>
  <si>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</si>
  <si>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</si>
  <si>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</si>
  <si>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</si>
  <si>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</si>
  <si>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</si>
  <si>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</si>
  <si>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</si>
  <si>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</si>
  <si>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</si>
  <si>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</si>
  <si>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</si>
  <si>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</si>
  <si>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</si>
  <si>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</si>
  <si>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</si>
  <si>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</si>
  <si>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</si>
  <si>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</si>
  <si>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</si>
  <si>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</si>
  <si>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</si>
  <si>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</si>
  <si>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</si>
  <si>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</si>
  <si>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</si>
  <si>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</si>
  <si>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</si>
  <si>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</si>
  <si>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</si>
  <si>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</si>
  <si>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</si>
  <si>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</si>
  <si>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</si>
  <si>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</si>
  <si>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</si>
  <si>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</si>
  <si>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</si>
  <si>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</si>
  <si>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</si>
  <si>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</si>
  <si>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</si>
  <si>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</si>
  <si>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</si>
  <si>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</si>
  <si>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</si>
  <si>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</si>
  <si>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</si>
  <si>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</si>
  <si>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</si>
  <si>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</si>
  <si>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</si>
  <si>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</si>
  <si>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</si>
  <si>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</si>
  <si>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</si>
  <si>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</si>
  <si>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</si>
  <si>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</si>
  <si>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</si>
  <si>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</si>
  <si>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</si>
  <si>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</si>
  <si>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</si>
  <si>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</si>
  <si>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</si>
  <si>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</si>
  <si>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</si>
  <si>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</si>
  <si>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</si>
  <si>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</si>
  <si>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</si>
  <si>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</si>
  <si>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</si>
  <si>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</si>
  <si>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</si>
  <si>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</si>
  <si>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</si>
  <si>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</si>
  <si>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</si>
  <si>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</si>
  <si>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</si>
  <si>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</si>
  <si>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</si>
  <si>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</si>
  <si>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</si>
  <si>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</si>
  <si>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</si>
  <si>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</si>
  <si>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</si>
  <si>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</si>
  <si>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</si>
  <si>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</si>
  <si>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</si>
  <si>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</si>
  <si>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</si>
  <si>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</si>
  <si>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</si>
  <si>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</si>
  <si>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</si>
  <si>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</si>
  <si>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</si>
  <si>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</si>
  <si>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</si>
  <si>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</si>
  <si>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</si>
  <si>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</si>
  <si>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</si>
  <si>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</si>
  <si>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</si>
  <si>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</si>
  <si>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</si>
  <si>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</si>
  <si>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</si>
  <si>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</si>
  <si>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</si>
  <si>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</si>
  <si>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</si>
  <si>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</si>
  <si>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</si>
  <si>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</si>
  <si>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</si>
  <si>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</si>
  <si>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</si>
  <si>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</si>
  <si>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</si>
  <si>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</si>
  <si>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</si>
  <si>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</si>
  <si>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</si>
  <si>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</si>
  <si>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</si>
  <si>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</si>
  <si>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</si>
  <si>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</si>
  <si>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</si>
  <si>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</si>
  <si>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</si>
  <si>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</si>
  <si>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</si>
  <si>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</si>
  <si>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</si>
  <si>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</si>
  <si>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</si>
  <si>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</si>
  <si>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</si>
  <si>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</si>
  <si>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</si>
  <si>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</si>
  <si>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</si>
  <si>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</si>
  <si>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</si>
  <si>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</si>
  <si>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</si>
  <si>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</si>
  <si>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</si>
  <si>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</si>
  <si>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</si>
  <si>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</si>
  <si>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</si>
  <si>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</si>
  <si>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</si>
  <si>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</si>
  <si>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</si>
  <si>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</si>
  <si>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</si>
  <si>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</si>
  <si>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</si>
  <si>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</si>
  <si>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</si>
  <si>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</si>
  <si>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</si>
  <si>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</si>
  <si>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</si>
  <si>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</si>
  <si>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</si>
  <si>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</si>
  <si>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</si>
  <si>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</si>
  <si>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</si>
  <si>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</si>
  <si>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</si>
  <si>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</si>
  <si>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</si>
  <si>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</si>
  <si>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</si>
  <si>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</si>
  <si>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</si>
  <si>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</si>
  <si>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</si>
  <si>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</si>
  <si>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</si>
  <si>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</si>
  <si>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</si>
  <si>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</si>
  <si>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</si>
  <si>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</si>
  <si>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</si>
  <si>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</si>
  <si>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</si>
  <si>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</si>
  <si>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</si>
  <si>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</si>
  <si>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</si>
  <si>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</si>
  <si>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</si>
  <si>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</si>
  <si>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</si>
  <si>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</si>
  <si>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</si>
  <si>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</si>
  <si>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</si>
  <si>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</si>
  <si>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</si>
  <si>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</si>
  <si>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</si>
  <si>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</si>
  <si>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</si>
  <si>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</si>
  <si>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</si>
  <si>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</si>
  <si>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</si>
  <si>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</si>
  <si>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</si>
  <si>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</si>
  <si>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</si>
  <si>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</si>
  <si>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</si>
  <si>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</si>
  <si>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</si>
  <si>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</si>
  <si>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</si>
  <si>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</si>
  <si>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</si>
  <si>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</si>
  <si>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</si>
  <si>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</si>
  <si>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</si>
  <si>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</si>
  <si>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</si>
  <si>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</si>
  <si>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</si>
  <si>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</si>
  <si>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</si>
  <si>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</si>
  <si>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</si>
  <si>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</si>
  <si>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</si>
  <si>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</si>
  <si>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</si>
  <si>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</si>
  <si>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</si>
  <si>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</si>
  <si>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</si>
  <si>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</si>
  <si>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</si>
  <si>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</si>
  <si>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</si>
  <si>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</si>
  <si>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</si>
  <si>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</si>
  <si>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</si>
  <si>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</si>
  <si>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</si>
  <si>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</si>
  <si>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</si>
  <si>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</si>
  <si>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</si>
  <si>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</si>
  <si>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</si>
  <si>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</si>
  <si>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</si>
  <si>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</si>
  <si>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</si>
  <si>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</si>
  <si>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</si>
  <si>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</si>
  <si>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</si>
  <si>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</si>
  <si>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</si>
  <si>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</si>
  <si>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</si>
  <si>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</si>
  <si>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</si>
  <si>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</si>
  <si>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</si>
  <si>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</si>
  <si>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</si>
  <si>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</si>
  <si>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</si>
  <si>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</si>
  <si>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</si>
  <si>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</si>
  <si>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</si>
  <si>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</si>
  <si>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</si>
  <si>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</si>
  <si>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</si>
  <si>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</si>
  <si>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</si>
  <si>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</si>
  <si>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</si>
  <si>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</si>
  <si>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</si>
  <si>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</si>
  <si>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</si>
  <si>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</si>
  <si>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</si>
  <si>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</si>
  <si>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</si>
  <si>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</si>
  <si>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</si>
  <si>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</si>
  <si>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</si>
  <si>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</si>
  <si>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</si>
  <si>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</si>
  <si>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</si>
  <si>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</si>
  <si>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</si>
  <si>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</si>
  <si>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</si>
  <si>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</si>
  <si>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</si>
  <si>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</si>
  <si>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</si>
  <si>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</si>
  <si>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</si>
  <si>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</si>
  <si>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</si>
  <si>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</si>
  <si>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</si>
  <si>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</si>
  <si>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</si>
  <si>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</si>
  <si>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</si>
  <si>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</si>
  <si>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</si>
  <si>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</si>
  <si>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</si>
  <si>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</si>
  <si>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</si>
  <si>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</si>
  <si>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</si>
  <si>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</si>
  <si>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</si>
  <si>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</si>
  <si>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</si>
  <si>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</si>
  <si>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</si>
  <si>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</si>
  <si>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</si>
  <si>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</si>
  <si>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</si>
  <si>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</si>
  <si>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</si>
  <si>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</si>
  <si>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</si>
  <si>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</si>
  <si>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</si>
  <si>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</si>
  <si>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</si>
  <si>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</si>
  <si>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</si>
  <si>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</si>
  <si>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</si>
  <si>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</si>
  <si>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</si>
  <si>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</si>
  <si>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</si>
  <si>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</si>
  <si>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</si>
  <si>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</si>
  <si>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</si>
  <si>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</si>
  <si>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</si>
  <si>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</si>
  <si>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</si>
  <si>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</si>
  <si>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</si>
  <si>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</si>
  <si>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</si>
  <si>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</si>
  <si>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</si>
  <si>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</si>
  <si>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</si>
  <si>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</si>
  <si>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</si>
  <si>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</si>
  <si>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</si>
  <si>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</si>
  <si>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</si>
  <si>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</si>
  <si>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</si>
  <si>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</si>
  <si>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</si>
  <si>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</si>
  <si>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</si>
  <si>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</si>
  <si>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</si>
  <si>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</si>
  <si>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</si>
  <si>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</si>
  <si>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</si>
  <si>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</si>
  <si>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</si>
  <si>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</si>
  <si>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</si>
  <si>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</si>
  <si>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</si>
  <si>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</si>
  <si>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</si>
  <si>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</si>
  <si>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</si>
  <si>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</si>
  <si>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</si>
  <si>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</si>
  <si>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</si>
  <si>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</si>
  <si>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</si>
  <si>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</si>
  <si>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</si>
  <si>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</si>
  <si>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</si>
  <si>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</si>
  <si>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</si>
  <si>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</si>
  <si>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</si>
  <si>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</si>
  <si>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</si>
  <si>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</si>
  <si>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</si>
  <si>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</si>
  <si>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</si>
  <si>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</si>
  <si>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</si>
  <si>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</si>
  <si>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</si>
  <si>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</si>
  <si>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</si>
  <si>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</si>
  <si>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</si>
  <si>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</si>
  <si>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</si>
  <si>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</si>
  <si>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</si>
  <si>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</si>
  <si>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</si>
  <si>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</si>
  <si>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</si>
  <si>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</si>
  <si>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</si>
  <si>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</si>
  <si>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</si>
  <si>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</si>
  <si>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</si>
  <si>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</si>
  <si>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</si>
  <si>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</si>
  <si>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</si>
  <si>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</si>
  <si>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</si>
  <si>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</si>
  <si>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</si>
  <si>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</si>
  <si>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</si>
  <si>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</si>
  <si>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</si>
  <si>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</si>
  <si>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</si>
  <si>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</si>
  <si>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</si>
  <si>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</si>
  <si>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</si>
  <si>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</si>
  <si>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</si>
  <si>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</si>
  <si>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</si>
  <si>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</si>
  <si>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</si>
  <si>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</si>
  <si>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</si>
  <si>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</si>
  <si>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</si>
  <si>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</si>
  <si>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</si>
  <si>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</si>
  <si>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</si>
  <si>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</si>
  <si>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</si>
  <si>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</si>
  <si>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</si>
  <si>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</si>
  <si>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</si>
  <si>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</si>
  <si>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</si>
  <si>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</si>
  <si>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</si>
  <si>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</si>
  <si>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</si>
  <si>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</si>
  <si>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</si>
  <si>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</si>
  <si>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</si>
  <si>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</si>
  <si>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</si>
  <si>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</si>
  <si>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</si>
  <si>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</si>
  <si>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</si>
  <si>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</si>
  <si>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</si>
  <si>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</si>
  <si>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</si>
  <si>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</si>
  <si>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</si>
  <si>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</si>
  <si>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</si>
  <si>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</si>
  <si>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</si>
  <si>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</si>
  <si>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</si>
  <si>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</si>
  <si>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</si>
  <si>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</si>
  <si>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</si>
  <si>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</si>
  <si>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</si>
  <si>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</si>
  <si>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</si>
  <si>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</si>
  <si>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</si>
  <si>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</si>
  <si>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</si>
  <si>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</si>
  <si>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</si>
  <si>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</si>
  <si>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</si>
  <si>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</si>
  <si>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</si>
  <si>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</si>
  <si>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</si>
  <si>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</si>
  <si>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</si>
  <si>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</si>
  <si>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</si>
  <si>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</si>
  <si>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</si>
  <si>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</si>
  <si>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</si>
  <si>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</si>
  <si>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</si>
  <si>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</si>
  <si>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</si>
  <si>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</si>
  <si>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</si>
  <si>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</si>
  <si>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</si>
  <si>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</si>
  <si>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</si>
  <si>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</si>
  <si>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</si>
  <si>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</si>
  <si>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</si>
  <si>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</si>
  <si>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</si>
  <si>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</si>
  <si>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</si>
  <si>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</si>
  <si>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</si>
  <si>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</si>
  <si>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</si>
  <si>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</si>
  <si>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</si>
  <si>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</si>
  <si>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</si>
  <si>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</si>
  <si>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</si>
  <si>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</si>
  <si>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</si>
  <si>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</si>
  <si>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</si>
  <si>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</si>
  <si>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</si>
  <si>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</si>
  <si>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</si>
  <si>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</si>
  <si>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</si>
  <si>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</si>
  <si>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</si>
  <si>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</si>
  <si>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</si>
  <si>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</si>
  <si>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</si>
  <si>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</si>
  <si>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</si>
  <si>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</si>
  <si>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</si>
  <si>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</si>
  <si>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</si>
  <si>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</si>
  <si>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</si>
  <si>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</si>
  <si>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</si>
  <si>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</si>
  <si>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</si>
  <si>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</si>
  <si>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</si>
  <si>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</si>
  <si>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</si>
  <si>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</si>
  <si>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</si>
  <si>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</si>
  <si>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</si>
  <si>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</si>
  <si>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</si>
  <si>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</si>
  <si>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</si>
  <si>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</si>
  <si>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</si>
  <si>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</si>
  <si>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</si>
  <si>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</si>
  <si>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</si>
  <si>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</si>
  <si>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</si>
  <si>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</si>
  <si>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</si>
  <si>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</si>
  <si>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</si>
  <si>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</si>
  <si>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</si>
  <si>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</si>
  <si>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</si>
  <si>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</si>
  <si>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</si>
  <si>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</si>
  <si>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</si>
  <si>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</si>
  <si>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</si>
  <si>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</si>
  <si>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</si>
  <si>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</si>
  <si>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</si>
  <si>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</si>
  <si>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</si>
  <si>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</si>
  <si>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</si>
  <si>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</si>
  <si>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</si>
  <si>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</si>
  <si>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</si>
  <si>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</si>
  <si>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</si>
  <si>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</si>
  <si>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</si>
  <si>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</si>
  <si>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</si>
  <si>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</si>
  <si>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</si>
  <si>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</si>
  <si>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</si>
  <si>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</si>
  <si>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</si>
  <si>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</si>
  <si>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</si>
  <si>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</si>
  <si>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</si>
  <si>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</si>
  <si>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</si>
  <si>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</si>
  <si>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</si>
  <si>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</si>
  <si>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</si>
  <si>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</si>
  <si>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</si>
  <si>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</si>
  <si>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</si>
  <si>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</si>
  <si>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</si>
  <si>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</si>
  <si>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</si>
  <si>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</si>
  <si>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</si>
  <si>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</si>
  <si>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</si>
  <si>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</si>
  <si>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</si>
  <si>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</si>
  <si>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</si>
  <si>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</si>
  <si>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</si>
  <si>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</si>
  <si>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</si>
  <si>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</si>
  <si>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</si>
  <si>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</si>
  <si>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</si>
  <si>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</si>
  <si>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</si>
  <si>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</si>
  <si>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</si>
  <si>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</si>
  <si>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</si>
  <si>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</si>
  <si>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</si>
  <si>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</si>
  <si>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</si>
  <si>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</si>
  <si>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</si>
  <si>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</si>
  <si>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</si>
  <si>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</si>
  <si>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</si>
  <si>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</si>
  <si>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</si>
  <si>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</si>
  <si>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</si>
  <si>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</si>
  <si>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</si>
  <si>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</si>
  <si>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</si>
  <si>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</si>
  <si>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</si>
  <si>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</si>
  <si>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</si>
  <si>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</si>
  <si>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</si>
  <si>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</si>
  <si>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</si>
  <si>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</si>
  <si>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</si>
  <si>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</si>
  <si>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</si>
  <si>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</si>
  <si>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</si>
  <si>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</si>
  <si>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</si>
  <si>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</si>
  <si>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</si>
  <si>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</si>
  <si>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</si>
  <si>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</si>
  <si>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</si>
  <si>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</si>
  <si>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</si>
  <si>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</si>
  <si>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</si>
  <si>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</si>
  <si>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</si>
  <si>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</si>
  <si>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</si>
  <si>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</si>
  <si>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</si>
  <si>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</si>
  <si>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</si>
  <si>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</si>
  <si>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</si>
  <si>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</si>
  <si>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</si>
  <si>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</si>
  <si>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</si>
  <si>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</si>
  <si>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</si>
  <si>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</si>
  <si>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</si>
  <si>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</si>
  <si>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</si>
  <si>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</si>
  <si>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</si>
  <si>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</si>
  <si>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</si>
  <si>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</si>
  <si>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</si>
  <si>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</si>
  <si>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</si>
  <si>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</si>
  <si>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</si>
  <si>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</si>
  <si>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</si>
  <si>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</si>
  <si>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</si>
  <si>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</si>
  <si>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</si>
  <si>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</si>
  <si>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</si>
  <si>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</si>
  <si>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</si>
  <si>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</si>
  <si>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</si>
  <si>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</si>
  <si>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</si>
  <si>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</si>
  <si>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</si>
  <si>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</si>
  <si>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</si>
  <si>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</si>
  <si>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</si>
  <si>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</si>
  <si>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</si>
  <si>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</si>
  <si>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</si>
  <si>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</si>
  <si>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</si>
  <si>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</si>
  <si>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</si>
  <si>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</si>
  <si>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</si>
  <si>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</si>
  <si>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</si>
  <si>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</si>
  <si>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</si>
  <si>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</si>
  <si>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</si>
  <si>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</si>
  <si>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</si>
  <si>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</si>
  <si>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</si>
  <si>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</si>
  <si>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</si>
  <si>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</si>
  <si>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</si>
  <si>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</si>
  <si>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</si>
  <si>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</si>
  <si>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</si>
  <si>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</si>
  <si>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</si>
  <si>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</si>
  <si>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</si>
  <si>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</si>
  <si>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</si>
  <si>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</si>
  <si>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</si>
  <si>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</si>
  <si>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</si>
  <si>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</si>
  <si>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</si>
  <si>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</si>
  <si>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</si>
  <si>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</si>
  <si>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</si>
  <si>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</si>
  <si>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</si>
  <si>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</si>
  <si>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</si>
  <si>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</si>
  <si>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</si>
  <si>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</si>
  <si>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</si>
  <si>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</si>
  <si>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</si>
  <si>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</si>
  <si>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</si>
  <si>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</si>
  <si>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</si>
  <si>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</si>
  <si>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</si>
  <si>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</si>
  <si>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</si>
  <si>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</si>
  <si>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</si>
  <si>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</si>
  <si>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</si>
  <si>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</si>
  <si>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</si>
  <si>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</si>
  <si>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</si>
  <si>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</si>
  <si>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</si>
  <si>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</si>
  <si>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</si>
  <si>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</si>
  <si>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</si>
  <si>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</si>
  <si>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</si>
  <si>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</si>
  <si>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</si>
  <si>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</si>
  <si>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</si>
  <si>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</si>
  <si>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</si>
  <si>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</si>
  <si>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</si>
  <si>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</si>
  <si>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</si>
  <si>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</si>
  <si>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</si>
  <si>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</si>
  <si>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</si>
  <si>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</si>
  <si>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</si>
  <si>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</si>
  <si>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</si>
  <si>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</si>
  <si>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</si>
  <si>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</si>
  <si>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</si>
  <si>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</si>
  <si>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</si>
  <si>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</si>
  <si>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</si>
  <si>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</si>
  <si>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</si>
  <si>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</si>
  <si>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</si>
  <si>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</si>
  <si>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</si>
  <si>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</si>
  <si>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</si>
  <si>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</si>
  <si>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</si>
  <si>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</si>
  <si>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</si>
  <si>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</si>
  <si>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</si>
  <si>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</si>
  <si>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</si>
  <si>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</si>
  <si>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</si>
  <si>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</si>
  <si>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</si>
  <si>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</si>
  <si>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</si>
  <si>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</si>
  <si>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</si>
  <si>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</si>
  <si>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</si>
  <si>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</si>
  <si>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</si>
  <si>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</si>
  <si>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</si>
  <si>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</si>
  <si>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</si>
  <si>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</si>
  <si>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</si>
  <si>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</si>
  <si>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</si>
  <si>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</si>
  <si>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</si>
  <si>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</si>
  <si>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</si>
  <si>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</si>
  <si>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</si>
  <si>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</si>
  <si>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</si>
  <si>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</si>
  <si>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</si>
  <si>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</si>
  <si>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</si>
  <si>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</si>
  <si>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</si>
  <si>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</si>
  <si>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</si>
  <si>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</si>
  <si>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</si>
  <si>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</si>
  <si>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</si>
  <si>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</si>
  <si>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</si>
  <si>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</si>
  <si>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</si>
  <si>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</si>
  <si>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</si>
  <si>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</si>
  <si>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</si>
  <si>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</si>
  <si>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</si>
  <si>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</si>
  <si>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</si>
  <si>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</si>
  <si>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</si>
  <si>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</si>
  <si>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</si>
  <si>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</si>
  <si>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</si>
  <si>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</si>
  <si>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</si>
  <si>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</si>
  <si>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</si>
  <si>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</si>
  <si>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</si>
  <si>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</si>
  <si>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</si>
  <si>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</si>
  <si>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</si>
  <si>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</si>
  <si>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</si>
  <si>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</si>
  <si>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</si>
  <si>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</si>
  <si>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</si>
  <si>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</si>
  <si>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</si>
  <si>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</si>
  <si>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</si>
  <si>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</si>
  <si>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</si>
  <si>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</si>
  <si>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</si>
  <si>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</si>
  <si>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</si>
  <si>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</si>
  <si>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</si>
  <si>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</si>
  <si>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</si>
  <si>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</si>
  <si>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</si>
  <si>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</si>
  <si>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</si>
  <si>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</si>
  <si>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</si>
  <si>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</si>
  <si>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</si>
  <si>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</si>
  <si>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</si>
  <si>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</si>
  <si>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</si>
  <si>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</si>
  <si>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</si>
  <si>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</si>
  <si>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</si>
  <si>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</si>
  <si>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</si>
  <si>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</si>
  <si>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</si>
  <si>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</si>
  <si>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</si>
  <si>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</si>
  <si>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</si>
  <si>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</si>
  <si>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</si>
  <si>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</si>
  <si>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</si>
  <si>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</si>
  <si>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</si>
  <si>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</si>
  <si>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</si>
  <si>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</si>
  <si>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</si>
  <si>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</si>
  <si>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</si>
  <si>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</si>
  <si>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</si>
  <si>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</si>
  <si>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</si>
  <si>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</si>
  <si>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</si>
  <si>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</si>
  <si>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</si>
  <si>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</si>
  <si>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</si>
  <si>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</si>
  <si>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</si>
  <si>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</si>
  <si>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</si>
  <si>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</si>
  <si>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</si>
  <si>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</si>
  <si>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</si>
  <si>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</si>
  <si>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</si>
  <si>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</si>
  <si>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</si>
  <si>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</si>
  <si>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</si>
  <si>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</si>
  <si>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</si>
  <si>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</si>
  <si>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</si>
  <si>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</si>
  <si>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</si>
  <si>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</si>
  <si>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</si>
  <si>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</si>
  <si>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</si>
  <si>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</si>
  <si>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</si>
  <si>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</si>
  <si>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</si>
  <si>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</si>
  <si>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</si>
  <si>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</si>
  <si>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</si>
  <si>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</si>
  <si>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</si>
  <si>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</si>
  <si>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</si>
  <si>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</si>
  <si>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</si>
  <si>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</si>
  <si>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</si>
  <si>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</si>
  <si>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</si>
  <si>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</si>
  <si>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</si>
  <si>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</si>
  <si>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</si>
  <si>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</si>
  <si>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</si>
  <si>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</si>
  <si>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</si>
  <si>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</si>
  <si>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</si>
  <si>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</si>
  <si>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</si>
  <si>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</si>
  <si>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</si>
  <si>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</si>
  <si>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</si>
  <si>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</si>
  <si>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</si>
  <si>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</si>
  <si>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</si>
  <si>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</si>
  <si>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</si>
  <si>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</si>
  <si>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</si>
  <si>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</si>
  <si>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</si>
  <si>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</si>
  <si>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</si>
  <si>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</si>
  <si>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</si>
  <si>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</si>
  <si>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</si>
  <si>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</si>
  <si>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</si>
  <si>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</si>
  <si>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</si>
  <si>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</si>
  <si>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</si>
  <si>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</si>
  <si>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</si>
  <si>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</si>
  <si>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</si>
  <si>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</si>
  <si>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</si>
  <si>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</si>
  <si>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</si>
  <si>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</si>
  <si>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</si>
  <si>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</si>
  <si>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</si>
  <si>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</si>
  <si>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</si>
  <si>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</si>
  <si>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</si>
  <si>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</si>
  <si>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</si>
  <si>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</si>
  <si>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</si>
  <si>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</si>
  <si>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</si>
  <si>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</si>
  <si>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</si>
  <si>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</si>
  <si>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</si>
  <si>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</si>
  <si>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</si>
  <si>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</si>
  <si>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</si>
  <si>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</si>
  <si>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</si>
  <si>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</si>
  <si>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</si>
  <si>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</si>
  <si>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</si>
  <si>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</si>
  <si>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</si>
  <si>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</si>
  <si>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</si>
  <si>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</si>
  <si>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</si>
  <si>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</si>
  <si>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</si>
  <si>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</si>
  <si>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</si>
  <si>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</si>
  <si>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</si>
  <si>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</si>
  <si>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</si>
  <si>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</si>
  <si>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</si>
  <si>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</si>
  <si>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</si>
  <si>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</si>
  <si>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</si>
  <si>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</si>
  <si>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</si>
  <si>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</si>
  <si>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</si>
  <si>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</si>
  <si>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</si>
  <si>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</si>
  <si>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</si>
  <si>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</si>
  <si>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</si>
  <si>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</si>
  <si>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</si>
  <si>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</si>
  <si>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</si>
  <si>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</si>
  <si>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</si>
  <si>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</si>
  <si>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</si>
  <si>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</si>
  <si>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</si>
  <si>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</si>
  <si>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</si>
  <si>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</si>
  <si>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</si>
  <si>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</si>
  <si>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</si>
  <si>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</si>
  <si>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</si>
  <si>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</si>
  <si>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</si>
  <si>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</si>
  <si>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</si>
  <si>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</si>
  <si>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</si>
  <si>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</si>
  <si>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</si>
  <si>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</si>
  <si>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</si>
  <si>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</si>
  <si>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</si>
  <si>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</si>
  <si>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</si>
  <si>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</si>
  <si>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</si>
  <si>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</si>
  <si>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</si>
  <si>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</si>
  <si>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</si>
  <si>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</si>
  <si>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</si>
  <si>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</si>
  <si>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</si>
  <si>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</si>
  <si>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</si>
  <si>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</si>
  <si>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</si>
  <si>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</si>
  <si>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</si>
  <si>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</si>
  <si>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</si>
  <si>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</si>
  <si>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</si>
  <si>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</si>
  <si>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</si>
  <si>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</si>
  <si>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</si>
  <si>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</si>
  <si>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</si>
  <si>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</si>
  <si>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</si>
  <si>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</si>
  <si>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</si>
  <si>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</si>
  <si>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</si>
  <si>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</si>
  <si>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</si>
  <si>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</si>
  <si>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</si>
  <si>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</si>
  <si>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</si>
  <si>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</si>
  <si>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</si>
  <si>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</si>
  <si>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</si>
  <si>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</si>
  <si>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</si>
  <si>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</si>
  <si>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</si>
  <si>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</si>
  <si>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</si>
  <si>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</si>
  <si>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</si>
  <si>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</si>
  <si>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</si>
  <si>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</si>
  <si>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</si>
  <si>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</si>
  <si>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</si>
  <si>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</si>
  <si>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</si>
  <si>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</si>
  <si>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</si>
  <si>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</si>
  <si>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</si>
  <si>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</si>
  <si>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</si>
  <si>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</si>
  <si>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</si>
  <si>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</si>
  <si>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</si>
  <si>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</si>
  <si>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</si>
  <si>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</si>
  <si>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</si>
  <si>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</si>
  <si>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</si>
  <si>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</si>
  <si>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</si>
  <si>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</si>
  <si>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</si>
  <si>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</si>
  <si>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</si>
  <si>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</si>
  <si>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</si>
  <si>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</si>
  <si>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</si>
  <si>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</si>
  <si>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</si>
  <si>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</si>
  <si>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</si>
  <si>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</si>
  <si>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</si>
  <si>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</si>
  <si>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</si>
  <si>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</si>
  <si>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</si>
  <si>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</si>
  <si>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</si>
  <si>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</si>
  <si>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</si>
  <si>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</si>
  <si>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</si>
  <si>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</si>
  <si>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</si>
  <si>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</si>
  <si>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</si>
  <si>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</si>
  <si>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</si>
  <si>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</si>
  <si>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</si>
  <si>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</si>
  <si>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</si>
  <si>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</si>
  <si>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</si>
  <si>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</si>
  <si>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</si>
  <si>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</si>
  <si>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</si>
  <si>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</si>
  <si>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</si>
  <si>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</si>
  <si>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</si>
  <si>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</si>
  <si>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</si>
  <si>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</si>
  <si>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</si>
  <si>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</si>
  <si>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</si>
  <si>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</si>
  <si>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</si>
  <si>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</si>
  <si>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</si>
  <si>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</si>
  <si>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</si>
  <si>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</si>
  <si>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</si>
  <si>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</si>
  <si>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</si>
  <si>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</si>
  <si>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</si>
  <si>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</si>
  <si>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</si>
  <si>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</si>
  <si>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</si>
  <si>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</si>
  <si>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Nuclides</t>
  </si>
  <si>
    <t>w</t>
  </si>
  <si>
    <t>Error</t>
  </si>
  <si>
    <t>T1/2</t>
  </si>
  <si>
    <t>λ</t>
  </si>
  <si>
    <t>60μA-2h</t>
    <phoneticPr fontId="2" type="noConversion"/>
  </si>
  <si>
    <t>cool-6h</t>
    <phoneticPr fontId="2" type="noConversion"/>
  </si>
  <si>
    <t>Nuclides</t>
    <phoneticPr fontId="2" type="noConversion"/>
  </si>
  <si>
    <t>水</t>
    <phoneticPr fontId="2" type="noConversion"/>
  </si>
  <si>
    <r>
      <t>100</t>
    </r>
    <r>
      <rPr>
        <sz val="11"/>
        <color theme="1"/>
        <rFont val="等线"/>
        <family val="3"/>
        <charset val="134"/>
      </rPr>
      <t>μA</t>
    </r>
    <phoneticPr fontId="2" type="noConversion"/>
  </si>
  <si>
    <t>冷却0h</t>
    <phoneticPr fontId="2" type="noConversion"/>
  </si>
  <si>
    <t>冷却2h</t>
    <phoneticPr fontId="2" type="noConversion"/>
  </si>
  <si>
    <t>运行1年</t>
    <phoneticPr fontId="2" type="noConversion"/>
  </si>
  <si>
    <t>核素/Bq</t>
    <phoneticPr fontId="2" type="noConversion"/>
  </si>
  <si>
    <t>主磁铁</t>
    <phoneticPr fontId="2" type="noConversion"/>
  </si>
  <si>
    <t>H1</t>
    <phoneticPr fontId="2" type="noConversion"/>
  </si>
  <si>
    <t>半衰期</t>
    <phoneticPr fontId="2" type="noConversion"/>
  </si>
  <si>
    <t>5703.9y</t>
  </si>
  <si>
    <t>7.13s</t>
  </si>
  <si>
    <t>27.7d</t>
  </si>
  <si>
    <t>312.2d</t>
  </si>
  <si>
    <t>2.58h</t>
  </si>
  <si>
    <t>2.75y</t>
  </si>
  <si>
    <t>44.5d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</si>
</sst>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63"/>
  <sheetViews>
    <sheetView workbookViewId="0">
      <selection activeCell="E4" sqref="E4"/>
    </sheetView>
  </sheetViews>
  <sheetFormatPr defaultRowHeight="15" x14ac:dyDescent="0.25"/>
  <cols>
    <col min="1" max="1" width="8.875" style="1" customWidth="1"/>
    <col min="2" max="3" width="9" style="2"/>
    <col min="4" max="4" width="13.125" style="2" bestFit="1" customWidth="1"/>
    <col min="5" max="5" width="9" style="2"/>
    <col min="6" max="6" width="13.125" style="2" bestFit="1" customWidth="1"/>
  </cols>
  <sheetData>
    <row r="2" spans="1:6" x14ac:dyDescent="0.25">
      <c r="B2" s="2" t="s">
        <v>0</v>
      </c>
      <c r="C2" s="2" t="s">
        <v>1</v>
      </c>
      <c r="D2" s="2" t="s">
        <v>2</v>
      </c>
      <c r="F2" s="2" t="s">
        <v>2</v>
      </c>
    </row>
    <row r="3" spans="1:6" x14ac:dyDescent="0.25">
      <c r="A3" s="1">
        <v>1001</v>
      </c>
      <c r="B3" s="2">
        <v>1</v>
      </c>
      <c r="C3" s="2">
        <v>0</v>
      </c>
      <c r="D3" s="2">
        <v>613.9</v>
      </c>
      <c r="E3" s="2" t="s">
        <v>3179</v>
      </c>
      <c r="F3" s="2">
        <v>613.9</v>
      </c>
    </row>
    <row r="4" spans="1:6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  <c r="F4" s="2" t="s">
        <v>3</v>
      </c>
    </row>
    <row r="5" spans="1:6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  <c r="F5" s="2">
        <v>388789632</v>
      </c>
    </row>
    <row r="6" spans="1:6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  <c r="F6" s="2">
        <v>7.9947368421052595E-23</v>
      </c>
    </row>
    <row r="7" spans="1:6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  <c r="F7" s="2">
        <v>2.8481249999999898E-22</v>
      </c>
    </row>
    <row r="8" spans="1:6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  <c r="F8" s="2" t="s">
        <v>3</v>
      </c>
    </row>
    <row r="9" spans="1:6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  <c r="F9" s="2" t="s">
        <v>3</v>
      </c>
    </row>
    <row r="10" spans="1:6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  <c r="F10" s="2">
        <v>7.5950000000000001E-22</v>
      </c>
    </row>
    <row r="11" spans="1:6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  <c r="F11" s="2">
        <v>0.80669999999999997</v>
      </c>
    </row>
    <row r="12" spans="1:6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  <c r="F12" s="2">
        <v>3.0380000000000001E-21</v>
      </c>
    </row>
    <row r="13" spans="1:6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  <c r="F13" s="2">
        <v>0.1191</v>
      </c>
    </row>
    <row r="14" spans="1:6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  <c r="F14" s="2">
        <v>1.519E-21</v>
      </c>
    </row>
    <row r="15" spans="1:6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  <c r="F15" s="2">
        <v>7.5572139303482503E-23</v>
      </c>
    </row>
    <row r="16" spans="1:6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  <c r="F16" s="2">
        <v>3.038E-22</v>
      </c>
    </row>
    <row r="17" spans="1:6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  <c r="F17" s="2" t="s">
        <v>3</v>
      </c>
    </row>
    <row r="18" spans="1:6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  <c r="F18" s="2" t="s">
        <v>3</v>
      </c>
    </row>
    <row r="19" spans="1:6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  <c r="F19" s="2">
        <v>0.83989999999999998</v>
      </c>
    </row>
    <row r="20" spans="1:6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  <c r="F20" s="2">
        <v>0.17829999999999999</v>
      </c>
    </row>
    <row r="21" spans="1:6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  <c r="F21" s="2">
        <v>8.7500000000000008E-3</v>
      </c>
    </row>
    <row r="22" spans="1:6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  <c r="F22" s="2">
        <v>4.9532608695652102E-21</v>
      </c>
    </row>
    <row r="23" spans="1:6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  <c r="F23" s="2">
        <v>4598208</v>
      </c>
    </row>
    <row r="24" spans="1:6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  <c r="F24" s="2">
        <v>8.1813285457809601E-17</v>
      </c>
    </row>
    <row r="25" spans="1:6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  <c r="F25" s="2" t="s">
        <v>3</v>
      </c>
    </row>
    <row r="26" spans="1:6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  <c r="F26" s="2">
        <v>47651976000000</v>
      </c>
    </row>
    <row r="27" spans="1:6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  <c r="F27" s="2">
        <v>13.76</v>
      </c>
    </row>
    <row r="28" spans="1:6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  <c r="F28" s="2">
        <v>2.147E-2</v>
      </c>
    </row>
    <row r="29" spans="1:6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  <c r="F29" s="2">
        <v>2.7000000000000001E-21</v>
      </c>
    </row>
    <row r="30" spans="1:6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  <c r="F30" s="2">
        <v>4.3499999999999997E-3</v>
      </c>
    </row>
    <row r="31" spans="1:6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  <c r="F31" s="2">
        <v>7.8568965517241304E-22</v>
      </c>
    </row>
    <row r="32" spans="1:6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  <c r="F32" s="2">
        <v>5.69624999999999E-22</v>
      </c>
    </row>
    <row r="33" spans="1:6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  <c r="F33" s="2">
        <v>3.2550000000000001E-22</v>
      </c>
    </row>
    <row r="34" spans="1:6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  <c r="F34" s="2">
        <v>0.77</v>
      </c>
    </row>
    <row r="35" spans="1:6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  <c r="F35" s="2">
        <v>8.4388888888888803E-19</v>
      </c>
    </row>
    <row r="36" spans="1:6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  <c r="F36" s="2" t="s">
        <v>3</v>
      </c>
    </row>
    <row r="37" spans="1:6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  <c r="F37" s="2" t="s">
        <v>3</v>
      </c>
    </row>
    <row r="38" spans="1:6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  <c r="F38" s="2">
        <v>2.0199999999999999E-2</v>
      </c>
    </row>
    <row r="39" spans="1:6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  <c r="F39" s="2">
        <v>1.7329999999999901E-2</v>
      </c>
    </row>
    <row r="40" spans="1:6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  <c r="F40" s="2">
        <v>1.2359999999999999E-2</v>
      </c>
    </row>
    <row r="41" spans="1:6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  <c r="F41" s="2">
        <v>1.018E-2</v>
      </c>
    </row>
    <row r="42" spans="1:6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  <c r="F42" s="2">
        <v>5.0800000000000003E-3</v>
      </c>
    </row>
    <row r="43" spans="1:6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  <c r="F43" s="2">
        <v>2.9199999999999999E-3</v>
      </c>
    </row>
    <row r="44" spans="1:6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  <c r="F44" s="2">
        <v>1.9813043478260799E-21</v>
      </c>
    </row>
    <row r="45" spans="1:6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  <c r="F45" s="2">
        <v>0.1265</v>
      </c>
    </row>
    <row r="46" spans="1:6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  <c r="F46" s="2">
        <v>19.308</v>
      </c>
    </row>
    <row r="47" spans="1:6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  <c r="F47" s="2">
        <v>1221.8399999999999</v>
      </c>
    </row>
    <row r="48" spans="1:6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  <c r="F48" s="2" t="s">
        <v>3</v>
      </c>
    </row>
    <row r="49" spans="1:6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  <c r="F49" s="2" t="s">
        <v>3</v>
      </c>
    </row>
    <row r="50" spans="1:6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  <c r="F50" s="2">
        <v>179878320000</v>
      </c>
    </row>
    <row r="51" spans="1:6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  <c r="F51" s="2">
        <v>2.4489999999999998</v>
      </c>
    </row>
    <row r="52" spans="1:6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  <c r="F52" s="2">
        <v>0.747</v>
      </c>
    </row>
    <row r="53" spans="1:6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  <c r="F53" s="2">
        <v>0.191</v>
      </c>
    </row>
    <row r="54" spans="1:6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  <c r="F54" s="2">
        <v>9.1999999999999998E-2</v>
      </c>
    </row>
    <row r="55" spans="1:6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  <c r="F55" s="2">
        <v>4.6199999999999998E-2</v>
      </c>
    </row>
    <row r="56" spans="1:6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  <c r="F56" s="2">
        <v>1.6199999999999999E-2</v>
      </c>
    </row>
    <row r="57" spans="1:6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  <c r="F57" s="2">
        <v>6.09999999999999E-3</v>
      </c>
    </row>
    <row r="58" spans="1:6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  <c r="F58" s="2">
        <v>5.4903614457831297E-22</v>
      </c>
    </row>
    <row r="59" spans="1:6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  <c r="F59" s="2">
        <v>1.0999999999999999E-2</v>
      </c>
    </row>
    <row r="60" spans="1:6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  <c r="F60" s="2">
        <v>597.9</v>
      </c>
    </row>
    <row r="61" spans="1:6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  <c r="F61" s="2" t="s">
        <v>3</v>
      </c>
    </row>
    <row r="62" spans="1:6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  <c r="F62" s="2" t="s">
        <v>3</v>
      </c>
    </row>
    <row r="63" spans="1:6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  <c r="F63" s="2">
        <v>7.13</v>
      </c>
    </row>
    <row r="64" spans="1:6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  <c r="F64" s="2">
        <v>4.1710000000000003</v>
      </c>
    </row>
    <row r="65" spans="1:6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  <c r="F65" s="2">
        <v>0.61899999999999999</v>
      </c>
    </row>
    <row r="66" spans="1:6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  <c r="F66" s="2">
        <v>0.33600000000000002</v>
      </c>
    </row>
    <row r="67" spans="1:6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  <c r="F67" s="2">
        <v>0.13600000000000001</v>
      </c>
    </row>
    <row r="68" spans="1:6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  <c r="F68" s="2">
        <v>8.48E-2</v>
      </c>
    </row>
    <row r="69" spans="1:6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  <c r="F69" s="2">
        <v>1.95E-2</v>
      </c>
    </row>
    <row r="70" spans="1:6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  <c r="F70" s="2">
        <v>1.41E-2</v>
      </c>
    </row>
    <row r="71" spans="1:6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  <c r="F71" s="2">
        <v>1.1392499999999899E-21</v>
      </c>
    </row>
    <row r="72" spans="1:6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  <c r="F72" s="2">
        <v>8.5800000000000008E-3</v>
      </c>
    </row>
    <row r="73" spans="1:6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  <c r="F73" s="2">
        <v>70.62</v>
      </c>
    </row>
    <row r="74" spans="1:6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  <c r="F74" s="2">
        <v>122.24</v>
      </c>
    </row>
    <row r="75" spans="1:6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  <c r="F75" s="2" t="s">
        <v>3</v>
      </c>
    </row>
    <row r="76" spans="1:6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  <c r="F76" s="2" t="s">
        <v>3</v>
      </c>
    </row>
    <row r="77" spans="1:6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  <c r="F77" s="2" t="s">
        <v>3</v>
      </c>
    </row>
    <row r="78" spans="1:6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  <c r="F78" s="2">
        <v>26.88</v>
      </c>
    </row>
    <row r="79" spans="1:6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  <c r="F79" s="2">
        <v>13.51</v>
      </c>
    </row>
    <row r="80" spans="1:6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  <c r="F80" s="2">
        <v>3.42</v>
      </c>
    </row>
    <row r="81" spans="1:6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  <c r="F81" s="2">
        <v>2.25</v>
      </c>
    </row>
    <row r="82" spans="1:6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  <c r="F82" s="2">
        <v>9.7000000000000003E-2</v>
      </c>
    </row>
    <row r="83" spans="1:6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  <c r="F83" s="2">
        <v>7.1999999999999995E-2</v>
      </c>
    </row>
    <row r="84" spans="1:6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  <c r="F84" s="2">
        <v>6.3E-21</v>
      </c>
    </row>
    <row r="85" spans="1:6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  <c r="F85" s="2">
        <v>4.4999999999999998E-12</v>
      </c>
    </row>
    <row r="86" spans="1:6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  <c r="F86" s="2">
        <v>5.0076923076923E-22</v>
      </c>
    </row>
    <row r="87" spans="1:6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  <c r="F87" s="2">
        <v>6.9045454545454504E-22</v>
      </c>
    </row>
    <row r="88" spans="1:6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  <c r="F88" s="2">
        <v>1.13925E-20</v>
      </c>
    </row>
    <row r="89" spans="1:6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  <c r="F89" s="2">
        <v>64.489999999999995</v>
      </c>
    </row>
    <row r="90" spans="1:6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  <c r="F90" s="2">
        <v>6586.2</v>
      </c>
    </row>
    <row r="91" spans="1:6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  <c r="F91" s="2" t="s">
        <v>3</v>
      </c>
    </row>
    <row r="92" spans="1:6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  <c r="F92" s="2">
        <v>11.07</v>
      </c>
    </row>
    <row r="93" spans="1:6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  <c r="F93" s="2">
        <v>4.1580000000000004</v>
      </c>
    </row>
    <row r="94" spans="1:6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  <c r="F94" s="2">
        <v>4.2300000000000004</v>
      </c>
    </row>
    <row r="95" spans="1:6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  <c r="F95" s="2">
        <v>2.23</v>
      </c>
    </row>
    <row r="96" spans="1:6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  <c r="F96" s="2">
        <v>0.38200000000000001</v>
      </c>
    </row>
    <row r="97" spans="1:6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  <c r="F97" s="2">
        <v>0.08</v>
      </c>
    </row>
    <row r="98" spans="1:6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  <c r="F98" s="2">
        <v>8.1999999999999903E-3</v>
      </c>
    </row>
    <row r="99" spans="1:6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  <c r="F99" s="2">
        <v>5.0000000000000001E-3</v>
      </c>
    </row>
    <row r="100" spans="1:6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  <c r="F100" s="2">
        <v>4.5999999999999998E-20</v>
      </c>
    </row>
    <row r="101" spans="1:6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  <c r="F101" s="2">
        <v>2.6700000000000001E-3</v>
      </c>
    </row>
    <row r="102" spans="1:6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  <c r="F102" s="2">
        <v>8.9999999999999994E-21</v>
      </c>
    </row>
    <row r="103" spans="1:6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  <c r="F103" s="2">
        <v>0.10920000000000001</v>
      </c>
    </row>
    <row r="104" spans="1:6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  <c r="F104" s="2">
        <v>1.667</v>
      </c>
    </row>
    <row r="105" spans="1:6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  <c r="F105" s="2">
        <v>17.22</v>
      </c>
    </row>
    <row r="106" spans="1:6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  <c r="F106" s="2" t="s">
        <v>3</v>
      </c>
    </row>
    <row r="107" spans="1:6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  <c r="F107" s="2" t="s">
        <v>3</v>
      </c>
    </row>
    <row r="108" spans="1:6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  <c r="F108" s="2" t="s">
        <v>3</v>
      </c>
    </row>
    <row r="109" spans="1:6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  <c r="F109" s="2">
        <v>37.24</v>
      </c>
    </row>
    <row r="110" spans="1:6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  <c r="F110" s="2">
        <v>202.79999999999899</v>
      </c>
    </row>
    <row r="111" spans="1:6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  <c r="F111" s="2">
        <v>0.60199999999999998</v>
      </c>
    </row>
    <row r="112" spans="1:6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  <c r="F112" s="2">
        <v>0.19700000000000001</v>
      </c>
    </row>
    <row r="113" spans="1:6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  <c r="F113" s="2">
        <v>3.15E-2</v>
      </c>
    </row>
    <row r="114" spans="1:6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  <c r="F114" s="2">
        <v>0.02</v>
      </c>
    </row>
    <row r="115" spans="1:6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  <c r="F115" s="2">
        <v>1.4999999999999999E-2</v>
      </c>
    </row>
    <row r="116" spans="1:6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  <c r="F116" s="2">
        <v>7.3899999999999999E-3</v>
      </c>
    </row>
    <row r="117" spans="1:6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  <c r="F117" s="2">
        <v>3.3999999999999998E-3</v>
      </c>
    </row>
    <row r="118" spans="1:6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  <c r="F118" s="2">
        <v>3.5000000000000001E-3</v>
      </c>
    </row>
    <row r="119" spans="1:6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  <c r="F119" s="2">
        <v>5.9999999999999995E-8</v>
      </c>
    </row>
    <row r="120" spans="1:6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  <c r="F120" s="2">
        <v>1.3000000000000001E-21</v>
      </c>
    </row>
    <row r="121" spans="1:6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  <c r="F121" s="2">
        <v>0.44789999999999902</v>
      </c>
    </row>
    <row r="122" spans="1:6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  <c r="F122" s="2">
        <v>22.49</v>
      </c>
    </row>
    <row r="123" spans="1:6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  <c r="F123" s="2">
        <v>82106563.679999903</v>
      </c>
    </row>
    <row r="124" spans="1:6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  <c r="F124" s="2" t="s">
        <v>3</v>
      </c>
    </row>
    <row r="125" spans="1:6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  <c r="F125" s="2">
        <v>53989.2</v>
      </c>
    </row>
    <row r="126" spans="1:6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  <c r="F126" s="2">
        <v>59.1</v>
      </c>
    </row>
    <row r="127" spans="1:6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  <c r="F127" s="2">
        <v>1.07128</v>
      </c>
    </row>
    <row r="128" spans="1:6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  <c r="F128" s="2">
        <v>0.30099999999999999</v>
      </c>
    </row>
    <row r="129" spans="1:6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  <c r="F129" s="2">
        <v>3.0499999999999999E-2</v>
      </c>
    </row>
    <row r="130" spans="1:6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  <c r="F130" s="2">
        <v>4.41E-2</v>
      </c>
    </row>
    <row r="131" spans="1:6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  <c r="F131" s="2">
        <v>4.8000000000000001E-2</v>
      </c>
    </row>
    <row r="132" spans="1:6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  <c r="F132" s="2">
        <v>1.7399999999999999E-2</v>
      </c>
    </row>
    <row r="133" spans="1:6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  <c r="F133" s="2">
        <v>1.32E-2</v>
      </c>
    </row>
    <row r="134" spans="1:6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  <c r="F134" s="2">
        <v>8.0999999999999996E-3</v>
      </c>
    </row>
    <row r="135" spans="1:6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  <c r="F135" s="2">
        <v>5.0000000000000001E-3</v>
      </c>
    </row>
    <row r="136" spans="1:6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  <c r="F136" s="2">
        <v>1.8E-3</v>
      </c>
    </row>
    <row r="137" spans="1:6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  <c r="F137" s="2">
        <v>3.9999999999999999E-12</v>
      </c>
    </row>
    <row r="138" spans="1:6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  <c r="F138" s="2">
        <v>9.0800000000000006E-2</v>
      </c>
    </row>
    <row r="139" spans="1:6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  <c r="F139" s="2">
        <v>0.122</v>
      </c>
    </row>
    <row r="140" spans="1:6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  <c r="F140" s="2">
        <v>3.8755000000000002</v>
      </c>
    </row>
    <row r="141" spans="1:6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  <c r="F141" s="2">
        <v>11.317</v>
      </c>
    </row>
    <row r="142" spans="1:6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  <c r="F142" s="2" t="s">
        <v>3</v>
      </c>
    </row>
    <row r="143" spans="1:6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  <c r="F143" s="2" t="s">
        <v>3</v>
      </c>
    </row>
    <row r="144" spans="1:6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  <c r="F144" s="2" t="s">
        <v>3</v>
      </c>
    </row>
    <row r="145" spans="1:6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  <c r="F145" s="2">
        <v>567.48</v>
      </c>
    </row>
    <row r="146" spans="1:6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  <c r="F146" s="2">
        <v>75294</v>
      </c>
    </row>
    <row r="147" spans="1:6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  <c r="F147" s="2">
        <v>1.3</v>
      </c>
    </row>
    <row r="148" spans="1:6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  <c r="F148" s="2">
        <v>0.317</v>
      </c>
    </row>
    <row r="149" spans="1:6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  <c r="F149" s="2">
        <v>0.23599999999999999</v>
      </c>
    </row>
    <row r="150" spans="1:6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  <c r="F150" s="2">
        <v>8.5999999999999993E-2</v>
      </c>
    </row>
    <row r="151" spans="1:6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  <c r="F151" s="2">
        <v>8.9399999999999993E-2</v>
      </c>
    </row>
    <row r="152" spans="1:6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  <c r="F152" s="2">
        <v>0.02</v>
      </c>
    </row>
    <row r="153" spans="1:6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  <c r="F153" s="2">
        <v>1.1299999999999999E-2</v>
      </c>
    </row>
    <row r="154" spans="1:6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  <c r="F154" s="2">
        <v>5.7999999999999996E-3</v>
      </c>
    </row>
    <row r="155" spans="1:6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  <c r="F155" s="2">
        <v>8.0000000000000002E-3</v>
      </c>
    </row>
    <row r="156" spans="1:6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  <c r="F156" s="2">
        <v>9.11E-2</v>
      </c>
    </row>
    <row r="157" spans="1:6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  <c r="F157" s="2">
        <v>0.47</v>
      </c>
    </row>
    <row r="158" spans="1:6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  <c r="F158" s="2">
        <v>2.0529999999999999</v>
      </c>
    </row>
    <row r="159" spans="1:6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  <c r="F159" s="2">
        <v>7.1829999999999998</v>
      </c>
    </row>
    <row r="160" spans="1:6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  <c r="F160" s="2">
        <v>22626799200000</v>
      </c>
    </row>
    <row r="161" spans="1:6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  <c r="F161" s="2" t="s">
        <v>3</v>
      </c>
    </row>
    <row r="162" spans="1:6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  <c r="F162" s="2">
        <v>134.69999999999999</v>
      </c>
    </row>
    <row r="163" spans="1:6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  <c r="F163" s="2">
        <v>393.599999999999</v>
      </c>
    </row>
    <row r="164" spans="1:6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  <c r="F164" s="2">
        <v>3.62</v>
      </c>
    </row>
    <row r="165" spans="1:6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  <c r="F165" s="2">
        <v>0.64400000000000002</v>
      </c>
    </row>
    <row r="166" spans="1:6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  <c r="F166" s="2">
        <v>3.1899999999999998E-2</v>
      </c>
    </row>
    <row r="167" spans="1:6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  <c r="F167" s="2">
        <v>4.1700000000000001E-2</v>
      </c>
    </row>
    <row r="168" spans="1:6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  <c r="F168" s="2">
        <v>5.6299999999999899E-2</v>
      </c>
    </row>
    <row r="169" spans="1:6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  <c r="F169" s="2">
        <v>3.7600000000000001E-2</v>
      </c>
    </row>
    <row r="170" spans="1:6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  <c r="F170" s="2">
        <v>9.4E-2</v>
      </c>
    </row>
    <row r="171" spans="1:6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  <c r="F171" s="2">
        <v>1.0699999999999999E-2</v>
      </c>
    </row>
    <row r="172" spans="1:6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  <c r="F172" s="2">
        <v>7.6E-3</v>
      </c>
    </row>
    <row r="173" spans="1:6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  <c r="F173" s="2">
        <v>7.6E-3</v>
      </c>
    </row>
    <row r="174" spans="1:6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  <c r="F174" s="2">
        <v>2.9000000000000001E-2</v>
      </c>
    </row>
    <row r="175" spans="1:6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  <c r="F175" s="2">
        <v>4.2299999999999997E-2</v>
      </c>
    </row>
    <row r="176" spans="1:6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  <c r="F176" s="2">
        <v>0.14050000000000001</v>
      </c>
    </row>
    <row r="177" spans="1:6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  <c r="F177" s="2">
        <v>0.22</v>
      </c>
    </row>
    <row r="178" spans="1:6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  <c r="F178" s="2">
        <v>2.2452999999999999</v>
      </c>
    </row>
    <row r="179" spans="1:6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  <c r="F179" s="2">
        <v>4.1500000000000004</v>
      </c>
    </row>
    <row r="180" spans="1:6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  <c r="F180" s="2" t="s">
        <v>3</v>
      </c>
    </row>
    <row r="181" spans="1:6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  <c r="F181" s="2" t="s">
        <v>3</v>
      </c>
    </row>
    <row r="182" spans="1:6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  <c r="F182" s="2" t="s">
        <v>3</v>
      </c>
    </row>
    <row r="183" spans="1:6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  <c r="F183" s="2">
        <v>9441.6</v>
      </c>
    </row>
    <row r="184" spans="1:6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  <c r="F184" s="2">
        <v>4828312800</v>
      </c>
    </row>
    <row r="185" spans="1:6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  <c r="F185" s="2">
        <v>6.11</v>
      </c>
    </row>
    <row r="186" spans="1:6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  <c r="F186" s="2">
        <v>2.77</v>
      </c>
    </row>
    <row r="187" spans="1:6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  <c r="F187" s="2">
        <v>0.78</v>
      </c>
    </row>
    <row r="188" spans="1:6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  <c r="F188" s="2">
        <v>0.45</v>
      </c>
    </row>
    <row r="189" spans="1:6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  <c r="F189" s="2">
        <v>0.09</v>
      </c>
    </row>
    <row r="190" spans="1:6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  <c r="F190" s="2">
        <v>9.5000000000000001E-2</v>
      </c>
    </row>
    <row r="191" spans="1:6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  <c r="F191" s="2">
        <v>4.7500000000000001E-2</v>
      </c>
    </row>
    <row r="192" spans="1:6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  <c r="F192" s="2">
        <v>3.3000000000000002E-2</v>
      </c>
    </row>
    <row r="193" spans="1:6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  <c r="F193" s="2">
        <v>0.02</v>
      </c>
    </row>
    <row r="194" spans="1:6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  <c r="F194" s="2">
        <v>1.2500000000000001E-2</v>
      </c>
    </row>
    <row r="195" spans="1:6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  <c r="F195" s="2">
        <v>4.3700000000000003E-2</v>
      </c>
    </row>
    <row r="196" spans="1:6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  <c r="F196" s="2">
        <v>0.26</v>
      </c>
    </row>
    <row r="197" spans="1:6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  <c r="F197" s="2">
        <v>0.27029999999999998</v>
      </c>
    </row>
    <row r="198" spans="1:6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  <c r="F198" s="2">
        <v>4.1420000000000003</v>
      </c>
    </row>
    <row r="199" spans="1:6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  <c r="F199" s="2">
        <v>149.88</v>
      </c>
    </row>
    <row r="200" spans="1:6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  <c r="F200" s="2" t="s">
        <v>3</v>
      </c>
    </row>
    <row r="201" spans="1:6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  <c r="F201" s="2">
        <v>1232755.2</v>
      </c>
    </row>
    <row r="202" spans="1:6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  <c r="F202" s="2">
        <v>2190240</v>
      </c>
    </row>
    <row r="203" spans="1:6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  <c r="F203" s="2">
        <v>12.43</v>
      </c>
    </row>
    <row r="204" spans="1:6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  <c r="F204" s="2">
        <v>47.3</v>
      </c>
    </row>
    <row r="205" spans="1:6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  <c r="F205" s="2">
        <v>5.6</v>
      </c>
    </row>
    <row r="206" spans="1:6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  <c r="F206" s="2">
        <v>2.31</v>
      </c>
    </row>
    <row r="207" spans="1:6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  <c r="F207" s="2">
        <v>0.64</v>
      </c>
    </row>
    <row r="208" spans="1:6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  <c r="F208" s="2">
        <v>0.28000000000000003</v>
      </c>
    </row>
    <row r="209" spans="1:6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  <c r="F209" s="2">
        <v>0.15</v>
      </c>
    </row>
    <row r="210" spans="1:6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  <c r="F210" s="2">
        <v>0.10100000000000001</v>
      </c>
    </row>
    <row r="211" spans="1:6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  <c r="F211" s="2">
        <v>4.8500000000000001E-2</v>
      </c>
    </row>
    <row r="212" spans="1:6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  <c r="F212" s="2">
        <v>3.6499999999999998E-2</v>
      </c>
    </row>
    <row r="213" spans="1:6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  <c r="F213" s="2">
        <v>1.8499999999999999E-2</v>
      </c>
    </row>
    <row r="214" spans="1:6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  <c r="F214" s="2">
        <v>1.9999999999999999E-7</v>
      </c>
    </row>
    <row r="215" spans="1:6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  <c r="F215" s="2">
        <v>1.9999999999999999E-7</v>
      </c>
    </row>
    <row r="216" spans="1:6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  <c r="F216" s="2">
        <v>1.55E-2</v>
      </c>
    </row>
    <row r="217" spans="1:6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  <c r="F217" s="2">
        <v>0.125</v>
      </c>
    </row>
    <row r="218" spans="1:6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  <c r="F218" s="2">
        <v>0.188</v>
      </c>
    </row>
    <row r="219" spans="1:6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  <c r="F219" s="2">
        <v>1.1779999999999999</v>
      </c>
    </row>
    <row r="220" spans="1:6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  <c r="F220" s="2">
        <v>2.5533999999999999</v>
      </c>
    </row>
    <row r="221" spans="1:6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  <c r="F221" s="2" t="s">
        <v>3</v>
      </c>
    </row>
    <row r="222" spans="1:6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  <c r="F222" s="2" t="s">
        <v>3</v>
      </c>
    </row>
    <row r="223" spans="1:6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  <c r="F223" s="2" t="s">
        <v>3</v>
      </c>
    </row>
    <row r="224" spans="1:6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  <c r="F224" s="2">
        <v>7548768</v>
      </c>
    </row>
    <row r="225" spans="1:6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  <c r="F225" s="2" t="s">
        <v>3</v>
      </c>
    </row>
    <row r="226" spans="1:6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  <c r="F226" s="2">
        <v>303</v>
      </c>
    </row>
    <row r="227" spans="1:6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  <c r="F227" s="2">
        <v>10218</v>
      </c>
    </row>
    <row r="228" spans="1:6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  <c r="F228" s="2">
        <v>11.5</v>
      </c>
    </row>
    <row r="229" spans="1:6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  <c r="F229" s="2">
        <v>8.8000000000000007</v>
      </c>
    </row>
    <row r="230" spans="1:6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  <c r="F230" s="2">
        <v>2.6</v>
      </c>
    </row>
    <row r="231" spans="1:6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  <c r="F231" s="2">
        <v>1.03</v>
      </c>
    </row>
    <row r="232" spans="1:6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  <c r="F232" s="2">
        <v>0.27300000000000002</v>
      </c>
    </row>
    <row r="233" spans="1:6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  <c r="F233" s="2">
        <v>0.1</v>
      </c>
    </row>
    <row r="234" spans="1:6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  <c r="F234" s="2">
        <v>6.8000000000000005E-2</v>
      </c>
    </row>
    <row r="235" spans="1:6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  <c r="F235" s="2">
        <v>0.05</v>
      </c>
    </row>
    <row r="236" spans="1:6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  <c r="F236" s="2">
        <v>1.9999999999999999E-7</v>
      </c>
    </row>
    <row r="237" spans="1:6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  <c r="F237" s="2">
        <v>0.19</v>
      </c>
    </row>
    <row r="238" spans="1:6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  <c r="F238" s="2">
        <v>0.29799999999999999</v>
      </c>
    </row>
    <row r="239" spans="1:6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  <c r="F239" s="2">
        <v>2.5110000000000001</v>
      </c>
    </row>
    <row r="240" spans="1:6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  <c r="F240" s="2">
        <v>1.5264</v>
      </c>
    </row>
    <row r="241" spans="1:6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  <c r="F241" s="2" t="s">
        <v>3</v>
      </c>
    </row>
    <row r="242" spans="1:6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  <c r="F242" s="2">
        <v>9498837600000</v>
      </c>
    </row>
    <row r="243" spans="1:6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  <c r="F243" s="2" t="s">
        <v>3</v>
      </c>
    </row>
    <row r="244" spans="1:6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  <c r="F244" s="2">
        <v>2234.4</v>
      </c>
    </row>
    <row r="245" spans="1:6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  <c r="F245" s="2">
        <v>3372</v>
      </c>
    </row>
    <row r="246" spans="1:6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  <c r="F246" s="2">
        <v>81</v>
      </c>
    </row>
    <row r="247" spans="1:6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  <c r="F247" s="2">
        <v>38.4</v>
      </c>
    </row>
    <row r="248" spans="1:6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  <c r="F248" s="2">
        <v>6.8</v>
      </c>
    </row>
    <row r="249" spans="1:6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  <c r="F249" s="2">
        <v>3.1749999999999998</v>
      </c>
    </row>
    <row r="250" spans="1:6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  <c r="F250" s="2">
        <v>0.65</v>
      </c>
    </row>
    <row r="251" spans="1:6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  <c r="F251" s="2">
        <v>0.4</v>
      </c>
    </row>
    <row r="252" spans="1:6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  <c r="F252" s="2">
        <v>0.23200000000000001</v>
      </c>
    </row>
    <row r="253" spans="1:6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  <c r="F253" s="2">
        <v>0.10100000000000001</v>
      </c>
    </row>
    <row r="254" spans="1:6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  <c r="F254" s="2">
        <v>1.9999999999999999E-7</v>
      </c>
    </row>
    <row r="255" spans="1:6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  <c r="F255" s="2">
        <v>1.6999999999999999E-7</v>
      </c>
    </row>
    <row r="256" spans="1:6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  <c r="F256" s="2">
        <v>6.1999999999999999E-7</v>
      </c>
    </row>
    <row r="257" spans="1:6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  <c r="F257" s="2">
        <v>1.9999999999999999E-7</v>
      </c>
    </row>
    <row r="258" spans="1:6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  <c r="F258" s="2">
        <v>1.44E-2</v>
      </c>
    </row>
    <row r="259" spans="1:6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  <c r="F259" s="2">
        <v>9.8000000000000004E-2</v>
      </c>
    </row>
    <row r="260" spans="1:6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  <c r="F260" s="2">
        <v>0.17299999999999999</v>
      </c>
    </row>
    <row r="261" spans="1:6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  <c r="F261" s="2">
        <v>0.84450000000000003</v>
      </c>
    </row>
    <row r="262" spans="1:6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  <c r="F262" s="2">
        <v>1.7756000000000001</v>
      </c>
    </row>
    <row r="263" spans="1:6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  <c r="F263" s="2" t="s">
        <v>3</v>
      </c>
    </row>
    <row r="264" spans="1:6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  <c r="F264" s="2">
        <v>3027456</v>
      </c>
    </row>
    <row r="265" spans="1:6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  <c r="F265" s="2" t="s">
        <v>3</v>
      </c>
    </row>
    <row r="266" spans="1:6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  <c r="F266" s="2">
        <v>8488994400</v>
      </c>
    </row>
    <row r="267" spans="1:6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  <c r="F267" s="2" t="s">
        <v>3</v>
      </c>
    </row>
    <row r="268" spans="1:6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  <c r="F268" s="2">
        <v>6576.6</v>
      </c>
    </row>
    <row r="269" spans="1:6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  <c r="F269" s="2">
        <v>1038245040</v>
      </c>
    </row>
    <row r="270" spans="1:6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  <c r="F270" s="2">
        <v>322.2</v>
      </c>
    </row>
    <row r="271" spans="1:6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  <c r="F271" s="2">
        <v>712.19999999999902</v>
      </c>
    </row>
    <row r="272" spans="1:6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  <c r="F272" s="2">
        <v>21.48</v>
      </c>
    </row>
    <row r="273" spans="1:6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  <c r="F273" s="2">
        <v>8.4</v>
      </c>
    </row>
    <row r="274" spans="1:6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  <c r="F274" s="2">
        <v>1.23</v>
      </c>
    </row>
    <row r="275" spans="1:6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  <c r="F275" s="2">
        <v>0.42399999999999999</v>
      </c>
    </row>
    <row r="276" spans="1:6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  <c r="F276" s="2">
        <v>0.23599999999999999</v>
      </c>
    </row>
    <row r="277" spans="1:6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  <c r="F277" s="2">
        <v>0.106</v>
      </c>
    </row>
    <row r="278" spans="1:6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  <c r="F278" s="2">
        <v>1.9999999999999999E-7</v>
      </c>
    </row>
    <row r="279" spans="1:6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  <c r="F279" s="2">
        <v>6.1999999999999999E-7</v>
      </c>
    </row>
    <row r="280" spans="1:6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  <c r="F280" s="2">
        <v>6.1999999999999999E-7</v>
      </c>
    </row>
    <row r="281" spans="1:6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  <c r="F281" s="2">
        <v>0.17799999999999999</v>
      </c>
    </row>
    <row r="282" spans="1:6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  <c r="F282" s="2">
        <v>0.34200000000000003</v>
      </c>
    </row>
    <row r="283" spans="1:6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  <c r="F283" s="2">
        <v>1.226</v>
      </c>
    </row>
    <row r="284" spans="1:6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  <c r="F284" s="2">
        <v>458.16</v>
      </c>
    </row>
    <row r="285" spans="1:6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  <c r="F285" s="2" t="s">
        <v>3</v>
      </c>
    </row>
    <row r="286" spans="1:6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  <c r="F286" s="2">
        <v>3.93838848E+16</v>
      </c>
    </row>
    <row r="287" spans="1:6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  <c r="F287" s="2" t="s">
        <v>3</v>
      </c>
    </row>
    <row r="288" spans="1:6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  <c r="F288" s="2">
        <v>44478</v>
      </c>
    </row>
    <row r="289" spans="1:6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  <c r="F289" s="2">
        <v>80280</v>
      </c>
    </row>
    <row r="290" spans="1:6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  <c r="F290" s="2">
        <v>1327.8</v>
      </c>
    </row>
    <row r="291" spans="1:6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  <c r="F291" s="2">
        <v>1068.5999999999999</v>
      </c>
    </row>
    <row r="292" spans="1:6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  <c r="F292" s="2">
        <v>105</v>
      </c>
    </row>
    <row r="293" spans="1:6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  <c r="F293" s="2">
        <v>17.5</v>
      </c>
    </row>
    <row r="294" spans="1:6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  <c r="F294" s="2">
        <v>6.83</v>
      </c>
    </row>
    <row r="295" spans="1:6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  <c r="F295" s="2">
        <v>1.2629999999999999</v>
      </c>
    </row>
    <row r="296" spans="1:6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  <c r="F296" s="2">
        <v>0.47199999999999998</v>
      </c>
    </row>
    <row r="297" spans="1:6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  <c r="F297" s="2">
        <v>0.36499999999999999</v>
      </c>
    </row>
    <row r="298" spans="1:6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  <c r="F298" s="2">
        <v>0.11</v>
      </c>
    </row>
    <row r="299" spans="1:6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  <c r="F299" s="2">
        <v>0.03</v>
      </c>
    </row>
    <row r="300" spans="1:6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  <c r="F300" s="2">
        <v>0.01</v>
      </c>
    </row>
    <row r="301" spans="1:6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  <c r="F301" s="2">
        <v>3.5999999999999999E-7</v>
      </c>
    </row>
    <row r="302" spans="1:6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  <c r="F302" s="2">
        <v>2E-8</v>
      </c>
    </row>
    <row r="303" spans="1:6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  <c r="F303" s="2">
        <v>2.5700000000000001E-2</v>
      </c>
    </row>
    <row r="304" spans="1:6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  <c r="F304" s="2">
        <v>0.10199999999999999</v>
      </c>
    </row>
    <row r="305" spans="1:6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  <c r="F305" s="2">
        <v>0.18110000000000001</v>
      </c>
    </row>
    <row r="306" spans="1:6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  <c r="F306" s="2">
        <v>0.44</v>
      </c>
    </row>
    <row r="307" spans="1:6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  <c r="F307" s="2">
        <v>0.85960000000000003</v>
      </c>
    </row>
    <row r="308" spans="1:6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  <c r="F308" s="2">
        <v>9.4672799999999999E+28</v>
      </c>
    </row>
    <row r="309" spans="1:6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  <c r="F309" s="2">
        <v>3136825440000</v>
      </c>
    </row>
    <row r="310" spans="1:6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  <c r="F310" s="2" t="s">
        <v>3</v>
      </c>
    </row>
    <row r="311" spans="1:6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  <c r="F311" s="2" t="s">
        <v>3</v>
      </c>
    </row>
    <row r="312" spans="1:6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  <c r="F312" s="2" t="s">
        <v>3</v>
      </c>
    </row>
    <row r="313" spans="1:6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  <c r="F313" s="2">
        <v>14049504</v>
      </c>
    </row>
    <row r="314" spans="1:6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  <c r="F314" s="2">
        <v>8.8361279999999998E+22</v>
      </c>
    </row>
    <row r="315" spans="1:6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  <c r="F315" s="2">
        <v>391910.39999999898</v>
      </c>
    </row>
    <row r="316" spans="1:6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  <c r="F316" s="2">
        <v>1.8303407999999899E+30</v>
      </c>
    </row>
    <row r="317" spans="1:6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  <c r="F317" s="2">
        <v>523.08000000000004</v>
      </c>
    </row>
    <row r="318" spans="1:6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  <c r="F318" s="2">
        <v>13.9</v>
      </c>
    </row>
    <row r="319" spans="1:6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  <c r="F319" s="2">
        <v>10</v>
      </c>
    </row>
    <row r="320" spans="1:6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  <c r="F320" s="2">
        <v>4.5999999999999996</v>
      </c>
    </row>
    <row r="321" spans="1:6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  <c r="F321" s="2">
        <v>0.46100000000000002</v>
      </c>
    </row>
    <row r="322" spans="1:6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  <c r="F322" s="2">
        <v>0.107</v>
      </c>
    </row>
    <row r="323" spans="1:6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  <c r="F323" s="2">
        <v>2.1999999999999999E-2</v>
      </c>
    </row>
    <row r="324" spans="1:6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  <c r="F324" s="2">
        <v>1.0999999999999999E-2</v>
      </c>
    </row>
    <row r="325" spans="1:6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  <c r="F325" s="2">
        <v>6.1999999999999999E-7</v>
      </c>
    </row>
    <row r="326" spans="1:6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  <c r="F326" s="2">
        <v>6.1999999999999999E-7</v>
      </c>
    </row>
    <row r="327" spans="1:6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  <c r="F327" s="2">
        <v>0.18229999999999999</v>
      </c>
    </row>
    <row r="328" spans="1:6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  <c r="F328" s="2">
        <v>0.59629999999999905</v>
      </c>
    </row>
    <row r="329" spans="1:6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  <c r="F329" s="2">
        <v>0.68069999999999997</v>
      </c>
    </row>
    <row r="330" spans="1:6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  <c r="F330" s="2">
        <v>14007.6</v>
      </c>
    </row>
    <row r="331" spans="1:6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  <c r="F331" s="2">
        <v>14292</v>
      </c>
    </row>
    <row r="332" spans="1:6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  <c r="F332" s="2" t="s">
        <v>3</v>
      </c>
    </row>
    <row r="333" spans="1:6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  <c r="F333" s="2">
        <v>7239456</v>
      </c>
    </row>
    <row r="334" spans="1:6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  <c r="F334" s="2">
        <v>289370.88</v>
      </c>
    </row>
    <row r="335" spans="1:6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  <c r="F335" s="2">
        <v>157212</v>
      </c>
    </row>
    <row r="336" spans="1:6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  <c r="F336" s="2">
        <v>3430.8</v>
      </c>
    </row>
    <row r="337" spans="1:6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  <c r="F337" s="2">
        <v>102.5</v>
      </c>
    </row>
    <row r="338" spans="1:6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  <c r="F338" s="2">
        <v>12.4</v>
      </c>
    </row>
    <row r="339" spans="1:6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  <c r="F339" s="2">
        <v>0.2</v>
      </c>
    </row>
    <row r="340" spans="1:6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  <c r="F340" s="2">
        <v>2.4</v>
      </c>
    </row>
    <row r="341" spans="1:6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  <c r="F341" s="2">
        <v>0.52600000000000002</v>
      </c>
    </row>
    <row r="342" spans="1:6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  <c r="F342" s="2">
        <v>9.6000000000000002E-2</v>
      </c>
    </row>
    <row r="343" spans="1:6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  <c r="F343" s="2">
        <v>3.1E-2</v>
      </c>
    </row>
    <row r="344" spans="1:6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  <c r="F344" s="2">
        <v>2E-3</v>
      </c>
    </row>
    <row r="345" spans="1:6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  <c r="F345" s="2">
        <v>1.2E-2</v>
      </c>
    </row>
    <row r="346" spans="1:6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  <c r="F346" s="2">
        <v>3.5999999999999999E-7</v>
      </c>
    </row>
    <row r="347" spans="1:6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  <c r="F347" s="2">
        <v>3.5999999999999999E-7</v>
      </c>
    </row>
    <row r="348" spans="1:6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  <c r="F348" s="2">
        <v>3.5999999999999999E-7</v>
      </c>
    </row>
    <row r="349" spans="1:6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  <c r="F349" s="2">
        <v>3.1E-2</v>
      </c>
    </row>
    <row r="350" spans="1:6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  <c r="F350" s="2">
        <v>5.2400000000000002E-2</v>
      </c>
    </row>
    <row r="351" spans="1:6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  <c r="F351" s="2">
        <v>8.1900000000000001E-2</v>
      </c>
    </row>
    <row r="352" spans="1:6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  <c r="F352" s="2">
        <v>0.20865</v>
      </c>
    </row>
    <row r="353" spans="1:6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  <c r="F353" s="2">
        <v>0.50900000000000001</v>
      </c>
    </row>
    <row r="354" spans="1:6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  <c r="F354" s="2">
        <v>1893456000</v>
      </c>
    </row>
    <row r="355" spans="1:6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  <c r="F355" s="2">
        <v>11088</v>
      </c>
    </row>
    <row r="356" spans="1:6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  <c r="F356" s="2" t="s">
        <v>3</v>
      </c>
    </row>
    <row r="357" spans="1:6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  <c r="F357" s="2" t="s">
        <v>3</v>
      </c>
    </row>
    <row r="358" spans="1:6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  <c r="F358" s="2" t="s">
        <v>3</v>
      </c>
    </row>
    <row r="359" spans="1:6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  <c r="F359" s="2" t="s">
        <v>3</v>
      </c>
    </row>
    <row r="360" spans="1:6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  <c r="F360" s="2" t="s">
        <v>3</v>
      </c>
    </row>
    <row r="361" spans="1:6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  <c r="F361" s="2">
        <v>345.599999999999</v>
      </c>
    </row>
    <row r="362" spans="1:6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  <c r="F362" s="2">
        <v>102</v>
      </c>
    </row>
    <row r="363" spans="1:6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  <c r="F363" s="2">
        <v>32.700000000000003</v>
      </c>
    </row>
    <row r="364" spans="1:6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  <c r="F364" s="2">
        <v>2.1</v>
      </c>
    </row>
    <row r="365" spans="1:6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  <c r="F365" s="2">
        <v>1.3</v>
      </c>
    </row>
    <row r="366" spans="1:6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  <c r="F366" s="2">
        <v>0.2</v>
      </c>
    </row>
    <row r="367" spans="1:6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  <c r="F367" s="2">
        <v>9.8000000000000004E-2</v>
      </c>
    </row>
    <row r="368" spans="1:6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  <c r="F368" s="2">
        <v>5.8000000000000003E-2</v>
      </c>
    </row>
    <row r="369" spans="1:6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  <c r="F369" s="2">
        <v>2.8500000000000001E-2</v>
      </c>
    </row>
    <row r="370" spans="1:6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  <c r="F370" s="2">
        <v>2.2200000000000001E-2</v>
      </c>
    </row>
    <row r="371" spans="1:6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  <c r="F371" s="2">
        <v>1.4999999999999999E-2</v>
      </c>
    </row>
    <row r="372" spans="1:6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  <c r="F372" s="2">
        <v>6.1999999999999999E-7</v>
      </c>
    </row>
    <row r="373" spans="1:6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  <c r="F373" s="2">
        <v>3.5999999999999999E-7</v>
      </c>
    </row>
    <row r="374" spans="1:6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  <c r="F374" s="2">
        <v>7.9299999999999995E-2</v>
      </c>
    </row>
    <row r="375" spans="1:6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  <c r="F375" s="2">
        <v>0.111</v>
      </c>
    </row>
    <row r="376" spans="1:6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  <c r="F376" s="2">
        <v>0.54700000000000004</v>
      </c>
    </row>
    <row r="377" spans="1:6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  <c r="F377" s="2">
        <v>0.42249999999999999</v>
      </c>
    </row>
    <row r="378" spans="1:6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  <c r="F378" s="2">
        <v>1956</v>
      </c>
    </row>
    <row r="379" spans="1:6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  <c r="F379" s="2">
        <v>1380110.4</v>
      </c>
    </row>
    <row r="380" spans="1:6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  <c r="F380" s="2">
        <v>28512000</v>
      </c>
    </row>
    <row r="381" spans="1:6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  <c r="F381" s="2">
        <v>6.6270959999999998E+24</v>
      </c>
    </row>
    <row r="382" spans="1:6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  <c r="F382" s="2" t="s">
        <v>3</v>
      </c>
    </row>
    <row r="383" spans="1:6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  <c r="F383" s="2">
        <v>224.57999999999899</v>
      </c>
    </row>
    <row r="384" spans="1:6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  <c r="F384" s="2">
        <v>92.58</v>
      </c>
    </row>
    <row r="385" spans="1:6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  <c r="F385" s="2">
        <v>49.8</v>
      </c>
    </row>
    <row r="386" spans="1:6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  <c r="F386" s="2">
        <v>6.54</v>
      </c>
    </row>
    <row r="387" spans="1:6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  <c r="F387" s="2">
        <v>0.216</v>
      </c>
    </row>
    <row r="388" spans="1:6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  <c r="F388" s="2">
        <v>0.34699999999999998</v>
      </c>
    </row>
    <row r="389" spans="1:6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  <c r="F389" s="2">
        <v>0.19</v>
      </c>
    </row>
    <row r="390" spans="1:6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  <c r="F390" s="2">
        <v>9.1999999999999998E-2</v>
      </c>
    </row>
    <row r="391" spans="1:6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  <c r="F391" s="2">
        <v>0.04</v>
      </c>
    </row>
    <row r="392" spans="1:6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  <c r="F392" s="2">
        <v>4.8299999999999899E-2</v>
      </c>
    </row>
    <row r="393" spans="1:6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  <c r="F393" s="2">
        <v>3.3500000000000002E-2</v>
      </c>
    </row>
    <row r="394" spans="1:6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  <c r="F394" s="2">
        <v>1.9599999999999999E-2</v>
      </c>
    </row>
    <row r="395" spans="1:6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  <c r="F395" s="2">
        <v>1.4999999999999999E-2</v>
      </c>
    </row>
    <row r="396" spans="1:6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  <c r="F396" s="2">
        <v>3.5999999999999999E-7</v>
      </c>
    </row>
    <row r="397" spans="1:6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  <c r="F397" s="2">
        <v>3.5999999999999999E-7</v>
      </c>
    </row>
    <row r="398" spans="1:6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  <c r="F398" s="2">
        <v>1.3299999999999999E-2</v>
      </c>
    </row>
    <row r="399" spans="1:6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  <c r="F399" s="2">
        <v>2.12E-2</v>
      </c>
    </row>
    <row r="400" spans="1:6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  <c r="F400" s="2">
        <v>4.2799999999999998E-2</v>
      </c>
    </row>
    <row r="401" spans="1:6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  <c r="F401" s="2">
        <v>6.0900000000000003E-2</v>
      </c>
    </row>
    <row r="402" spans="1:6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  <c r="F402" s="2">
        <v>0.26</v>
      </c>
    </row>
    <row r="403" spans="1:6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  <c r="F403" s="2">
        <v>0.5</v>
      </c>
    </row>
    <row r="404" spans="1:6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  <c r="F404" s="2">
        <v>77616</v>
      </c>
    </row>
    <row r="405" spans="1:6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  <c r="F405" s="2">
        <v>2538</v>
      </c>
    </row>
    <row r="406" spans="1:6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  <c r="F406" s="2">
        <v>4.1024880000000004E+25</v>
      </c>
    </row>
    <row r="407" spans="1:6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  <c r="F407" s="2">
        <v>2393496</v>
      </c>
    </row>
    <row r="408" spans="1:6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  <c r="F408" s="2" t="s">
        <v>3</v>
      </c>
    </row>
    <row r="409" spans="1:6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  <c r="F409" s="2" t="s">
        <v>3</v>
      </c>
    </row>
    <row r="410" spans="1:6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  <c r="F410" s="2" t="s">
        <v>3</v>
      </c>
    </row>
    <row r="411" spans="1:6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  <c r="F411" s="2">
        <v>209.82</v>
      </c>
    </row>
    <row r="412" spans="1:6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  <c r="F412" s="2">
        <v>356.4</v>
      </c>
    </row>
    <row r="413" spans="1:6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  <c r="F413" s="2">
        <v>21.1</v>
      </c>
    </row>
    <row r="414" spans="1:6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  <c r="F414" s="2">
        <v>7</v>
      </c>
    </row>
    <row r="415" spans="1:6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  <c r="F415" s="2">
        <v>1.05</v>
      </c>
    </row>
    <row r="416" spans="1:6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  <c r="F416" s="2">
        <v>0.49199999999999999</v>
      </c>
    </row>
    <row r="417" spans="1:6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  <c r="F417" s="2">
        <v>0.23400000000000001</v>
      </c>
    </row>
    <row r="418" spans="1:6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  <c r="F418" s="2">
        <v>0.2</v>
      </c>
    </row>
    <row r="419" spans="1:6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  <c r="F419" s="2">
        <v>0.129</v>
      </c>
    </row>
    <row r="420" spans="1:6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  <c r="F420" s="2">
        <v>4.2900000000000001E-2</v>
      </c>
    </row>
    <row r="421" spans="1:6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  <c r="F421" s="2">
        <v>2.8000000000000001E-2</v>
      </c>
    </row>
    <row r="422" spans="1:6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  <c r="F422" s="2">
        <v>2.3E-2</v>
      </c>
    </row>
    <row r="423" spans="1:6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  <c r="F423" s="2">
        <v>5.9999999999999995E-8</v>
      </c>
    </row>
    <row r="424" spans="1:6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  <c r="F424" s="2">
        <v>3.6200000000000003E-2</v>
      </c>
    </row>
    <row r="425" spans="1:6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  <c r="F425" s="2">
        <v>8.7999999999999995E-2</v>
      </c>
    </row>
    <row r="426" spans="1:6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  <c r="F426" s="2">
        <v>0.15809999999999999</v>
      </c>
    </row>
    <row r="427" spans="1:6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  <c r="F427" s="2">
        <v>0.38200000000000001</v>
      </c>
    </row>
    <row r="428" spans="1:6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  <c r="F428" s="2">
        <v>0.28319</v>
      </c>
    </row>
    <row r="429" spans="1:6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  <c r="F429" s="2">
        <v>2772</v>
      </c>
    </row>
    <row r="430" spans="1:6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  <c r="F430" s="2">
        <v>483062.4</v>
      </c>
    </row>
    <row r="431" spans="1:6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  <c r="F431" s="2">
        <v>118025424000000</v>
      </c>
    </row>
    <row r="432" spans="1:6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  <c r="F432" s="2">
        <v>26974080</v>
      </c>
    </row>
    <row r="433" spans="1:6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  <c r="F433" s="2" t="s">
        <v>3</v>
      </c>
    </row>
    <row r="434" spans="1:6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  <c r="F434" s="2">
        <v>9284.03999999999</v>
      </c>
    </row>
    <row r="435" spans="1:6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  <c r="F435" s="2">
        <v>85.4</v>
      </c>
    </row>
    <row r="436" spans="1:6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  <c r="F436" s="2">
        <v>3</v>
      </c>
    </row>
    <row r="437" spans="1:6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  <c r="F437" s="2">
        <v>4.59</v>
      </c>
    </row>
    <row r="438" spans="1:6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  <c r="F438" s="2">
        <v>0.28000000000000003</v>
      </c>
    </row>
    <row r="439" spans="1:6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  <c r="F439" s="2">
        <v>0.70899999999999996</v>
      </c>
    </row>
    <row r="440" spans="1:6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  <c r="F440" s="2">
        <v>9.1999999999999998E-2</v>
      </c>
    </row>
    <row r="441" spans="1:6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  <c r="F441" s="2">
        <v>0.27600000000000002</v>
      </c>
    </row>
    <row r="442" spans="1:6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  <c r="F442" s="2">
        <v>0.09</v>
      </c>
    </row>
    <row r="443" spans="1:6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  <c r="F443" s="2">
        <v>9.1899999999999996E-2</v>
      </c>
    </row>
    <row r="444" spans="1:6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  <c r="F444" s="2">
        <v>6.5000000000000002E-2</v>
      </c>
    </row>
    <row r="445" spans="1:6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  <c r="F445" s="2">
        <v>4.7E-2</v>
      </c>
    </row>
    <row r="446" spans="1:6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  <c r="F446" s="2">
        <v>2.8000000000000001E-2</v>
      </c>
    </row>
    <row r="447" spans="1:6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  <c r="F447" s="2">
        <v>1.6E-2</v>
      </c>
    </row>
    <row r="448" spans="1:6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  <c r="F448" s="2">
        <v>3.5999999999999999E-7</v>
      </c>
    </row>
    <row r="449" spans="1:6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  <c r="F449" s="2">
        <v>6.37E-7</v>
      </c>
    </row>
    <row r="450" spans="1:6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  <c r="F450" s="2">
        <v>2.4499999999999999E-3</v>
      </c>
    </row>
    <row r="451" spans="1:6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  <c r="F451" s="2">
        <v>1.2999999999999999E-2</v>
      </c>
    </row>
    <row r="452" spans="1:6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  <c r="F452" s="2">
        <v>2.1899999999999999E-2</v>
      </c>
    </row>
    <row r="453" spans="1:6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  <c r="F453" s="2">
        <v>4.53E-2</v>
      </c>
    </row>
    <row r="454" spans="1:6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  <c r="F454" s="2">
        <v>6.4699999999999994E-2</v>
      </c>
    </row>
    <row r="455" spans="1:6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  <c r="F455" s="2">
        <v>0.155</v>
      </c>
    </row>
    <row r="456" spans="1:6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  <c r="F456" s="2">
        <v>0.30499999999999999</v>
      </c>
    </row>
    <row r="457" spans="1:6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  <c r="F457" s="2">
        <v>29790</v>
      </c>
    </row>
    <row r="458" spans="1:6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  <c r="F458" s="2">
        <v>510.599999999999</v>
      </c>
    </row>
    <row r="459" spans="1:6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  <c r="F459" s="2" t="s">
        <v>3</v>
      </c>
    </row>
    <row r="460" spans="1:6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  <c r="F460" s="2">
        <v>86594054.400000006</v>
      </c>
    </row>
    <row r="461" spans="1:6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  <c r="F461" s="2" t="s">
        <v>3</v>
      </c>
    </row>
    <row r="462" spans="1:6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  <c r="F462" s="2" t="s">
        <v>3</v>
      </c>
    </row>
    <row r="463" spans="1:6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  <c r="F463" s="2" t="s">
        <v>3</v>
      </c>
    </row>
    <row r="464" spans="1:6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  <c r="F464" s="2">
        <v>3844368</v>
      </c>
    </row>
    <row r="465" spans="1:6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  <c r="F465" s="2">
        <v>82680912000000</v>
      </c>
    </row>
    <row r="466" spans="1:6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  <c r="F466" s="2">
        <v>358.8</v>
      </c>
    </row>
    <row r="467" spans="1:6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  <c r="F467" s="2">
        <v>68</v>
      </c>
    </row>
    <row r="468" spans="1:6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  <c r="F468" s="2">
        <v>6.1</v>
      </c>
    </row>
    <row r="469" spans="1:6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  <c r="F469" s="2">
        <v>2</v>
      </c>
    </row>
    <row r="470" spans="1:6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  <c r="F470" s="2">
        <v>0.81</v>
      </c>
    </row>
    <row r="471" spans="1:6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  <c r="F471" s="2">
        <v>0.35099999999999998</v>
      </c>
    </row>
    <row r="472" spans="1:6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  <c r="F472" s="2">
        <v>0.39500000000000002</v>
      </c>
    </row>
    <row r="473" spans="1:6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  <c r="F473" s="2">
        <v>0.188</v>
      </c>
    </row>
    <row r="474" spans="1:6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  <c r="F474" s="2">
        <v>0.16200000000000001</v>
      </c>
    </row>
    <row r="475" spans="1:6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  <c r="F475" s="2">
        <v>6.3E-2</v>
      </c>
    </row>
    <row r="476" spans="1:6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  <c r="F476" s="2">
        <v>3.5000000000000003E-2</v>
      </c>
    </row>
    <row r="477" spans="1:6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  <c r="F477" s="2">
        <v>1.9E-2</v>
      </c>
    </row>
    <row r="478" spans="1:6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  <c r="F478" s="2">
        <v>6.3300000000000002E-7</v>
      </c>
    </row>
    <row r="479" spans="1:6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  <c r="F479" s="2">
        <v>6.3799999999999997E-7</v>
      </c>
    </row>
    <row r="480" spans="1:6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  <c r="F480" s="2">
        <v>3.8800000000000001E-2</v>
      </c>
    </row>
    <row r="481" spans="1:6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  <c r="F481" s="2">
        <v>1.9999999999999999E-7</v>
      </c>
    </row>
    <row r="482" spans="1:6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  <c r="F482" s="2">
        <v>0.104</v>
      </c>
    </row>
    <row r="483" spans="1:6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  <c r="F483" s="2">
        <v>0.24</v>
      </c>
    </row>
    <row r="484" spans="1:6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  <c r="F484" s="2">
        <v>0.193</v>
      </c>
    </row>
    <row r="485" spans="1:6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  <c r="F485" s="2">
        <v>63108</v>
      </c>
    </row>
    <row r="486" spans="1:6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  <c r="F486" s="2">
        <v>6673190.4000000004</v>
      </c>
    </row>
    <row r="487" spans="1:6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  <c r="F487" s="2">
        <v>23478336</v>
      </c>
    </row>
    <row r="488" spans="1:6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  <c r="F488" s="2">
        <v>6122304</v>
      </c>
    </row>
    <row r="489" spans="1:6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  <c r="F489" s="2" t="s">
        <v>3</v>
      </c>
    </row>
    <row r="490" spans="1:6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  <c r="F490" s="2">
        <v>166344192</v>
      </c>
    </row>
    <row r="491" spans="1:6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  <c r="F491" s="2">
        <v>5936.4</v>
      </c>
    </row>
    <row r="492" spans="1:6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  <c r="F492" s="2">
        <v>90</v>
      </c>
    </row>
    <row r="493" spans="1:6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  <c r="F493" s="2">
        <v>27.4</v>
      </c>
    </row>
    <row r="494" spans="1:6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  <c r="F494" s="2">
        <v>0.3</v>
      </c>
    </row>
    <row r="495" spans="1:6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  <c r="F495" s="2">
        <v>1.1599999999999999</v>
      </c>
    </row>
    <row r="496" spans="1:6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  <c r="F496" s="2">
        <v>0.20899999999999999</v>
      </c>
    </row>
    <row r="497" spans="1:6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  <c r="F497" s="2">
        <v>0.32900000000000001</v>
      </c>
    </row>
    <row r="498" spans="1:6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  <c r="F498" s="2">
        <v>9.9000000000000005E-2</v>
      </c>
    </row>
    <row r="499" spans="1:6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  <c r="F499" s="2">
        <v>0.18</v>
      </c>
    </row>
    <row r="500" spans="1:6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  <c r="F500" s="2">
        <v>1.4E-2</v>
      </c>
    </row>
    <row r="501" spans="1:6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  <c r="F501" s="2">
        <v>0.08</v>
      </c>
    </row>
    <row r="502" spans="1:6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  <c r="F502" s="2">
        <v>5.7299999999999997E-2</v>
      </c>
    </row>
    <row r="503" spans="1:6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  <c r="F503" s="2">
        <v>4.0500000000000001E-2</v>
      </c>
    </row>
    <row r="504" spans="1:6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  <c r="F504" s="2">
        <v>3.1399999999999997E-2</v>
      </c>
    </row>
    <row r="505" spans="1:6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  <c r="F505" s="2">
        <v>2.6499999999999999E-2</v>
      </c>
    </row>
    <row r="506" spans="1:6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  <c r="F506" s="2">
        <v>2.1700000000000001E-2</v>
      </c>
    </row>
    <row r="507" spans="1:6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  <c r="F507" s="2">
        <v>1.2999999999999999E-2</v>
      </c>
    </row>
    <row r="508" spans="1:6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  <c r="F508" s="2">
        <v>2.0999999999999999E-3</v>
      </c>
    </row>
    <row r="509" spans="1:6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  <c r="F509" s="2">
        <v>7.4999999999999997E-3</v>
      </c>
    </row>
    <row r="510" spans="1:6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  <c r="F510" s="2">
        <v>1.8499999999999999E-2</v>
      </c>
    </row>
    <row r="511" spans="1:6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  <c r="F511" s="2">
        <v>2.3800000000000002E-2</v>
      </c>
    </row>
    <row r="512" spans="1:6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  <c r="F512" s="2">
        <v>4.0799999999999899E-2</v>
      </c>
    </row>
    <row r="513" spans="1:6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  <c r="F513" s="2">
        <v>5.5199999999999999E-2</v>
      </c>
    </row>
    <row r="514" spans="1:6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  <c r="F514" s="2">
        <v>0.1142</v>
      </c>
    </row>
    <row r="515" spans="1:6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  <c r="F515" s="2">
        <v>0.20469999999999999</v>
      </c>
    </row>
    <row r="516" spans="1:6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  <c r="F516" s="2">
        <v>524880</v>
      </c>
    </row>
    <row r="517" spans="1:6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  <c r="F517" s="2">
        <v>128160</v>
      </c>
    </row>
    <row r="518" spans="1:6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  <c r="F518" s="2" t="s">
        <v>3</v>
      </c>
    </row>
    <row r="519" spans="1:6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  <c r="F519" s="2">
        <v>2398377600000</v>
      </c>
    </row>
    <row r="520" spans="1:6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  <c r="F520" s="2" t="s">
        <v>3</v>
      </c>
    </row>
    <row r="521" spans="1:6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  <c r="F521" s="2" t="s">
        <v>3</v>
      </c>
    </row>
    <row r="522" spans="1:6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  <c r="F522" s="2" t="s">
        <v>3</v>
      </c>
    </row>
    <row r="523" spans="1:6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  <c r="F523" s="2">
        <v>3193629120</v>
      </c>
    </row>
    <row r="524" spans="1:6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  <c r="F524" s="2" t="s">
        <v>3</v>
      </c>
    </row>
    <row r="525" spans="1:6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  <c r="F525" s="2">
        <v>9063</v>
      </c>
    </row>
    <row r="526" spans="1:6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  <c r="F526" s="2">
        <v>196560</v>
      </c>
    </row>
    <row r="527" spans="1:6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  <c r="F527" s="2">
        <v>21</v>
      </c>
    </row>
    <row r="528" spans="1:6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  <c r="F528" s="2">
        <v>29</v>
      </c>
    </row>
    <row r="529" spans="1:6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  <c r="F529" s="2">
        <v>11.4</v>
      </c>
    </row>
    <row r="530" spans="1:6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  <c r="F530" s="2">
        <v>6</v>
      </c>
    </row>
    <row r="531" spans="1:6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  <c r="F531" s="2">
        <v>2.56</v>
      </c>
    </row>
    <row r="532" spans="1:6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  <c r="F532" s="2">
        <v>1.587</v>
      </c>
    </row>
    <row r="533" spans="1:6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  <c r="F533" s="2">
        <v>0.84199999999999997</v>
      </c>
    </row>
    <row r="534" spans="1:6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  <c r="F534" s="2">
        <v>0.50770000000000004</v>
      </c>
    </row>
    <row r="535" spans="1:6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  <c r="F535" s="2">
        <v>0.33179999999999998</v>
      </c>
    </row>
    <row r="536" spans="1:6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  <c r="F536" s="2">
        <v>0.23469999999999999</v>
      </c>
    </row>
    <row r="537" spans="1:6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  <c r="F537" s="2">
        <v>0.15840000000000001</v>
      </c>
    </row>
    <row r="538" spans="1:6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  <c r="F538" s="2">
        <v>0.1222</v>
      </c>
    </row>
    <row r="539" spans="1:6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  <c r="F539" s="2">
        <v>4.2999999999999997E-2</v>
      </c>
    </row>
    <row r="540" spans="1:6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  <c r="F540" s="2">
        <v>2.4E-2</v>
      </c>
    </row>
    <row r="541" spans="1:6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  <c r="F541" s="2">
        <v>2.7E-2</v>
      </c>
    </row>
    <row r="542" spans="1:6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  <c r="F542" s="2">
        <v>9.2999999999999999E-2</v>
      </c>
    </row>
    <row r="543" spans="1:6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  <c r="F543" s="2">
        <v>0.1963</v>
      </c>
    </row>
    <row r="544" spans="1:6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  <c r="F544" s="2">
        <v>3.2040000000000002</v>
      </c>
    </row>
    <row r="545" spans="1:6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  <c r="F545" s="2">
        <v>81.5</v>
      </c>
    </row>
    <row r="546" spans="1:6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  <c r="F546" s="2">
        <v>1422</v>
      </c>
    </row>
    <row r="547" spans="1:6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  <c r="F547" s="2">
        <v>12020.4</v>
      </c>
    </row>
    <row r="548" spans="1:6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  <c r="F548" s="2">
        <v>580.38</v>
      </c>
    </row>
    <row r="549" spans="1:6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  <c r="F549" s="2" t="s">
        <v>3</v>
      </c>
    </row>
    <row r="550" spans="1:6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  <c r="F550" s="2">
        <v>45723.6</v>
      </c>
    </row>
    <row r="551" spans="1:6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  <c r="F551" s="2" t="s">
        <v>3</v>
      </c>
    </row>
    <row r="552" spans="1:6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  <c r="F552" s="2">
        <v>307.2</v>
      </c>
    </row>
    <row r="553" spans="1:6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  <c r="F553" s="2">
        <v>222588</v>
      </c>
    </row>
    <row r="554" spans="1:6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  <c r="F554" s="2">
        <v>30.9</v>
      </c>
    </row>
    <row r="555" spans="1:6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  <c r="F555" s="2">
        <v>171</v>
      </c>
    </row>
    <row r="556" spans="1:6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  <c r="F556" s="2">
        <v>44.5</v>
      </c>
    </row>
    <row r="557" spans="1:6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  <c r="F557" s="2">
        <v>19.399999999999999</v>
      </c>
    </row>
    <row r="558" spans="1:6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  <c r="F558" s="2">
        <v>6.63</v>
      </c>
    </row>
    <row r="559" spans="1:6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  <c r="F559" s="2">
        <v>4.2</v>
      </c>
    </row>
    <row r="560" spans="1:6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  <c r="F560" s="2">
        <v>1.5940000000000001</v>
      </c>
    </row>
    <row r="561" spans="1:6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  <c r="F561" s="2">
        <v>1.224</v>
      </c>
    </row>
    <row r="562" spans="1:6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  <c r="F562" s="2">
        <v>0.63800000000000001</v>
      </c>
    </row>
    <row r="563" spans="1:6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  <c r="F563" s="2">
        <v>0.46810000000000002</v>
      </c>
    </row>
    <row r="564" spans="1:6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  <c r="F564" s="2">
        <v>0.33500000000000002</v>
      </c>
    </row>
    <row r="565" spans="1:6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  <c r="F565" s="2">
        <v>0.24099999999999999</v>
      </c>
    </row>
    <row r="566" spans="1:6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  <c r="F566" s="2">
        <v>0.17</v>
      </c>
    </row>
    <row r="567" spans="1:6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  <c r="F567" s="2">
        <v>6.3200000000000005E-7</v>
      </c>
    </row>
    <row r="568" spans="1:6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  <c r="F568" s="2">
        <v>6.3600000000000003E-7</v>
      </c>
    </row>
    <row r="569" spans="1:6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  <c r="F569" s="2">
        <v>1.5900000000000001E-3</v>
      </c>
    </row>
    <row r="570" spans="1:6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  <c r="F570" s="2">
        <v>1.9800000000000002E-2</v>
      </c>
    </row>
    <row r="571" spans="1:6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  <c r="F571" s="2">
        <v>0.03</v>
      </c>
    </row>
    <row r="572" spans="1:6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  <c r="F572" s="2">
        <v>3.7999999999999999E-2</v>
      </c>
    </row>
    <row r="573" spans="1:6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  <c r="F573" s="2">
        <v>8.5999999999999993E-2</v>
      </c>
    </row>
    <row r="574" spans="1:6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  <c r="F574" s="2">
        <v>0.182</v>
      </c>
    </row>
    <row r="575" spans="1:6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  <c r="F575" s="2">
        <v>142.79999999999899</v>
      </c>
    </row>
    <row r="576" spans="1:6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  <c r="F576" s="2">
        <v>89.1</v>
      </c>
    </row>
    <row r="577" spans="1:6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  <c r="F577" s="2">
        <v>33069.599999999999</v>
      </c>
    </row>
    <row r="578" spans="1:6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  <c r="F578" s="2">
        <v>2308.1999999999998</v>
      </c>
    </row>
    <row r="579" spans="1:6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  <c r="F579" s="2">
        <v>2.209032E+28</v>
      </c>
    </row>
    <row r="580" spans="1:6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  <c r="F580" s="2">
        <v>21075552</v>
      </c>
    </row>
    <row r="581" spans="1:6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  <c r="F581" s="2" t="s">
        <v>3</v>
      </c>
    </row>
    <row r="582" spans="1:6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  <c r="F582" s="2" t="s">
        <v>3</v>
      </c>
    </row>
    <row r="583" spans="1:6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  <c r="F583" s="2" t="s">
        <v>3</v>
      </c>
    </row>
    <row r="584" spans="1:6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  <c r="F584" s="2">
        <v>3384</v>
      </c>
    </row>
    <row r="585" spans="1:6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  <c r="F585" s="2">
        <v>7.2582480000000003E+24</v>
      </c>
    </row>
    <row r="586" spans="1:6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  <c r="F586" s="2">
        <v>147</v>
      </c>
    </row>
    <row r="587" spans="1:6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  <c r="F587" s="2">
        <v>167400</v>
      </c>
    </row>
    <row r="588" spans="1:6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  <c r="F588" s="2">
        <v>23.5</v>
      </c>
    </row>
    <row r="589" spans="1:6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  <c r="F589" s="2">
        <v>95.6</v>
      </c>
    </row>
    <row r="590" spans="1:6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  <c r="F590" s="2">
        <v>10.199999999999999</v>
      </c>
    </row>
    <row r="591" spans="1:6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  <c r="F591" s="2">
        <v>5.7</v>
      </c>
    </row>
    <row r="592" spans="1:6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  <c r="F592" s="2">
        <v>2.08</v>
      </c>
    </row>
    <row r="593" spans="1:6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  <c r="F593" s="2">
        <v>1.47</v>
      </c>
    </row>
    <row r="594" spans="1:6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  <c r="F594" s="2">
        <v>0.746</v>
      </c>
    </row>
    <row r="595" spans="1:6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  <c r="F595" s="2">
        <v>0.56189999999999996</v>
      </c>
    </row>
    <row r="596" spans="1:6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  <c r="F596" s="2">
        <v>0.30349999999999999</v>
      </c>
    </row>
    <row r="597" spans="1:6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  <c r="F597" s="2">
        <v>0.22800000000000001</v>
      </c>
    </row>
    <row r="598" spans="1:6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  <c r="F598" s="2">
        <v>0.11700000000000001</v>
      </c>
    </row>
    <row r="599" spans="1:6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  <c r="F599" s="2">
        <v>6.3300000000000002E-7</v>
      </c>
    </row>
    <row r="600" spans="1:6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  <c r="F600" s="2">
        <v>6.37E-7</v>
      </c>
    </row>
    <row r="601" spans="1:6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  <c r="F601" s="2">
        <v>7.0000000000000007E-2</v>
      </c>
    </row>
    <row r="602" spans="1:6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  <c r="F602" s="2">
        <v>0.16700000000000001</v>
      </c>
    </row>
    <row r="603" spans="1:6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  <c r="F603" s="2">
        <v>0.116121</v>
      </c>
    </row>
    <row r="604" spans="1:6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  <c r="F604" s="2">
        <v>32.4</v>
      </c>
    </row>
    <row r="605" spans="1:6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  <c r="F605" s="2">
        <v>157.61999999999901</v>
      </c>
    </row>
    <row r="606" spans="1:6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  <c r="F606" s="2">
        <v>912</v>
      </c>
    </row>
    <row r="607" spans="1:6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  <c r="F607" s="2">
        <v>34164</v>
      </c>
    </row>
    <row r="608" spans="1:6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  <c r="F608" s="2">
        <v>281810.88</v>
      </c>
    </row>
    <row r="609" spans="1:6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  <c r="F609" s="2">
        <v>4062.5999999999899</v>
      </c>
    </row>
    <row r="610" spans="1:6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  <c r="F610" s="2" t="s">
        <v>3</v>
      </c>
    </row>
    <row r="611" spans="1:6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  <c r="F611" s="2">
        <v>1268.4000000000001</v>
      </c>
    </row>
    <row r="612" spans="1:6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  <c r="F612" s="2" t="s">
        <v>3</v>
      </c>
    </row>
    <row r="613" spans="1:6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  <c r="F613" s="2">
        <v>50760</v>
      </c>
    </row>
    <row r="614" spans="1:6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  <c r="F614" s="2">
        <v>17496</v>
      </c>
    </row>
    <row r="615" spans="1:6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  <c r="F615" s="2">
        <v>487.19999999999902</v>
      </c>
    </row>
    <row r="616" spans="1:6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  <c r="F616" s="2">
        <v>126</v>
      </c>
    </row>
    <row r="617" spans="1:6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  <c r="F617" s="2">
        <v>32.6</v>
      </c>
    </row>
    <row r="618" spans="1:6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  <c r="F618" s="2">
        <v>13.2</v>
      </c>
    </row>
    <row r="619" spans="1:6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  <c r="F619" s="2">
        <v>5.09</v>
      </c>
    </row>
    <row r="620" spans="1:6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  <c r="F620" s="2">
        <v>2.847</v>
      </c>
    </row>
    <row r="621" spans="1:6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  <c r="F621" s="2">
        <v>1.9</v>
      </c>
    </row>
    <row r="622" spans="1:6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  <c r="F622" s="2">
        <v>1.2170000000000001</v>
      </c>
    </row>
    <row r="623" spans="1:6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  <c r="F623" s="2">
        <v>0.59899999999999998</v>
      </c>
    </row>
    <row r="624" spans="1:6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  <c r="F624" s="2">
        <v>0.30809999999999998</v>
      </c>
    </row>
    <row r="625" spans="1:6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  <c r="F625" s="2">
        <v>8.5000000000000006E-2</v>
      </c>
    </row>
    <row r="626" spans="1:6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  <c r="F626" s="2">
        <v>9.1999999999999998E-2</v>
      </c>
    </row>
    <row r="627" spans="1:6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  <c r="F627" s="2">
        <v>4.2999999999999997E-2</v>
      </c>
    </row>
    <row r="628" spans="1:6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  <c r="F628" s="2">
        <v>6.3399999999999999E-7</v>
      </c>
    </row>
    <row r="629" spans="1:6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  <c r="F629" s="2">
        <v>3.5999999999999999E-7</v>
      </c>
    </row>
    <row r="630" spans="1:6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  <c r="F630" s="2">
        <v>1.1000000000000001E-7</v>
      </c>
    </row>
    <row r="631" spans="1:6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  <c r="F631" s="2">
        <v>4.3999999999999997E-2</v>
      </c>
    </row>
    <row r="632" spans="1:6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  <c r="F632" s="2">
        <v>0.129</v>
      </c>
    </row>
    <row r="633" spans="1:6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  <c r="F633" s="2">
        <v>0.15</v>
      </c>
    </row>
    <row r="634" spans="1:6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  <c r="F634" s="2">
        <v>63.7</v>
      </c>
    </row>
    <row r="635" spans="1:6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  <c r="F635" s="2">
        <v>30.9</v>
      </c>
    </row>
    <row r="636" spans="1:6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  <c r="F636" s="2">
        <v>8135.99999999999</v>
      </c>
    </row>
    <row r="637" spans="1:6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  <c r="F637" s="2">
        <v>1134</v>
      </c>
    </row>
    <row r="638" spans="1:6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  <c r="F638" s="2">
        <v>23408352</v>
      </c>
    </row>
    <row r="639" spans="1:6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  <c r="F639" s="2">
        <v>140580</v>
      </c>
    </row>
    <row r="640" spans="1:6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  <c r="F640" s="2" t="s">
        <v>3</v>
      </c>
    </row>
    <row r="641" spans="1:6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  <c r="F641" s="2">
        <v>987552</v>
      </c>
    </row>
    <row r="642" spans="1:6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  <c r="F642" s="2" t="s">
        <v>3</v>
      </c>
    </row>
    <row r="643" spans="1:6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  <c r="F643" s="2" t="s">
        <v>3</v>
      </c>
    </row>
    <row r="644" spans="1:6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  <c r="F644" s="2" t="s">
        <v>3</v>
      </c>
    </row>
    <row r="645" spans="1:6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  <c r="F645" s="2">
        <v>4966.8</v>
      </c>
    </row>
    <row r="646" spans="1:6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  <c r="F646" s="2" t="s">
        <v>3</v>
      </c>
    </row>
    <row r="647" spans="1:6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  <c r="F647" s="2">
        <v>40680</v>
      </c>
    </row>
    <row r="648" spans="1:6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  <c r="F648" s="2">
        <v>5280</v>
      </c>
    </row>
    <row r="649" spans="1:6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  <c r="F649" s="2">
        <v>18.98</v>
      </c>
    </row>
    <row r="650" spans="1:6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  <c r="F650" s="2">
        <v>29.5</v>
      </c>
    </row>
    <row r="651" spans="1:6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  <c r="F651" s="2">
        <v>7.6</v>
      </c>
    </row>
    <row r="652" spans="1:6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  <c r="F652" s="2">
        <v>4.5599999999999996</v>
      </c>
    </row>
    <row r="653" spans="1:6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  <c r="F653" s="2">
        <v>1.85</v>
      </c>
    </row>
    <row r="654" spans="1:6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  <c r="F654" s="2">
        <v>0.95399999999999996</v>
      </c>
    </row>
    <row r="655" spans="1:6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  <c r="F655" s="2">
        <v>0.503</v>
      </c>
    </row>
    <row r="656" spans="1:6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  <c r="F656" s="2">
        <v>0.22600000000000001</v>
      </c>
    </row>
    <row r="657" spans="1:6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  <c r="F657" s="2">
        <v>0.14000000000000001</v>
      </c>
    </row>
    <row r="658" spans="1:6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  <c r="F658" s="2">
        <v>2.9999999999999999E-7</v>
      </c>
    </row>
    <row r="659" spans="1:6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  <c r="F659" s="2">
        <v>2.9999999999999999E-7</v>
      </c>
    </row>
    <row r="660" spans="1:6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  <c r="F660" s="2">
        <v>6.3499999999999996E-7</v>
      </c>
    </row>
    <row r="661" spans="1:6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  <c r="F661" s="2">
        <v>1.7999999999999999E-2</v>
      </c>
    </row>
    <row r="662" spans="1:6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  <c r="F662" s="2">
        <v>0.128</v>
      </c>
    </row>
    <row r="663" spans="1:6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  <c r="F663" s="2">
        <v>9.5769999999999994E-2</v>
      </c>
    </row>
    <row r="664" spans="1:6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  <c r="F664" s="2">
        <v>42.5</v>
      </c>
    </row>
    <row r="665" spans="1:6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  <c r="F665" s="2">
        <v>151.6</v>
      </c>
    </row>
    <row r="666" spans="1:6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  <c r="F666" s="2">
        <v>912</v>
      </c>
    </row>
    <row r="667" spans="1:6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  <c r="F667" s="2">
        <v>3156</v>
      </c>
    </row>
    <row r="668" spans="1:6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  <c r="F668" s="2">
        <v>235080</v>
      </c>
    </row>
    <row r="669" spans="1:6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  <c r="F669" s="2">
        <v>93600</v>
      </c>
    </row>
    <row r="670" spans="1:6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  <c r="F670" s="2">
        <v>6937920</v>
      </c>
    </row>
    <row r="671" spans="1:6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  <c r="F671" s="2">
        <v>1535328</v>
      </c>
    </row>
    <row r="672" spans="1:6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  <c r="F672" s="2" t="s">
        <v>3</v>
      </c>
    </row>
    <row r="673" spans="1:6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  <c r="F673" s="2">
        <v>94538.880000000005</v>
      </c>
    </row>
    <row r="674" spans="1:6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  <c r="F674" s="2">
        <v>139788</v>
      </c>
    </row>
    <row r="675" spans="1:6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  <c r="F675" s="2">
        <v>5442</v>
      </c>
    </row>
    <row r="676" spans="1:6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  <c r="F676" s="2">
        <v>540.6</v>
      </c>
    </row>
    <row r="677" spans="1:6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  <c r="F677" s="2">
        <v>15.2</v>
      </c>
    </row>
    <row r="678" spans="1:6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  <c r="F678" s="2">
        <v>33.299999999999997</v>
      </c>
    </row>
    <row r="679" spans="1:6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  <c r="F679" s="2">
        <v>19.100000000000001</v>
      </c>
    </row>
    <row r="680" spans="1:6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  <c r="F680" s="2">
        <v>13.4</v>
      </c>
    </row>
    <row r="681" spans="1:6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  <c r="F681" s="2">
        <v>4.0199999999999996</v>
      </c>
    </row>
    <row r="682" spans="1:6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  <c r="F682" s="2">
        <v>2.0209999999999999</v>
      </c>
    </row>
    <row r="683" spans="1:6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  <c r="F683" s="2">
        <v>0.94499999999999995</v>
      </c>
    </row>
    <row r="684" spans="1:6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  <c r="F684" s="2">
        <v>0.48399999999999999</v>
      </c>
    </row>
    <row r="685" spans="1:6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  <c r="F685" s="2">
        <v>0.2</v>
      </c>
    </row>
    <row r="686" spans="1:6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  <c r="F686" s="2">
        <v>2.9999999999999999E-7</v>
      </c>
    </row>
    <row r="687" spans="1:6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  <c r="F687" s="2">
        <v>2.9999999999999999E-7</v>
      </c>
    </row>
    <row r="688" spans="1:6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  <c r="F688" s="2">
        <v>1.4999999999999999E-7</v>
      </c>
    </row>
    <row r="689" spans="1:6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  <c r="F689" s="2">
        <v>1.8E-7</v>
      </c>
    </row>
    <row r="690" spans="1:6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  <c r="F690" s="2">
        <v>3.3000000000000002E-2</v>
      </c>
    </row>
    <row r="691" spans="1:6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  <c r="F691" s="2">
        <v>4.2000000000000003E-2</v>
      </c>
    </row>
    <row r="692" spans="1:6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  <c r="F692" s="2">
        <v>0.13600000000000001</v>
      </c>
    </row>
    <row r="693" spans="1:6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  <c r="F693" s="2">
        <v>35.5</v>
      </c>
    </row>
    <row r="694" spans="1:6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  <c r="F694" s="2">
        <v>27.4</v>
      </c>
    </row>
    <row r="695" spans="1:6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  <c r="F695" s="2">
        <v>2466</v>
      </c>
    </row>
    <row r="696" spans="1:6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  <c r="F696" s="2">
        <v>284.39999999999998</v>
      </c>
    </row>
    <row r="697" spans="1:6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  <c r="F697" s="2">
        <v>725760</v>
      </c>
    </row>
    <row r="698" spans="1:6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  <c r="F698" s="2">
        <v>25740</v>
      </c>
    </row>
    <row r="699" spans="1:6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  <c r="F699" s="2" t="s">
        <v>3</v>
      </c>
    </row>
    <row r="700" spans="1:6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  <c r="F700" s="2">
        <v>10348992</v>
      </c>
    </row>
    <row r="701" spans="1:6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  <c r="F701" s="2" t="s">
        <v>3</v>
      </c>
    </row>
    <row r="702" spans="1:6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  <c r="F702" s="2" t="s">
        <v>3</v>
      </c>
    </row>
    <row r="703" spans="1:6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  <c r="F703" s="2" t="s">
        <v>3</v>
      </c>
    </row>
    <row r="704" spans="1:6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  <c r="F704" s="2">
        <v>10287777600000</v>
      </c>
    </row>
    <row r="705" spans="1:6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  <c r="F705" s="2" t="s">
        <v>3</v>
      </c>
    </row>
    <row r="706" spans="1:6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  <c r="F706" s="2">
        <v>1107</v>
      </c>
    </row>
    <row r="707" spans="1:6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  <c r="F707" s="2" t="s">
        <v>3</v>
      </c>
    </row>
    <row r="708" spans="1:6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  <c r="F708" s="2">
        <v>1335</v>
      </c>
    </row>
    <row r="709" spans="1:6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  <c r="F709" s="2">
        <v>195.6</v>
      </c>
    </row>
    <row r="710" spans="1:6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  <c r="F710" s="2">
        <v>32.9</v>
      </c>
    </row>
    <row r="711" spans="1:6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  <c r="F711" s="2">
        <v>14.3</v>
      </c>
    </row>
    <row r="712" spans="1:6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  <c r="F712" s="2">
        <v>5.5</v>
      </c>
    </row>
    <row r="713" spans="1:6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  <c r="F713" s="2">
        <v>1.53</v>
      </c>
    </row>
    <row r="714" spans="1:6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  <c r="F714" s="2">
        <v>0.43</v>
      </c>
    </row>
    <row r="715" spans="1:6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  <c r="F715" s="2">
        <v>0.19500000000000001</v>
      </c>
    </row>
    <row r="716" spans="1:6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  <c r="F716" s="2">
        <v>0.27</v>
      </c>
    </row>
    <row r="717" spans="1:6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  <c r="F717" s="2">
        <v>1.4999999999999999E-7</v>
      </c>
    </row>
    <row r="718" spans="1:6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  <c r="F718" s="2">
        <v>3.9200000000000002E-7</v>
      </c>
    </row>
    <row r="719" spans="1:6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  <c r="F719" s="2">
        <v>7.9099999999999906E-2</v>
      </c>
    </row>
    <row r="720" spans="1:6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  <c r="F720" s="2">
        <v>21.4</v>
      </c>
    </row>
    <row r="721" spans="1:6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  <c r="F721" s="2">
        <v>78.599999999999994</v>
      </c>
    </row>
    <row r="722" spans="1:6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  <c r="F722" s="2">
        <v>204</v>
      </c>
    </row>
    <row r="723" spans="1:6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  <c r="F723" s="2">
        <v>1524</v>
      </c>
    </row>
    <row r="724" spans="1:6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  <c r="F724" s="2">
        <v>5802</v>
      </c>
    </row>
    <row r="725" spans="1:6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  <c r="F725" s="2">
        <v>58320</v>
      </c>
    </row>
    <row r="726" spans="1:6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  <c r="F726" s="2">
        <v>205329.6</v>
      </c>
    </row>
    <row r="727" spans="1:6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  <c r="F727" s="2">
        <v>387</v>
      </c>
    </row>
    <row r="728" spans="1:6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  <c r="F728" s="2" t="s">
        <v>3</v>
      </c>
    </row>
    <row r="729" spans="1:6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  <c r="F729" s="2">
        <v>1060.8</v>
      </c>
    </row>
    <row r="730" spans="1:6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  <c r="F730" s="2" t="s">
        <v>3</v>
      </c>
    </row>
    <row r="731" spans="1:6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  <c r="F731" s="2">
        <v>127015.19999999899</v>
      </c>
    </row>
    <row r="732" spans="1:6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  <c r="F732" s="2">
        <v>8546.4</v>
      </c>
    </row>
    <row r="733" spans="1:6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  <c r="F733" s="2">
        <v>1905.6</v>
      </c>
    </row>
    <row r="734" spans="1:6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  <c r="F734" s="2">
        <v>174</v>
      </c>
    </row>
    <row r="735" spans="1:6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  <c r="F735" s="2">
        <v>55.1</v>
      </c>
    </row>
    <row r="736" spans="1:6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  <c r="F736" s="2">
        <v>55.65</v>
      </c>
    </row>
    <row r="737" spans="1:6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  <c r="F737" s="2">
        <v>16.34</v>
      </c>
    </row>
    <row r="738" spans="1:6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  <c r="F738" s="2">
        <v>4.3570000000000002</v>
      </c>
    </row>
    <row r="739" spans="1:6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  <c r="F739" s="2">
        <v>1.92</v>
      </c>
    </row>
    <row r="740" spans="1:6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  <c r="F740" s="2">
        <v>0.54300000000000004</v>
      </c>
    </row>
    <row r="741" spans="1:6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  <c r="F741" s="2">
        <v>0.314</v>
      </c>
    </row>
    <row r="742" spans="1:6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  <c r="F742" s="2">
        <v>0.10199999999999999</v>
      </c>
    </row>
    <row r="743" spans="1:6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  <c r="F743" s="2">
        <v>7.0000000000000007E-2</v>
      </c>
    </row>
    <row r="744" spans="1:6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  <c r="F744" s="2">
        <v>1.4999999999999999E-7</v>
      </c>
    </row>
    <row r="745" spans="1:6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  <c r="F745" s="2">
        <v>1.4999999999999999E-7</v>
      </c>
    </row>
    <row r="746" spans="1:6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  <c r="F746" s="2">
        <v>2.9999999999999999E-7</v>
      </c>
    </row>
    <row r="747" spans="1:6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  <c r="F747" s="2">
        <v>6.3399999999999999E-7</v>
      </c>
    </row>
    <row r="748" spans="1:6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  <c r="F748" s="2">
        <v>2.8000000000000001E-2</v>
      </c>
    </row>
    <row r="749" spans="1:6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  <c r="F749" s="2">
        <v>0.04</v>
      </c>
    </row>
    <row r="750" spans="1:6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  <c r="F750" s="2">
        <v>0.1</v>
      </c>
    </row>
    <row r="751" spans="1:6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  <c r="F751" s="2">
        <v>17.100000000000001</v>
      </c>
    </row>
    <row r="752" spans="1:6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  <c r="F752" s="2">
        <v>27.3</v>
      </c>
    </row>
    <row r="753" spans="1:6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  <c r="F753" s="2">
        <v>690</v>
      </c>
    </row>
    <row r="754" spans="1:6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  <c r="F754" s="2">
        <v>276</v>
      </c>
    </row>
    <row r="755" spans="1:6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  <c r="F755" s="2">
        <v>53280</v>
      </c>
    </row>
    <row r="756" spans="1:6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  <c r="F756" s="2">
        <v>4464</v>
      </c>
    </row>
    <row r="757" spans="1:6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  <c r="F757" s="2">
        <v>4.73364E+28</v>
      </c>
    </row>
    <row r="758" spans="1:6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  <c r="F758" s="2">
        <v>126144</v>
      </c>
    </row>
    <row r="759" spans="1:6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  <c r="F759" s="2" t="s">
        <v>3</v>
      </c>
    </row>
    <row r="760" spans="1:6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  <c r="F760" s="2">
        <v>7226690400000</v>
      </c>
    </row>
    <row r="761" spans="1:6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  <c r="F761" s="2" t="s">
        <v>3</v>
      </c>
    </row>
    <row r="762" spans="1:6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  <c r="F762" s="2" t="s">
        <v>3</v>
      </c>
    </row>
    <row r="763" spans="1:6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  <c r="F763" s="2" t="s">
        <v>3</v>
      </c>
    </row>
    <row r="764" spans="1:6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  <c r="F764" s="2">
        <v>338897066.39999998</v>
      </c>
    </row>
    <row r="765" spans="1:6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  <c r="F765" s="2" t="s">
        <v>3</v>
      </c>
    </row>
    <row r="766" spans="1:6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  <c r="F766" s="2">
        <v>4578</v>
      </c>
    </row>
    <row r="767" spans="1:6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  <c r="F767" s="2">
        <v>10170</v>
      </c>
    </row>
    <row r="768" spans="1:6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  <c r="F768" s="2">
        <v>189</v>
      </c>
    </row>
    <row r="769" spans="1:6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  <c r="F769" s="2">
        <v>32.32</v>
      </c>
    </row>
    <row r="770" spans="1:6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  <c r="F770" s="2">
        <v>8.57</v>
      </c>
    </row>
    <row r="771" spans="1:6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  <c r="F771" s="2">
        <v>1.84</v>
      </c>
    </row>
    <row r="772" spans="1:6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  <c r="F772" s="2">
        <v>1.286</v>
      </c>
    </row>
    <row r="773" spans="1:6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  <c r="F773" s="2">
        <v>0.21199999999999999</v>
      </c>
    </row>
    <row r="774" spans="1:6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  <c r="F774" s="2">
        <v>0.114</v>
      </c>
    </row>
    <row r="775" spans="1:6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  <c r="F775" s="2">
        <v>0.08</v>
      </c>
    </row>
    <row r="776" spans="1:6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  <c r="F776" s="2">
        <v>6.3E-2</v>
      </c>
    </row>
    <row r="777" spans="1:6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  <c r="F777" s="2">
        <v>4.5999999999999999E-2</v>
      </c>
    </row>
    <row r="778" spans="1:6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  <c r="F778" s="2">
        <v>1.2999999999999999E-2</v>
      </c>
    </row>
    <row r="779" spans="1:6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  <c r="F779" s="2">
        <v>7.0000000000000001E-3</v>
      </c>
    </row>
    <row r="780" spans="1:6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  <c r="F780" s="2">
        <v>6.3499999999999996E-7</v>
      </c>
    </row>
    <row r="781" spans="1:6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  <c r="F781" s="2">
        <v>6.4899999999999999E-2</v>
      </c>
    </row>
    <row r="782" spans="1:6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  <c r="F782" s="2">
        <v>19</v>
      </c>
    </row>
    <row r="783" spans="1:6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  <c r="F783" s="2">
        <v>36.5</v>
      </c>
    </row>
    <row r="784" spans="1:6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  <c r="F784" s="2">
        <v>226.2</v>
      </c>
    </row>
    <row r="785" spans="1:6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  <c r="F785" s="2">
        <v>1059.5999999999999</v>
      </c>
    </row>
    <row r="786" spans="1:6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  <c r="F786" s="2">
        <v>1374</v>
      </c>
    </row>
    <row r="787" spans="1:6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  <c r="F787" s="2">
        <v>33.4</v>
      </c>
    </row>
    <row r="788" spans="1:6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  <c r="F788" s="2">
        <v>16459.2</v>
      </c>
    </row>
    <row r="789" spans="1:6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  <c r="F789" s="2">
        <v>75.45</v>
      </c>
    </row>
    <row r="790" spans="1:6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  <c r="F790" s="2">
        <v>7447680</v>
      </c>
    </row>
    <row r="791" spans="1:6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  <c r="F791" s="2">
        <v>2835648</v>
      </c>
    </row>
    <row r="792" spans="1:6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  <c r="F792" s="2" t="s">
        <v>3</v>
      </c>
    </row>
    <row r="793" spans="1:6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  <c r="F793" s="2">
        <v>1610668.8</v>
      </c>
    </row>
    <row r="794" spans="1:6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  <c r="F794" s="2">
        <v>1.56841272E+18</v>
      </c>
    </row>
    <row r="795" spans="1:6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  <c r="F795" s="2">
        <v>1066.3799999999901</v>
      </c>
    </row>
    <row r="796" spans="1:6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  <c r="F796" s="2">
        <v>919.2</v>
      </c>
    </row>
    <row r="797" spans="1:6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  <c r="F797" s="2">
        <v>158</v>
      </c>
    </row>
    <row r="798" spans="1:6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  <c r="F798" s="2">
        <v>58.2</v>
      </c>
    </row>
    <row r="799" spans="1:6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  <c r="F799" s="2">
        <v>4.492</v>
      </c>
    </row>
    <row r="800" spans="1:6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  <c r="F800" s="2">
        <v>5.84</v>
      </c>
    </row>
    <row r="801" spans="1:6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  <c r="F801" s="2">
        <v>2.702</v>
      </c>
    </row>
    <row r="802" spans="1:6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  <c r="F802" s="2">
        <v>0.37769999999999998</v>
      </c>
    </row>
    <row r="803" spans="1:6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  <c r="F803" s="2">
        <v>0.20300000000000001</v>
      </c>
    </row>
    <row r="804" spans="1:6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  <c r="F804" s="2">
        <v>0.1691</v>
      </c>
    </row>
    <row r="805" spans="1:6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  <c r="F805" s="2">
        <v>0.10199999999999999</v>
      </c>
    </row>
    <row r="806" spans="1:6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  <c r="F806" s="2">
        <v>5.3999999999999999E-2</v>
      </c>
    </row>
    <row r="807" spans="1:6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  <c r="F807" s="2">
        <v>5.0999999999999997E-2</v>
      </c>
    </row>
    <row r="808" spans="1:6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  <c r="F808" s="2">
        <v>3.2000000000000001E-2</v>
      </c>
    </row>
    <row r="809" spans="1:6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  <c r="F809" s="2">
        <v>3.6999999999999998E-2</v>
      </c>
    </row>
    <row r="810" spans="1:6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  <c r="F810" s="2">
        <v>2.3E-2</v>
      </c>
    </row>
    <row r="811" spans="1:6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  <c r="F811" s="2">
        <v>2.5000000000000001E-2</v>
      </c>
    </row>
    <row r="812" spans="1:6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  <c r="F812" s="2">
        <v>2.7E-2</v>
      </c>
    </row>
    <row r="813" spans="1:6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  <c r="F813" s="2">
        <v>8.7999999999999995E-2</v>
      </c>
    </row>
    <row r="814" spans="1:6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  <c r="F814" s="2">
        <v>7.89</v>
      </c>
    </row>
    <row r="815" spans="1:6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  <c r="F815" s="2">
        <v>9</v>
      </c>
    </row>
    <row r="816" spans="1:6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  <c r="F816" s="2">
        <v>160</v>
      </c>
    </row>
    <row r="817" spans="1:6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  <c r="F817" s="2">
        <v>135</v>
      </c>
    </row>
    <row r="818" spans="1:6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  <c r="F818" s="2">
        <v>6378</v>
      </c>
    </row>
    <row r="819" spans="1:6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  <c r="F819" s="2">
        <v>1338</v>
      </c>
    </row>
    <row r="820" spans="1:6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  <c r="F820" s="2">
        <v>2189376</v>
      </c>
    </row>
    <row r="821" spans="1:6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  <c r="F821" s="2">
        <v>116675.999999999</v>
      </c>
    </row>
    <row r="822" spans="1:6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  <c r="F822" s="2" t="s">
        <v>3</v>
      </c>
    </row>
    <row r="823" spans="1:6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  <c r="F823" s="2">
        <v>5602953.5999999996</v>
      </c>
    </row>
    <row r="824" spans="1:6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  <c r="F824" s="2" t="s">
        <v>3</v>
      </c>
    </row>
    <row r="825" spans="1:6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  <c r="F825" s="2" t="s">
        <v>3</v>
      </c>
    </row>
    <row r="826" spans="1:6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  <c r="F826" s="2" t="s">
        <v>3</v>
      </c>
    </row>
    <row r="827" spans="1:6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  <c r="F827" s="2">
        <v>4368643.2</v>
      </c>
    </row>
    <row r="828" spans="1:6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  <c r="F828" s="2">
        <v>912014640</v>
      </c>
    </row>
    <row r="829" spans="1:6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  <c r="F829" s="2">
        <v>34740</v>
      </c>
    </row>
    <row r="830" spans="1:6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  <c r="F830" s="2">
        <v>9399.6</v>
      </c>
    </row>
    <row r="831" spans="1:6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  <c r="F831" s="2">
        <v>445.79999999999899</v>
      </c>
    </row>
    <row r="832" spans="1:6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  <c r="F832" s="2">
        <v>75.3</v>
      </c>
    </row>
    <row r="833" spans="1:6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  <c r="F833" s="2">
        <v>23.9</v>
      </c>
    </row>
    <row r="834" spans="1:6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  <c r="F834" s="2">
        <v>1.07</v>
      </c>
    </row>
    <row r="835" spans="1:6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  <c r="F835" s="2">
        <v>0.42899999999999999</v>
      </c>
    </row>
    <row r="836" spans="1:6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  <c r="F836" s="2">
        <v>0.65300000000000002</v>
      </c>
    </row>
    <row r="837" spans="1:6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  <c r="F837" s="2">
        <v>0.26900000000000002</v>
      </c>
    </row>
    <row r="838" spans="1:6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  <c r="F838" s="2">
        <v>0.20200000000000001</v>
      </c>
    </row>
    <row r="839" spans="1:6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  <c r="F839" s="2">
        <v>0.11799999999999999</v>
      </c>
    </row>
    <row r="840" spans="1:6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  <c r="F840" s="2">
        <v>6.9000000000000006E-2</v>
      </c>
    </row>
    <row r="841" spans="1:6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  <c r="F841" s="2">
        <v>5.2999999999999999E-2</v>
      </c>
    </row>
    <row r="842" spans="1:6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  <c r="F842" s="2">
        <v>5.2999999999999999E-2</v>
      </c>
    </row>
    <row r="843" spans="1:6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  <c r="F843" s="2">
        <v>3.9E-2</v>
      </c>
    </row>
    <row r="844" spans="1:6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  <c r="F844" s="2">
        <v>0.02</v>
      </c>
    </row>
    <row r="845" spans="1:6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  <c r="F845" s="2">
        <v>3.9499999999999998E-7</v>
      </c>
    </row>
    <row r="846" spans="1:6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  <c r="F846" s="2">
        <v>1.9999999999999999E-7</v>
      </c>
    </row>
    <row r="847" spans="1:6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  <c r="F847" s="2">
        <v>5.7000000000000002E-2</v>
      </c>
    </row>
    <row r="848" spans="1:6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  <c r="F848" s="2">
        <v>5.2999999999999999E-2</v>
      </c>
    </row>
    <row r="849" spans="1:6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  <c r="F849" s="2">
        <v>14.8</v>
      </c>
    </row>
    <row r="850" spans="1:6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  <c r="F850" s="2">
        <v>30.1</v>
      </c>
    </row>
    <row r="851" spans="1:6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  <c r="F851" s="2">
        <v>70.400000000000006</v>
      </c>
    </row>
    <row r="852" spans="1:6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  <c r="F852" s="2">
        <v>8.3000000000000007</v>
      </c>
    </row>
    <row r="853" spans="1:6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  <c r="F853" s="2">
        <v>424.8</v>
      </c>
    </row>
    <row r="854" spans="1:6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  <c r="F854" s="2">
        <v>2370</v>
      </c>
    </row>
    <row r="855" spans="1:6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  <c r="F855" s="2">
        <v>9648</v>
      </c>
    </row>
    <row r="856" spans="1:6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  <c r="F856" s="2">
        <v>53064</v>
      </c>
    </row>
    <row r="857" spans="1:6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  <c r="F857" s="2">
        <v>287280</v>
      </c>
    </row>
    <row r="858" spans="1:6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  <c r="F858" s="2">
        <v>9212486.4000000004</v>
      </c>
    </row>
    <row r="859" spans="1:6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  <c r="F859" s="2" t="s">
        <v>3</v>
      </c>
    </row>
    <row r="860" spans="1:6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  <c r="F860" s="2">
        <v>230590.8</v>
      </c>
    </row>
    <row r="861" spans="1:6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  <c r="F861" s="2">
        <v>5055264</v>
      </c>
    </row>
    <row r="862" spans="1:6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  <c r="F862" s="2">
        <v>12744</v>
      </c>
    </row>
    <row r="863" spans="1:6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  <c r="F863" s="2">
        <v>36648</v>
      </c>
    </row>
    <row r="864" spans="1:6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  <c r="F864" s="2">
        <v>1122</v>
      </c>
    </row>
    <row r="865" spans="1:6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  <c r="F865" s="2">
        <v>618</v>
      </c>
    </row>
    <row r="866" spans="1:6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  <c r="F866" s="2">
        <v>5.34</v>
      </c>
    </row>
    <row r="867" spans="1:6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  <c r="F867" s="2">
        <v>3.75</v>
      </c>
    </row>
    <row r="868" spans="1:6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  <c r="F868" s="2">
        <v>0.54800000000000004</v>
      </c>
    </row>
    <row r="869" spans="1:6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  <c r="F869" s="2">
        <v>1.484</v>
      </c>
    </row>
    <row r="870" spans="1:6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  <c r="F870" s="2">
        <v>0.73499999999999999</v>
      </c>
    </row>
    <row r="871" spans="1:6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  <c r="F871" s="2">
        <v>0.45</v>
      </c>
    </row>
    <row r="872" spans="1:6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  <c r="F872" s="2">
        <v>0.36</v>
      </c>
    </row>
    <row r="873" spans="1:6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  <c r="F873" s="2">
        <v>0.23</v>
      </c>
    </row>
    <row r="874" spans="1:6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  <c r="F874" s="2">
        <v>0.19700000000000001</v>
      </c>
    </row>
    <row r="875" spans="1:6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  <c r="F875" s="2">
        <v>9.5000000000000001E-2</v>
      </c>
    </row>
    <row r="876" spans="1:6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  <c r="F876" s="2">
        <v>7.9000000000000001E-2</v>
      </c>
    </row>
    <row r="877" spans="1:6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  <c r="F877" s="2">
        <v>3.5000000000000001E-3</v>
      </c>
    </row>
    <row r="878" spans="1:6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  <c r="F878" s="2">
        <v>0.03</v>
      </c>
    </row>
    <row r="879" spans="1:6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  <c r="F879" s="2">
        <v>2.5000000000000001E-2</v>
      </c>
    </row>
    <row r="880" spans="1:6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  <c r="F880" s="2">
        <v>1.6999999999999999E-7</v>
      </c>
    </row>
    <row r="881" spans="1:6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  <c r="F881" s="2">
        <v>5.6000000000000001E-2</v>
      </c>
    </row>
    <row r="882" spans="1:6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  <c r="F882" s="2">
        <v>4.5999999999999996</v>
      </c>
    </row>
    <row r="883" spans="1:6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  <c r="F883" s="2">
        <v>5.5</v>
      </c>
    </row>
    <row r="884" spans="1:6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  <c r="F884" s="2">
        <v>32</v>
      </c>
    </row>
    <row r="885" spans="1:6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  <c r="F885" s="2">
        <v>42</v>
      </c>
    </row>
    <row r="886" spans="1:6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  <c r="F886" s="2">
        <v>1548</v>
      </c>
    </row>
    <row r="887" spans="1:6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  <c r="F887" s="2">
        <v>471.6</v>
      </c>
    </row>
    <row r="888" spans="1:6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  <c r="F888" s="2">
        <v>59400</v>
      </c>
    </row>
    <row r="889" spans="1:6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  <c r="F889" s="2">
        <v>6048</v>
      </c>
    </row>
    <row r="890" spans="1:6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  <c r="F890" s="2">
        <v>7205760</v>
      </c>
    </row>
    <row r="891" spans="1:6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  <c r="F891" s="2">
        <v>282276</v>
      </c>
    </row>
    <row r="892" spans="1:6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  <c r="F892" s="2" t="s">
        <v>3</v>
      </c>
    </row>
    <row r="893" spans="1:6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  <c r="F893" s="2" t="s">
        <v>3</v>
      </c>
    </row>
    <row r="894" spans="1:6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  <c r="F894" s="2" t="s">
        <v>3</v>
      </c>
    </row>
    <row r="895" spans="1:6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  <c r="F895" s="2">
        <v>50807736000000</v>
      </c>
    </row>
    <row r="896" spans="1:6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  <c r="F896" s="2" t="s">
        <v>3</v>
      </c>
    </row>
    <row r="897" spans="1:6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  <c r="F897" s="2">
        <v>5532364.7999999998</v>
      </c>
    </row>
    <row r="898" spans="1:6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  <c r="F898" s="2">
        <v>7.4160360000000004E+26</v>
      </c>
    </row>
    <row r="899" spans="1:6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  <c r="F899" s="2">
        <v>60296.3999999999</v>
      </c>
    </row>
    <row r="900" spans="1:6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  <c r="F900" s="2">
        <v>30.7</v>
      </c>
    </row>
    <row r="901" spans="1:6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  <c r="F901" s="2">
        <v>2.1</v>
      </c>
    </row>
    <row r="902" spans="1:6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  <c r="F902" s="2">
        <v>7.1</v>
      </c>
    </row>
    <row r="903" spans="1:6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  <c r="F903" s="2">
        <v>2.2999999999999998</v>
      </c>
    </row>
    <row r="904" spans="1:6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  <c r="F904" s="2">
        <v>2.9</v>
      </c>
    </row>
    <row r="905" spans="1:6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  <c r="F905" s="2">
        <v>1.32</v>
      </c>
    </row>
    <row r="906" spans="1:6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  <c r="F906" s="2">
        <v>0.87</v>
      </c>
    </row>
    <row r="907" spans="1:6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  <c r="F907" s="2">
        <v>0.67</v>
      </c>
    </row>
    <row r="908" spans="1:6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  <c r="F908" s="2">
        <v>0.18</v>
      </c>
    </row>
    <row r="909" spans="1:6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  <c r="F909" s="2">
        <v>0.14599999999999999</v>
      </c>
    </row>
    <row r="910" spans="1:6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  <c r="F910" s="2">
        <v>7.7399999999999997E-2</v>
      </c>
    </row>
    <row r="911" spans="1:6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  <c r="F911" s="2">
        <v>5.6000000000000001E-2</v>
      </c>
    </row>
    <row r="912" spans="1:6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  <c r="F912" s="2">
        <v>3.7499999999999999E-2</v>
      </c>
    </row>
    <row r="913" spans="1:6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  <c r="F913" s="2">
        <v>2.4E-2</v>
      </c>
    </row>
    <row r="914" spans="1:6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  <c r="F914" s="2">
        <v>0.03</v>
      </c>
    </row>
    <row r="915" spans="1:6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  <c r="F915" s="2">
        <v>0.05</v>
      </c>
    </row>
    <row r="916" spans="1:6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  <c r="F916" s="2">
        <v>3.9</v>
      </c>
    </row>
    <row r="917" spans="1:6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  <c r="F917" s="2">
        <v>9.8000000000000007</v>
      </c>
    </row>
    <row r="918" spans="1:6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  <c r="F918" s="2">
        <v>20.5</v>
      </c>
    </row>
    <row r="919" spans="1:6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  <c r="F919" s="2">
        <v>88</v>
      </c>
    </row>
    <row r="920" spans="1:6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  <c r="F920" s="2">
        <v>222</v>
      </c>
    </row>
    <row r="921" spans="1:6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  <c r="F921" s="2">
        <v>873</v>
      </c>
    </row>
    <row r="922" spans="1:6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  <c r="F922" s="2">
        <v>7307.99999999999</v>
      </c>
    </row>
    <row r="923" spans="1:6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  <c r="F923" s="2">
        <v>52560</v>
      </c>
    </row>
    <row r="924" spans="1:6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  <c r="F924" s="2">
        <v>21459168000</v>
      </c>
    </row>
    <row r="925" spans="1:6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  <c r="F925" s="2">
        <v>1095048720000000</v>
      </c>
    </row>
    <row r="926" spans="1:6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  <c r="F926" s="2" t="s">
        <v>3</v>
      </c>
    </row>
    <row r="927" spans="1:6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  <c r="F927" s="2">
        <v>640619280000</v>
      </c>
    </row>
    <row r="928" spans="1:6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  <c r="F928" s="2">
        <v>3023222.4</v>
      </c>
    </row>
    <row r="929" spans="1:6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  <c r="F929" s="2">
        <v>84060</v>
      </c>
    </row>
    <row r="930" spans="1:6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  <c r="F930" s="2">
        <v>4326</v>
      </c>
    </row>
    <row r="931" spans="1:6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  <c r="F931" s="2">
        <v>2.86</v>
      </c>
    </row>
    <row r="932" spans="1:6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  <c r="F932" s="2">
        <v>15</v>
      </c>
    </row>
    <row r="933" spans="1:6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  <c r="F933" s="2">
        <v>1.5</v>
      </c>
    </row>
    <row r="934" spans="1:6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  <c r="F934" s="2">
        <v>7.1</v>
      </c>
    </row>
    <row r="935" spans="1:6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  <c r="F935" s="2">
        <v>4.3</v>
      </c>
    </row>
    <row r="936" spans="1:6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  <c r="F936" s="2">
        <v>1.5</v>
      </c>
    </row>
    <row r="937" spans="1:6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  <c r="F937" s="2">
        <v>4.9000000000000004</v>
      </c>
    </row>
    <row r="938" spans="1:6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  <c r="F938" s="2">
        <v>2.95</v>
      </c>
    </row>
    <row r="939" spans="1:6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  <c r="F939" s="2">
        <v>1.02</v>
      </c>
    </row>
    <row r="940" spans="1:6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  <c r="F940" s="2">
        <v>0.3</v>
      </c>
    </row>
    <row r="941" spans="1:6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  <c r="F941" s="2">
        <v>0.19800000000000001</v>
      </c>
    </row>
    <row r="942" spans="1:6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  <c r="F942" s="2">
        <v>0.106</v>
      </c>
    </row>
    <row r="943" spans="1:6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  <c r="F943" s="2">
        <v>8.5999999999999993E-2</v>
      </c>
    </row>
    <row r="944" spans="1:6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  <c r="F944" s="2">
        <v>5.0999999999999997E-2</v>
      </c>
    </row>
    <row r="945" spans="1:6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  <c r="F945" s="2">
        <v>3.3000000000000002E-2</v>
      </c>
    </row>
    <row r="946" spans="1:6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  <c r="F946" s="2">
        <v>3.2000000000000001E-2</v>
      </c>
    </row>
    <row r="947" spans="1:6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  <c r="F947" s="2">
        <v>1.7000000000000001E-2</v>
      </c>
    </row>
    <row r="948" spans="1:6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  <c r="F948" s="2">
        <v>2.3E-2</v>
      </c>
    </row>
    <row r="949" spans="1:6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  <c r="F949" s="2">
        <v>4.4999999999999998E-7</v>
      </c>
    </row>
    <row r="950" spans="1:6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  <c r="F950" s="2">
        <v>4.3700000000000001E-7</v>
      </c>
    </row>
    <row r="951" spans="1:6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  <c r="F951" s="2">
        <v>6.0000000000000001E-3</v>
      </c>
    </row>
    <row r="952" spans="1:6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  <c r="F952" s="2">
        <v>2.2999999999999998</v>
      </c>
    </row>
    <row r="953" spans="1:6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  <c r="F953" s="2">
        <v>3.2</v>
      </c>
    </row>
    <row r="954" spans="1:6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  <c r="F954" s="2">
        <v>19.100000000000001</v>
      </c>
    </row>
    <row r="955" spans="1:6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  <c r="F955" s="2">
        <v>14.02</v>
      </c>
    </row>
    <row r="956" spans="1:6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  <c r="F956" s="2">
        <v>480</v>
      </c>
    </row>
    <row r="957" spans="1:6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  <c r="F957" s="2">
        <v>126.6</v>
      </c>
    </row>
    <row r="958" spans="1:6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  <c r="F958" s="2">
        <v>20016</v>
      </c>
    </row>
    <row r="959" spans="1:6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  <c r="F959" s="2">
        <v>929.4</v>
      </c>
    </row>
    <row r="960" spans="1:6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  <c r="F960" s="2" t="s">
        <v>3</v>
      </c>
    </row>
    <row r="961" spans="1:6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  <c r="F961" s="2">
        <v>126230400000</v>
      </c>
    </row>
    <row r="962" spans="1:6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  <c r="F962" s="2" t="s">
        <v>3</v>
      </c>
    </row>
    <row r="963" spans="1:6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  <c r="F963" s="2" t="s">
        <v>3</v>
      </c>
    </row>
    <row r="964" spans="1:6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  <c r="F964" s="2" t="s">
        <v>3</v>
      </c>
    </row>
    <row r="965" spans="1:6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  <c r="F965" s="2" t="s">
        <v>3</v>
      </c>
    </row>
    <row r="966" spans="1:6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  <c r="F966" s="2" t="s">
        <v>3</v>
      </c>
    </row>
    <row r="967" spans="1:6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  <c r="F967" s="2">
        <v>237513.60000000001</v>
      </c>
    </row>
    <row r="968" spans="1:6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  <c r="F968" s="2">
        <v>2.3037048000000002E+26</v>
      </c>
    </row>
    <row r="969" spans="1:6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  <c r="F969" s="2">
        <v>876.599999999999</v>
      </c>
    </row>
    <row r="970" spans="1:6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  <c r="F970" s="2">
        <v>678</v>
      </c>
    </row>
    <row r="971" spans="1:6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  <c r="F971" s="2">
        <v>67.5</v>
      </c>
    </row>
    <row r="972" spans="1:6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  <c r="F972" s="2">
        <v>60</v>
      </c>
    </row>
    <row r="973" spans="1:6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  <c r="F973" s="2">
        <v>35.6</v>
      </c>
    </row>
    <row r="974" spans="1:6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  <c r="F974" s="2">
        <v>8.73</v>
      </c>
    </row>
    <row r="975" spans="1:6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  <c r="F975" s="2">
        <v>3.5</v>
      </c>
    </row>
    <row r="976" spans="1:6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  <c r="F976" s="2">
        <v>1.0900000000000001</v>
      </c>
    </row>
    <row r="977" spans="1:6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  <c r="F977" s="2">
        <v>0.66</v>
      </c>
    </row>
    <row r="978" spans="1:6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  <c r="F978" s="2">
        <v>0.29599999999999999</v>
      </c>
    </row>
    <row r="979" spans="1:6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  <c r="F979" s="2">
        <v>0.186</v>
      </c>
    </row>
    <row r="980" spans="1:6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  <c r="F980" s="2">
        <v>0.12</v>
      </c>
    </row>
    <row r="981" spans="1:6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  <c r="F981" s="2">
        <v>0.08</v>
      </c>
    </row>
    <row r="982" spans="1:6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  <c r="F982" s="2">
        <v>5.8000000000000003E-2</v>
      </c>
    </row>
    <row r="983" spans="1:6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  <c r="F983" s="2">
        <v>4.5499999999999999E-2</v>
      </c>
    </row>
    <row r="984" spans="1:6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  <c r="F984" s="2">
        <v>3.2000000000000001E-2</v>
      </c>
    </row>
    <row r="985" spans="1:6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  <c r="F985" s="2">
        <v>2.1999999999999999E-2</v>
      </c>
    </row>
    <row r="986" spans="1:6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  <c r="F986" s="2">
        <v>1.9E-2</v>
      </c>
    </row>
    <row r="987" spans="1:6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  <c r="F987" s="2">
        <v>0.5</v>
      </c>
    </row>
    <row r="988" spans="1:6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  <c r="F988" s="2">
        <v>5.5E-2</v>
      </c>
    </row>
    <row r="989" spans="1:6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  <c r="F989" s="2">
        <v>2.2000000000000002</v>
      </c>
    </row>
    <row r="990" spans="1:6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  <c r="F990" s="2">
        <v>6.4</v>
      </c>
    </row>
    <row r="991" spans="1:6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  <c r="F991" s="2">
        <v>12.8</v>
      </c>
    </row>
    <row r="992" spans="1:6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  <c r="F992" s="2">
        <v>8.6999999999999993</v>
      </c>
    </row>
    <row r="993" spans="1:6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  <c r="F993" s="2">
        <v>188.4</v>
      </c>
    </row>
    <row r="994" spans="1:6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  <c r="F994" s="2">
        <v>255</v>
      </c>
    </row>
    <row r="995" spans="1:6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  <c r="F995" s="2">
        <v>9900</v>
      </c>
    </row>
    <row r="996" spans="1:6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  <c r="F996" s="2">
        <v>17580</v>
      </c>
    </row>
    <row r="997" spans="1:6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  <c r="F997" s="2">
        <v>72000</v>
      </c>
    </row>
    <row r="998" spans="1:6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  <c r="F998" s="2">
        <v>369792</v>
      </c>
    </row>
    <row r="999" spans="1:6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  <c r="F999" s="2">
        <v>132857496000000</v>
      </c>
    </row>
    <row r="1000" spans="1:6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  <c r="F1000" s="2">
        <v>132541920000000</v>
      </c>
    </row>
    <row r="1001" spans="1:6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  <c r="F1001" s="2">
        <v>6661809360000</v>
      </c>
    </row>
    <row r="1002" spans="1:6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  <c r="F1002" s="2">
        <v>15.46</v>
      </c>
    </row>
    <row r="1003" spans="1:6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  <c r="F1003" s="2">
        <v>841.19999999999902</v>
      </c>
    </row>
    <row r="1004" spans="1:6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  <c r="F1004" s="2">
        <v>5.28</v>
      </c>
    </row>
    <row r="1005" spans="1:6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  <c r="F1005" s="2">
        <v>54.2</v>
      </c>
    </row>
    <row r="1006" spans="1:6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  <c r="F1006" s="2">
        <v>1098</v>
      </c>
    </row>
    <row r="1007" spans="1:6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  <c r="F1007" s="2">
        <v>456</v>
      </c>
    </row>
    <row r="1008" spans="1:6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  <c r="F1008" s="2">
        <v>35.6</v>
      </c>
    </row>
    <row r="1009" spans="1:6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  <c r="F1009" s="2">
        <v>21.2</v>
      </c>
    </row>
    <row r="1010" spans="1:6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  <c r="F1010" s="2">
        <v>5.17</v>
      </c>
    </row>
    <row r="1011" spans="1:6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  <c r="F1011" s="2">
        <v>0.86</v>
      </c>
    </row>
    <row r="1012" spans="1:6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  <c r="F1012" s="2">
        <v>0.92</v>
      </c>
    </row>
    <row r="1013" spans="1:6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  <c r="F1013" s="2">
        <v>0.35</v>
      </c>
    </row>
    <row r="1014" spans="1:6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  <c r="F1014" s="2">
        <v>0.27100000000000002</v>
      </c>
    </row>
    <row r="1015" spans="1:6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  <c r="F1015" s="2">
        <v>0.152</v>
      </c>
    </row>
    <row r="1016" spans="1:6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  <c r="F1016" s="2">
        <v>0.1</v>
      </c>
    </row>
    <row r="1017" spans="1:6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  <c r="F1017" s="2">
        <v>7.8E-2</v>
      </c>
    </row>
    <row r="1018" spans="1:6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  <c r="F1018" s="2">
        <v>5.7000000000000002E-2</v>
      </c>
    </row>
    <row r="1019" spans="1:6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  <c r="F1019" s="2">
        <v>4.4499999999999998E-2</v>
      </c>
    </row>
    <row r="1020" spans="1:6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  <c r="F1020" s="2">
        <v>0.03</v>
      </c>
    </row>
    <row r="1021" spans="1:6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  <c r="F1021" s="2">
        <v>2.1999999999999999E-2</v>
      </c>
    </row>
    <row r="1022" spans="1:6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  <c r="F1022" s="2">
        <v>2.1000000000000001E-2</v>
      </c>
    </row>
    <row r="1023" spans="1:6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  <c r="F1023" s="2">
        <v>2.1999999999999999E-2</v>
      </c>
    </row>
    <row r="1024" spans="1:6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  <c r="F1024" s="2">
        <v>4.4999999999999998E-7</v>
      </c>
    </row>
    <row r="1025" spans="1:6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  <c r="F1025" s="2">
        <v>4.3799999999999998E-7</v>
      </c>
    </row>
    <row r="1026" spans="1:6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  <c r="F1026" s="2">
        <v>1.5E-6</v>
      </c>
    </row>
    <row r="1027" spans="1:6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  <c r="F1027" s="2">
        <v>1.2</v>
      </c>
    </row>
    <row r="1028" spans="1:6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  <c r="F1028" s="2">
        <v>1.5</v>
      </c>
    </row>
    <row r="1029" spans="1:6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  <c r="F1029" s="2">
        <v>11.7</v>
      </c>
    </row>
    <row r="1030" spans="1:6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  <c r="F1030" s="2">
        <v>8</v>
      </c>
    </row>
    <row r="1031" spans="1:6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  <c r="F1031" s="2">
        <v>219</v>
      </c>
    </row>
    <row r="1032" spans="1:6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  <c r="F1032" s="2">
        <v>59.7</v>
      </c>
    </row>
    <row r="1033" spans="1:6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  <c r="F1033" s="2">
        <v>3108</v>
      </c>
    </row>
    <row r="1034" spans="1:6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  <c r="F1034" s="2">
        <v>5914.8</v>
      </c>
    </row>
    <row r="1035" spans="1:6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  <c r="F1035" s="2" t="s">
        <v>3</v>
      </c>
    </row>
    <row r="1036" spans="1:6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  <c r="F1036" s="2">
        <v>244512</v>
      </c>
    </row>
    <row r="1037" spans="1:6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  <c r="F1037" s="2" t="s">
        <v>3</v>
      </c>
    </row>
    <row r="1038" spans="1:6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  <c r="F1038" s="2" t="s">
        <v>3</v>
      </c>
    </row>
    <row r="1039" spans="1:6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  <c r="F1039" s="2" t="s">
        <v>3</v>
      </c>
    </row>
    <row r="1040" spans="1:6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  <c r="F1040" s="2" t="s">
        <v>3</v>
      </c>
    </row>
    <row r="1041" spans="1:6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  <c r="F1041" s="2" t="s">
        <v>3</v>
      </c>
    </row>
    <row r="1042" spans="1:6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  <c r="F1042" s="2">
        <v>3390940.8</v>
      </c>
    </row>
    <row r="1043" spans="1:6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  <c r="F1043" s="2" t="s">
        <v>3</v>
      </c>
    </row>
    <row r="1044" spans="1:6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  <c r="F1044" s="2">
        <v>15984</v>
      </c>
    </row>
    <row r="1045" spans="1:6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  <c r="F1045" s="2">
        <v>32123520</v>
      </c>
    </row>
    <row r="1046" spans="1:6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  <c r="F1046" s="2">
        <v>225</v>
      </c>
    </row>
    <row r="1047" spans="1:6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  <c r="F1047" s="2">
        <v>273</v>
      </c>
    </row>
    <row r="1048" spans="1:6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  <c r="F1048" s="2">
        <v>34.5</v>
      </c>
    </row>
    <row r="1049" spans="1:6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  <c r="F1049" s="2">
        <v>11.6</v>
      </c>
    </row>
    <row r="1050" spans="1:6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  <c r="F1050" s="2">
        <v>2.12</v>
      </c>
    </row>
    <row r="1051" spans="1:6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  <c r="F1051" s="2">
        <v>1.75</v>
      </c>
    </row>
    <row r="1052" spans="1:6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  <c r="F1052" s="2">
        <v>0.8</v>
      </c>
    </row>
    <row r="1053" spans="1:6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  <c r="F1053" s="2">
        <v>0.52</v>
      </c>
    </row>
    <row r="1054" spans="1:6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  <c r="F1054" s="2">
        <v>0.318</v>
      </c>
    </row>
    <row r="1055" spans="1:6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  <c r="F1055" s="2">
        <v>0.20399999999999999</v>
      </c>
    </row>
    <row r="1056" spans="1:6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  <c r="F1056" s="2">
        <v>0.151</v>
      </c>
    </row>
    <row r="1057" spans="1:6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  <c r="F1057" s="2">
        <v>0.123</v>
      </c>
    </row>
    <row r="1058" spans="1:6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  <c r="F1058" s="2">
        <v>6.9500000000000006E-2</v>
      </c>
    </row>
    <row r="1059" spans="1:6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  <c r="F1059" s="2">
        <v>4.4999999999999998E-2</v>
      </c>
    </row>
    <row r="1060" spans="1:6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  <c r="F1060" s="2">
        <v>2.9000000000000001E-2</v>
      </c>
    </row>
    <row r="1061" spans="1:6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  <c r="F1061" s="2">
        <v>2.5000000000000001E-2</v>
      </c>
    </row>
    <row r="1062" spans="1:6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  <c r="F1062" s="2">
        <v>1.9E-2</v>
      </c>
    </row>
    <row r="1063" spans="1:6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  <c r="F1063" s="2">
        <v>1.4999999999999999E-2</v>
      </c>
    </row>
    <row r="1064" spans="1:6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  <c r="F1064" s="2">
        <v>1.5E-6</v>
      </c>
    </row>
    <row r="1065" spans="1:6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  <c r="F1065" s="2">
        <v>1.2E-2</v>
      </c>
    </row>
    <row r="1066" spans="1:6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  <c r="F1066" s="2">
        <v>1.47</v>
      </c>
    </row>
    <row r="1067" spans="1:6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  <c r="F1067" s="2">
        <v>5.7</v>
      </c>
    </row>
    <row r="1068" spans="1:6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  <c r="F1068" s="2">
        <v>12.2</v>
      </c>
    </row>
    <row r="1069" spans="1:6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  <c r="F1069" s="2">
        <v>66</v>
      </c>
    </row>
    <row r="1070" spans="1:6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  <c r="F1070" s="2">
        <v>301.2</v>
      </c>
    </row>
    <row r="1071" spans="1:6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  <c r="F1071" s="2">
        <v>594</v>
      </c>
    </row>
    <row r="1072" spans="1:6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  <c r="F1072" s="2">
        <v>1842</v>
      </c>
    </row>
    <row r="1073" spans="1:6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  <c r="F1073" s="2">
        <v>523.20000000000005</v>
      </c>
    </row>
    <row r="1074" spans="1:6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  <c r="F1074" s="2">
        <v>1391040</v>
      </c>
    </row>
    <row r="1075" spans="1:6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  <c r="F1075" s="2">
        <v>74880</v>
      </c>
    </row>
    <row r="1076" spans="1:6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  <c r="F1076" s="2">
        <v>104140080</v>
      </c>
    </row>
    <row r="1077" spans="1:6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  <c r="F1077" s="2">
        <v>17910720</v>
      </c>
    </row>
    <row r="1078" spans="1:6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  <c r="F1078" s="2" t="s">
        <v>3</v>
      </c>
    </row>
    <row r="1079" spans="1:6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  <c r="F1079" s="2">
        <v>42.3</v>
      </c>
    </row>
    <row r="1080" spans="1:6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  <c r="F1080" s="2">
        <v>127296</v>
      </c>
    </row>
    <row r="1081" spans="1:6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  <c r="F1081" s="2">
        <v>30.07</v>
      </c>
    </row>
    <row r="1082" spans="1:6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  <c r="F1082" s="2">
        <v>1302</v>
      </c>
    </row>
    <row r="1083" spans="1:6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  <c r="F1083" s="2">
        <v>16.8</v>
      </c>
    </row>
    <row r="1084" spans="1:6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  <c r="F1084" s="2">
        <v>80</v>
      </c>
    </row>
    <row r="1085" spans="1:6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  <c r="F1085" s="2">
        <v>28.5</v>
      </c>
    </row>
    <row r="1086" spans="1:6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  <c r="F1086" s="2">
        <v>11</v>
      </c>
    </row>
    <row r="1087" spans="1:6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  <c r="F1087" s="2">
        <v>3.6</v>
      </c>
    </row>
    <row r="1088" spans="1:6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  <c r="F1088" s="2">
        <v>2.8</v>
      </c>
    </row>
    <row r="1089" spans="1:6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  <c r="F1089" s="2">
        <v>1.85</v>
      </c>
    </row>
    <row r="1090" spans="1:6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  <c r="F1090" s="2">
        <v>0.99</v>
      </c>
    </row>
    <row r="1091" spans="1:6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  <c r="F1091" s="2">
        <v>0.68</v>
      </c>
    </row>
    <row r="1092" spans="1:6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  <c r="F1092" s="2">
        <v>0.44</v>
      </c>
    </row>
    <row r="1093" spans="1:6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  <c r="F1093" s="2">
        <v>0.26600000000000001</v>
      </c>
    </row>
    <row r="1094" spans="1:6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  <c r="F1094" s="2">
        <v>0.17100000000000001</v>
      </c>
    </row>
    <row r="1095" spans="1:6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  <c r="F1095" s="2">
        <v>0.13600000000000001</v>
      </c>
    </row>
    <row r="1096" spans="1:6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  <c r="F1096" s="2">
        <v>0.151</v>
      </c>
    </row>
    <row r="1097" spans="1:6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  <c r="F1097" s="2">
        <v>2.9999999999999999E-7</v>
      </c>
    </row>
    <row r="1098" spans="1:6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  <c r="F1098" s="2">
        <v>4.2000000000000003E-2</v>
      </c>
    </row>
    <row r="1099" spans="1:6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  <c r="F1099" s="2">
        <v>0.03</v>
      </c>
    </row>
    <row r="1100" spans="1:6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  <c r="F1100" s="2">
        <v>2.6499999999999999E-2</v>
      </c>
    </row>
    <row r="1101" spans="1:6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  <c r="F1101" s="2">
        <v>1.9E-2</v>
      </c>
    </row>
    <row r="1102" spans="1:6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  <c r="F1102" s="2">
        <v>0.02</v>
      </c>
    </row>
    <row r="1103" spans="1:6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  <c r="F1103" s="2">
        <v>9.9999999999999995E-7</v>
      </c>
    </row>
    <row r="1104" spans="1:6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  <c r="F1104" s="2">
        <v>0.7</v>
      </c>
    </row>
    <row r="1105" spans="1:6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  <c r="F1105" s="2">
        <v>1</v>
      </c>
    </row>
    <row r="1106" spans="1:6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  <c r="F1106" s="2">
        <v>9.6</v>
      </c>
    </row>
    <row r="1107" spans="1:6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  <c r="F1107" s="2">
        <v>5</v>
      </c>
    </row>
    <row r="1108" spans="1:6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  <c r="F1108" s="2">
        <v>122</v>
      </c>
    </row>
    <row r="1109" spans="1:6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  <c r="F1109" s="2">
        <v>186</v>
      </c>
    </row>
    <row r="1110" spans="1:6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  <c r="F1110" s="2">
        <v>1062</v>
      </c>
    </row>
    <row r="1111" spans="1:6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  <c r="F1111" s="2">
        <v>1284</v>
      </c>
    </row>
    <row r="1112" spans="1:6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  <c r="F1112" s="2">
        <v>313632</v>
      </c>
    </row>
    <row r="1113" spans="1:6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  <c r="F1113" s="2">
        <v>30492</v>
      </c>
    </row>
    <row r="1114" spans="1:6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  <c r="F1114" s="2" t="s">
        <v>3</v>
      </c>
    </row>
    <row r="1115" spans="1:6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  <c r="F1115" s="2">
        <v>1468022.4</v>
      </c>
    </row>
    <row r="1116" spans="1:6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  <c r="F1116" s="2" t="s">
        <v>3</v>
      </c>
    </row>
    <row r="1117" spans="1:6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  <c r="F1117" s="2" t="s">
        <v>3</v>
      </c>
    </row>
    <row r="1118" spans="1:6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  <c r="F1118" s="2" t="s">
        <v>3</v>
      </c>
    </row>
    <row r="1119" spans="1:6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  <c r="F1119" s="2">
        <v>205124400000000</v>
      </c>
    </row>
    <row r="1120" spans="1:6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  <c r="F1120" s="2" t="s">
        <v>3</v>
      </c>
    </row>
    <row r="1121" spans="1:6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  <c r="F1121" s="2">
        <v>49324.32</v>
      </c>
    </row>
    <row r="1122" spans="1:6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  <c r="F1122" s="2" t="s">
        <v>3</v>
      </c>
    </row>
    <row r="1123" spans="1:6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  <c r="F1123" s="2">
        <v>1404</v>
      </c>
    </row>
    <row r="1124" spans="1:6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  <c r="F1124" s="2">
        <v>75744</v>
      </c>
    </row>
    <row r="1125" spans="1:6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  <c r="F1125" s="2">
        <v>93</v>
      </c>
    </row>
    <row r="1126" spans="1:6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  <c r="F1126" s="2">
        <v>145.19999999999999</v>
      </c>
    </row>
    <row r="1127" spans="1:6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  <c r="F1127" s="2">
        <v>25</v>
      </c>
    </row>
    <row r="1128" spans="1:6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  <c r="F1128" s="2">
        <v>11.8</v>
      </c>
    </row>
    <row r="1129" spans="1:6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  <c r="F1129" s="2">
        <v>4.3</v>
      </c>
    </row>
    <row r="1130" spans="1:6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  <c r="F1130" s="2">
        <v>1.9</v>
      </c>
    </row>
    <row r="1131" spans="1:6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  <c r="F1131" s="2">
        <v>0.92</v>
      </c>
    </row>
    <row r="1132" spans="1:6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  <c r="F1132" s="2">
        <v>0.49199999999999999</v>
      </c>
    </row>
    <row r="1133" spans="1:6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  <c r="F1133" s="2">
        <v>0.28499999999999998</v>
      </c>
    </row>
    <row r="1134" spans="1:6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  <c r="F1134" s="2">
        <v>0.17499999999999999</v>
      </c>
    </row>
    <row r="1135" spans="1:6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  <c r="F1135" s="2">
        <v>0.108</v>
      </c>
    </row>
    <row r="1136" spans="1:6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  <c r="F1136" s="2">
        <v>3.7999999999999999E-2</v>
      </c>
    </row>
    <row r="1137" spans="1:6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  <c r="F1137" s="2">
        <v>5.7000000000000002E-2</v>
      </c>
    </row>
    <row r="1138" spans="1:6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  <c r="F1138" s="2">
        <v>4.8599999999999997E-2</v>
      </c>
    </row>
    <row r="1139" spans="1:6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  <c r="F1139" s="2">
        <v>3.7999999999999999E-2</v>
      </c>
    </row>
    <row r="1140" spans="1:6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  <c r="F1140" s="2">
        <v>3.5000000000000003E-2</v>
      </c>
    </row>
    <row r="1141" spans="1:6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  <c r="F1141" s="2">
        <v>2.5999999999999999E-2</v>
      </c>
    </row>
    <row r="1142" spans="1:6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  <c r="F1142" s="2">
        <v>1.75</v>
      </c>
    </row>
    <row r="1143" spans="1:6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  <c r="F1143" s="2">
        <v>4.4000000000000004</v>
      </c>
    </row>
    <row r="1144" spans="1:6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  <c r="F1144" s="2">
        <v>25.5</v>
      </c>
    </row>
    <row r="1145" spans="1:6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  <c r="F1145" s="2">
        <v>47.5</v>
      </c>
    </row>
    <row r="1146" spans="1:6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  <c r="F1146" s="2">
        <v>124</v>
      </c>
    </row>
    <row r="1147" spans="1:6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  <c r="F1147" s="2">
        <v>120.6</v>
      </c>
    </row>
    <row r="1148" spans="1:6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  <c r="F1148" s="2">
        <v>666</v>
      </c>
    </row>
    <row r="1149" spans="1:6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  <c r="F1149" s="2">
        <v>774</v>
      </c>
    </row>
    <row r="1150" spans="1:6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  <c r="F1150" s="2">
        <v>3942</v>
      </c>
    </row>
    <row r="1151" spans="1:6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  <c r="F1151" s="2">
        <v>4152</v>
      </c>
    </row>
    <row r="1152" spans="1:6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  <c r="F1152" s="2">
        <v>3567456</v>
      </c>
    </row>
    <row r="1153" spans="1:6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  <c r="F1153" s="2">
        <v>1437.6</v>
      </c>
    </row>
    <row r="1154" spans="1:6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  <c r="F1154" s="2" t="s">
        <v>3</v>
      </c>
    </row>
    <row r="1155" spans="1:6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  <c r="F1155" s="2">
        <v>142.91999999999999</v>
      </c>
    </row>
    <row r="1156" spans="1:6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  <c r="F1156" s="2" t="s">
        <v>3</v>
      </c>
    </row>
    <row r="1157" spans="1:6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  <c r="F1157" s="2">
        <v>24.6</v>
      </c>
    </row>
    <row r="1158" spans="1:6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  <c r="F1158" s="2">
        <v>643680</v>
      </c>
    </row>
    <row r="1159" spans="1:6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  <c r="F1159" s="2">
        <v>11268</v>
      </c>
    </row>
    <row r="1160" spans="1:6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  <c r="F1160" s="2">
        <v>19332</v>
      </c>
    </row>
    <row r="1161" spans="1:6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  <c r="F1161" s="2">
        <v>4.5999999999999996</v>
      </c>
    </row>
    <row r="1162" spans="1:6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  <c r="F1162" s="2">
        <v>1200</v>
      </c>
    </row>
    <row r="1163" spans="1:6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  <c r="F1163" s="2">
        <v>237</v>
      </c>
    </row>
    <row r="1164" spans="1:6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  <c r="F1164" s="2">
        <v>72.8</v>
      </c>
    </row>
    <row r="1165" spans="1:6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  <c r="F1165" s="2">
        <v>3.76</v>
      </c>
    </row>
    <row r="1166" spans="1:6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  <c r="F1166" s="2">
        <v>6</v>
      </c>
    </row>
    <row r="1167" spans="1:6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  <c r="F1167" s="2">
        <v>1.23</v>
      </c>
    </row>
    <row r="1168" spans="1:6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  <c r="F1168" s="2">
        <v>0.78</v>
      </c>
    </row>
    <row r="1169" spans="1:6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  <c r="F1169" s="2">
        <v>0.52900000000000003</v>
      </c>
    </row>
    <row r="1170" spans="1:6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  <c r="F1170" s="2">
        <v>0.3</v>
      </c>
    </row>
    <row r="1171" spans="1:6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  <c r="F1171" s="2">
        <v>0.191</v>
      </c>
    </row>
    <row r="1172" spans="1:6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  <c r="F1172" s="2">
        <v>0.159</v>
      </c>
    </row>
    <row r="1173" spans="1:6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  <c r="F1173" s="2">
        <v>5.1999999999999998E-2</v>
      </c>
    </row>
    <row r="1174" spans="1:6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  <c r="F1174" s="2">
        <v>0.109</v>
      </c>
    </row>
    <row r="1175" spans="1:6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  <c r="F1175" s="2">
        <v>5.8000000000000003E-2</v>
      </c>
    </row>
    <row r="1176" spans="1:6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  <c r="F1176" s="2">
        <v>4.5999999999999999E-2</v>
      </c>
    </row>
    <row r="1177" spans="1:6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  <c r="F1177" s="2">
        <v>4.2000000000000003E-2</v>
      </c>
    </row>
    <row r="1178" spans="1:6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  <c r="F1178" s="2">
        <v>3.5000000000000003E-2</v>
      </c>
    </row>
    <row r="1179" spans="1:6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  <c r="F1179" s="2">
        <v>2.8000000000000001E-2</v>
      </c>
    </row>
    <row r="1180" spans="1:6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  <c r="F1180" s="2">
        <v>1.03</v>
      </c>
    </row>
    <row r="1181" spans="1:6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  <c r="F1181" s="2">
        <v>1.1000000000000001</v>
      </c>
    </row>
    <row r="1182" spans="1:6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  <c r="F1182" s="2">
        <v>9.1999999999999993</v>
      </c>
    </row>
    <row r="1183" spans="1:6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  <c r="F1183" s="2">
        <v>16</v>
      </c>
    </row>
    <row r="1184" spans="1:6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  <c r="F1184" s="2">
        <v>49.1</v>
      </c>
    </row>
    <row r="1185" spans="1:6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  <c r="F1185" s="2">
        <v>81.599999999999994</v>
      </c>
    </row>
    <row r="1186" spans="1:6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  <c r="F1186" s="2">
        <v>330</v>
      </c>
    </row>
    <row r="1187" spans="1:6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  <c r="F1187" s="2">
        <v>438</v>
      </c>
    </row>
    <row r="1188" spans="1:6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  <c r="F1188" s="2">
        <v>3462</v>
      </c>
    </row>
    <row r="1189" spans="1:6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  <c r="F1189" s="2">
        <v>3330</v>
      </c>
    </row>
    <row r="1190" spans="1:6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  <c r="F1190" s="2">
        <v>1.1360736E+28</v>
      </c>
    </row>
    <row r="1191" spans="1:6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  <c r="F1191" s="2">
        <v>23400</v>
      </c>
    </row>
    <row r="1192" spans="1:6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  <c r="F1192" s="2">
        <v>5.9959439999999997E+25</v>
      </c>
    </row>
    <row r="1193" spans="1:6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  <c r="F1193" s="2">
        <v>39864960</v>
      </c>
    </row>
    <row r="1194" spans="1:6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  <c r="F1194" s="2" t="s">
        <v>3</v>
      </c>
    </row>
    <row r="1195" spans="1:6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  <c r="F1195" s="2" t="s">
        <v>3</v>
      </c>
    </row>
    <row r="1196" spans="1:6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  <c r="F1196" s="2" t="s">
        <v>3</v>
      </c>
    </row>
    <row r="1197" spans="1:6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  <c r="F1197" s="2">
        <v>2.5246080000000001E+23</v>
      </c>
    </row>
    <row r="1198" spans="1:6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  <c r="F1198" s="2">
        <v>6.627096E+25</v>
      </c>
    </row>
    <row r="1199" spans="1:6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  <c r="F1199" s="2">
        <v>192456</v>
      </c>
    </row>
    <row r="1200" spans="1:6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  <c r="F1200" s="2">
        <v>1.0414008E+27</v>
      </c>
    </row>
    <row r="1201" spans="1:6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  <c r="F1201" s="2">
        <v>8964</v>
      </c>
    </row>
    <row r="1202" spans="1:6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  <c r="F1202" s="2">
        <v>3018</v>
      </c>
    </row>
    <row r="1203" spans="1:6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  <c r="F1203" s="2">
        <v>161.4</v>
      </c>
    </row>
    <row r="1204" spans="1:6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  <c r="F1204" s="2">
        <v>50.8</v>
      </c>
    </row>
    <row r="1205" spans="1:6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  <c r="F1205" s="2">
        <v>13.5</v>
      </c>
    </row>
    <row r="1206" spans="1:6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  <c r="F1206" s="2">
        <v>5.24</v>
      </c>
    </row>
    <row r="1207" spans="1:6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  <c r="F1207" s="2">
        <v>2.1</v>
      </c>
    </row>
    <row r="1208" spans="1:6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  <c r="F1208" s="2">
        <v>1.25</v>
      </c>
    </row>
    <row r="1209" spans="1:6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  <c r="F1209" s="2">
        <v>0.68</v>
      </c>
    </row>
    <row r="1210" spans="1:6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  <c r="F1210" s="2">
        <v>0.51500000000000001</v>
      </c>
    </row>
    <row r="1211" spans="1:6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  <c r="F1211" s="2">
        <v>0.37</v>
      </c>
    </row>
    <row r="1212" spans="1:6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  <c r="F1212" s="2">
        <v>0.28000000000000003</v>
      </c>
    </row>
    <row r="1213" spans="1:6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  <c r="F1213" s="2">
        <v>0.154</v>
      </c>
    </row>
    <row r="1214" spans="1:6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  <c r="F1214" s="2">
        <v>0.16200000000000001</v>
      </c>
    </row>
    <row r="1215" spans="1:6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  <c r="F1215" s="2">
        <v>6.8000000000000005E-2</v>
      </c>
    </row>
    <row r="1216" spans="1:6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  <c r="F1216" s="2">
        <v>9.7000000000000003E-2</v>
      </c>
    </row>
    <row r="1217" spans="1:6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  <c r="F1217" s="2">
        <v>5.7000000000000002E-2</v>
      </c>
    </row>
    <row r="1218" spans="1:6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  <c r="F1218" s="2">
        <v>6.5000000000000002E-2</v>
      </c>
    </row>
    <row r="1219" spans="1:6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  <c r="F1219" s="2">
        <v>3.2000000000000001E-2</v>
      </c>
    </row>
    <row r="1220" spans="1:6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  <c r="F1220" s="2">
        <v>3</v>
      </c>
    </row>
    <row r="1221" spans="1:6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  <c r="F1221" s="2">
        <v>5.8</v>
      </c>
    </row>
    <row r="1222" spans="1:6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  <c r="F1222" s="2">
        <v>15.1</v>
      </c>
    </row>
    <row r="1223" spans="1:6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  <c r="F1223" s="2">
        <v>23.3</v>
      </c>
    </row>
    <row r="1224" spans="1:6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  <c r="F1224" s="2">
        <v>65</v>
      </c>
    </row>
    <row r="1225" spans="1:6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  <c r="F1225" s="2">
        <v>108</v>
      </c>
    </row>
    <row r="1226" spans="1:6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  <c r="F1226" s="2">
        <v>304.2</v>
      </c>
    </row>
    <row r="1227" spans="1:6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  <c r="F1227" s="2">
        <v>372</v>
      </c>
    </row>
    <row r="1228" spans="1:6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  <c r="F1228" s="2">
        <v>1944</v>
      </c>
    </row>
    <row r="1229" spans="1:6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  <c r="F1229" s="2">
        <v>3480</v>
      </c>
    </row>
    <row r="1230" spans="1:6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  <c r="F1230" s="2">
        <v>15001.199999999901</v>
      </c>
    </row>
    <row r="1231" spans="1:6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  <c r="F1231" s="2">
        <v>17640</v>
      </c>
    </row>
    <row r="1232" spans="1:6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  <c r="F1232" s="2">
        <v>242326.08</v>
      </c>
    </row>
    <row r="1233" spans="1:6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  <c r="F1233" s="2">
        <v>892.8</v>
      </c>
    </row>
    <row r="1234" spans="1:6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  <c r="F1234" s="2" t="s">
        <v>3</v>
      </c>
    </row>
    <row r="1235" spans="1:6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  <c r="F1235" s="2">
        <v>71.900000000000006</v>
      </c>
    </row>
    <row r="1236" spans="1:6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  <c r="F1236" s="2">
        <v>1.3916901599999999E+22</v>
      </c>
    </row>
    <row r="1237" spans="1:6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  <c r="F1237" s="2">
        <v>14.1</v>
      </c>
    </row>
    <row r="1238" spans="1:6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  <c r="F1238" s="2">
        <v>2592</v>
      </c>
    </row>
    <row r="1239" spans="1:6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  <c r="F1239" s="2">
        <v>5</v>
      </c>
    </row>
    <row r="1240" spans="1:6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  <c r="F1240" s="2">
        <v>144</v>
      </c>
    </row>
    <row r="1241" spans="1:6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  <c r="F1241" s="2">
        <v>3.08</v>
      </c>
    </row>
    <row r="1242" spans="1:6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  <c r="F1242" s="2">
        <v>23.1</v>
      </c>
    </row>
    <row r="1243" spans="1:6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  <c r="F1243" s="2">
        <v>1.5</v>
      </c>
    </row>
    <row r="1244" spans="1:6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  <c r="F1244" s="2">
        <v>6.17</v>
      </c>
    </row>
    <row r="1245" spans="1:6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  <c r="F1245" s="2">
        <v>3.12</v>
      </c>
    </row>
    <row r="1246" spans="1:6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  <c r="F1246" s="2">
        <v>2.36</v>
      </c>
    </row>
    <row r="1247" spans="1:6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  <c r="F1247" s="2">
        <v>1.53</v>
      </c>
    </row>
    <row r="1248" spans="1:6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  <c r="F1248" s="2">
        <v>1.0900000000000001</v>
      </c>
    </row>
    <row r="1249" spans="1:6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  <c r="F1249" s="2">
        <v>0.84</v>
      </c>
    </row>
    <row r="1250" spans="1:6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  <c r="F1250" s="2">
        <v>0.61099999999999999</v>
      </c>
    </row>
    <row r="1251" spans="1:6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  <c r="F1251" s="2">
        <v>0.28999999999999998</v>
      </c>
    </row>
    <row r="1252" spans="1:6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  <c r="F1252" s="2">
        <v>0.28000000000000003</v>
      </c>
    </row>
    <row r="1253" spans="1:6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  <c r="F1253" s="2">
        <v>0.20699999999999999</v>
      </c>
    </row>
    <row r="1254" spans="1:6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  <c r="F1254" s="2">
        <v>0.16500000000000001</v>
      </c>
    </row>
    <row r="1255" spans="1:6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  <c r="F1255" s="2">
        <v>0.14000000000000001</v>
      </c>
    </row>
    <row r="1256" spans="1:6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  <c r="F1256" s="2">
        <v>9.1999999999999998E-2</v>
      </c>
    </row>
    <row r="1257" spans="1:6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  <c r="F1257" s="2">
        <v>8.5000000000000006E-2</v>
      </c>
    </row>
    <row r="1258" spans="1:6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  <c r="F1258" s="2">
        <v>6.5000000000000002E-2</v>
      </c>
    </row>
    <row r="1259" spans="1:6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  <c r="F1259" s="2">
        <v>1.1599999999999999</v>
      </c>
    </row>
    <row r="1260" spans="1:6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  <c r="F1260" s="2">
        <v>1.7</v>
      </c>
    </row>
    <row r="1261" spans="1:6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  <c r="F1261" s="2">
        <v>3.8</v>
      </c>
    </row>
    <row r="1262" spans="1:6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  <c r="F1262" s="2">
        <v>7</v>
      </c>
    </row>
    <row r="1263" spans="1:6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  <c r="F1263" s="2">
        <v>20.8</v>
      </c>
    </row>
    <row r="1264" spans="1:6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  <c r="F1264" s="2">
        <v>32.700000000000003</v>
      </c>
    </row>
    <row r="1265" spans="1:6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  <c r="F1265" s="2">
        <v>115</v>
      </c>
    </row>
    <row r="1266" spans="1:6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  <c r="F1266" s="2">
        <v>174</v>
      </c>
    </row>
    <row r="1267" spans="1:6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  <c r="F1267" s="2">
        <v>618</v>
      </c>
    </row>
    <row r="1268" spans="1:6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  <c r="F1268" s="2">
        <v>1080</v>
      </c>
    </row>
    <row r="1269" spans="1:6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  <c r="F1269" s="2">
        <v>14796</v>
      </c>
    </row>
    <row r="1270" spans="1:6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  <c r="F1270" s="2">
        <v>2118</v>
      </c>
    </row>
    <row r="1271" spans="1:6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  <c r="F1271" s="2">
        <v>9943776</v>
      </c>
    </row>
    <row r="1272" spans="1:6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  <c r="F1272" s="2" t="s">
        <v>3</v>
      </c>
    </row>
    <row r="1273" spans="1:6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  <c r="F1273" s="2" t="s">
        <v>3</v>
      </c>
    </row>
    <row r="1274" spans="1:6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  <c r="F1274" s="2" t="s">
        <v>3</v>
      </c>
    </row>
    <row r="1275" spans="1:6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  <c r="F1275" s="2" t="s">
        <v>3</v>
      </c>
    </row>
    <row r="1276" spans="1:6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  <c r="F1276" s="2" t="s">
        <v>3</v>
      </c>
    </row>
    <row r="1277" spans="1:6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  <c r="F1277" s="2" t="s">
        <v>3</v>
      </c>
    </row>
    <row r="1278" spans="1:6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  <c r="F1278" s="2" t="s">
        <v>3</v>
      </c>
    </row>
    <row r="1279" spans="1:6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  <c r="F1279" s="2">
        <v>97308</v>
      </c>
    </row>
    <row r="1280" spans="1:6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  <c r="F1280" s="2" t="s">
        <v>3</v>
      </c>
    </row>
    <row r="1281" spans="1:6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  <c r="F1281" s="2">
        <v>11162879.999999899</v>
      </c>
    </row>
    <row r="1282" spans="1:6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  <c r="F1282" s="2">
        <v>3.786912E+28</v>
      </c>
    </row>
    <row r="1283" spans="1:6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  <c r="F1283" s="2">
        <v>832896</v>
      </c>
    </row>
    <row r="1284" spans="1:6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  <c r="F1284" s="2">
        <v>7258248000000</v>
      </c>
    </row>
    <row r="1285" spans="1:6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  <c r="F1285" s="2">
        <v>7560</v>
      </c>
    </row>
    <row r="1286" spans="1:6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  <c r="F1286" s="2">
        <v>3544.2</v>
      </c>
    </row>
    <row r="1287" spans="1:6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  <c r="F1287" s="2">
        <v>133.80000000000001</v>
      </c>
    </row>
    <row r="1288" spans="1:6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  <c r="F1288" s="2">
        <v>223.2</v>
      </c>
    </row>
    <row r="1289" spans="1:6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  <c r="F1289" s="2">
        <v>56</v>
      </c>
    </row>
    <row r="1290" spans="1:6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  <c r="F1290" s="2">
        <v>39.700000000000003</v>
      </c>
    </row>
    <row r="1291" spans="1:6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  <c r="F1291" s="2">
        <v>1.46</v>
      </c>
    </row>
    <row r="1292" spans="1:6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  <c r="F1292" s="2">
        <v>1.05</v>
      </c>
    </row>
    <row r="1293" spans="1:6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  <c r="F1293" s="2">
        <v>0.53</v>
      </c>
    </row>
    <row r="1294" spans="1:6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  <c r="F1294" s="2">
        <v>0.28999999999999998</v>
      </c>
    </row>
    <row r="1295" spans="1:6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  <c r="F1295" s="2">
        <v>0.19</v>
      </c>
    </row>
    <row r="1296" spans="1:6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  <c r="F1296" s="2">
        <v>0.14000000000000001</v>
      </c>
    </row>
    <row r="1297" spans="1:6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  <c r="F1297" s="2">
        <v>0.13</v>
      </c>
    </row>
    <row r="1298" spans="1:6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  <c r="F1298" s="2">
        <v>1.5E-6</v>
      </c>
    </row>
    <row r="1299" spans="1:6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  <c r="F1299" s="2">
        <v>0.44</v>
      </c>
    </row>
    <row r="1300" spans="1:6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  <c r="F1300" s="2">
        <v>1.22</v>
      </c>
    </row>
    <row r="1301" spans="1:6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  <c r="F1301" s="2">
        <v>0.6</v>
      </c>
    </row>
    <row r="1302" spans="1:6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  <c r="F1302" s="2">
        <v>4</v>
      </c>
    </row>
    <row r="1303" spans="1:6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  <c r="F1303" s="2">
        <v>7.4</v>
      </c>
    </row>
    <row r="1304" spans="1:6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  <c r="F1304" s="2">
        <v>17</v>
      </c>
    </row>
    <row r="1305" spans="1:6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  <c r="F1305" s="2">
        <v>23</v>
      </c>
    </row>
    <row r="1306" spans="1:6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  <c r="F1306" s="2">
        <v>75</v>
      </c>
    </row>
    <row r="1307" spans="1:6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  <c r="F1307" s="2">
        <v>53.5</v>
      </c>
    </row>
    <row r="1308" spans="1:6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  <c r="F1308" s="2">
        <v>400.2</v>
      </c>
    </row>
    <row r="1309" spans="1:6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  <c r="F1309" s="2">
        <v>209.4</v>
      </c>
    </row>
    <row r="1310" spans="1:6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  <c r="F1310" s="2">
        <v>1926</v>
      </c>
    </row>
    <row r="1311" spans="1:6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  <c r="F1311" s="2">
        <v>948</v>
      </c>
    </row>
    <row r="1312" spans="1:6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  <c r="F1312" s="2">
        <v>10080</v>
      </c>
    </row>
    <row r="1313" spans="1:6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  <c r="F1313" s="2">
        <v>216</v>
      </c>
    </row>
    <row r="1314" spans="1:6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  <c r="F1314" s="2">
        <v>137484</v>
      </c>
    </row>
    <row r="1315" spans="1:6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  <c r="F1315" s="2">
        <v>953.4</v>
      </c>
    </row>
    <row r="1316" spans="1:6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  <c r="F1316" s="2" t="s">
        <v>3</v>
      </c>
    </row>
    <row r="1317" spans="1:6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  <c r="F1317" s="2">
        <v>235336.32000000001</v>
      </c>
    </row>
    <row r="1318" spans="1:6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  <c r="F1318" s="2" t="s">
        <v>3</v>
      </c>
    </row>
    <row r="1319" spans="1:6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  <c r="F1319" s="2">
        <v>5201280</v>
      </c>
    </row>
    <row r="1320" spans="1:6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  <c r="F1320" s="2">
        <v>87053533.055999994</v>
      </c>
    </row>
    <row r="1321" spans="1:6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  <c r="F1321" s="2">
        <v>1067040</v>
      </c>
    </row>
    <row r="1322" spans="1:6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  <c r="F1322" s="2">
        <v>332640</v>
      </c>
    </row>
    <row r="1323" spans="1:6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  <c r="F1323" s="2">
        <v>32580</v>
      </c>
    </row>
    <row r="1324" spans="1:6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  <c r="F1324" s="2">
        <v>15717.5999999999</v>
      </c>
    </row>
    <row r="1325" spans="1:6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  <c r="F1325" s="2">
        <v>2370</v>
      </c>
    </row>
    <row r="1326" spans="1:6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  <c r="F1326" s="2">
        <v>1381.8</v>
      </c>
    </row>
    <row r="1327" spans="1:6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  <c r="F1327" s="2">
        <v>167.4</v>
      </c>
    </row>
    <row r="1328" spans="1:6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  <c r="F1328" s="2">
        <v>140.39999999999901</v>
      </c>
    </row>
    <row r="1329" spans="1:6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  <c r="F1329" s="2">
        <v>0.78</v>
      </c>
    </row>
    <row r="1330" spans="1:6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  <c r="F1330" s="2">
        <v>1.679</v>
      </c>
    </row>
    <row r="1331" spans="1:6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  <c r="F1331" s="2">
        <v>0.92300000000000004</v>
      </c>
    </row>
    <row r="1332" spans="1:6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  <c r="F1332" s="2">
        <v>0.49199999999999999</v>
      </c>
    </row>
    <row r="1333" spans="1:6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  <c r="F1333" s="2">
        <v>0.34799999999999998</v>
      </c>
    </row>
    <row r="1334" spans="1:6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  <c r="F1334" s="2">
        <v>9.2999999999999999E-2</v>
      </c>
    </row>
    <row r="1335" spans="1:6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  <c r="F1335" s="2">
        <v>4.0699999999999998E-7</v>
      </c>
    </row>
    <row r="1336" spans="1:6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  <c r="F1336" s="2">
        <v>6.1999999999999999E-7</v>
      </c>
    </row>
    <row r="1337" spans="1:6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  <c r="F1337" s="2">
        <v>6.9999999999999994E-5</v>
      </c>
    </row>
    <row r="1338" spans="1:6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  <c r="F1338" s="2">
        <v>3.0999999999999999E-3</v>
      </c>
    </row>
    <row r="1339" spans="1:6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  <c r="F1339" s="2">
        <v>2.1</v>
      </c>
    </row>
    <row r="1340" spans="1:6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  <c r="F1340" s="2">
        <v>4.5999999999999996</v>
      </c>
    </row>
    <row r="1341" spans="1:6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  <c r="F1341" s="2">
        <v>18.600000000000001</v>
      </c>
    </row>
    <row r="1342" spans="1:6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  <c r="F1342" s="2">
        <v>19.3</v>
      </c>
    </row>
    <row r="1343" spans="1:6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  <c r="F1343" s="2">
        <v>120</v>
      </c>
    </row>
    <row r="1344" spans="1:6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  <c r="F1344" s="2">
        <v>102</v>
      </c>
    </row>
    <row r="1345" spans="1:6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  <c r="F1345" s="2">
        <v>912</v>
      </c>
    </row>
    <row r="1346" spans="1:6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  <c r="F1346" s="2">
        <v>348</v>
      </c>
    </row>
    <row r="1347" spans="1:6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  <c r="F1347" s="2">
        <v>8964</v>
      </c>
    </row>
    <row r="1348" spans="1:6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  <c r="F1348" s="2">
        <v>3720</v>
      </c>
    </row>
    <row r="1349" spans="1:6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  <c r="F1349" s="2">
        <v>518400</v>
      </c>
    </row>
    <row r="1350" spans="1:6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  <c r="F1350" s="2">
        <v>57780</v>
      </c>
    </row>
    <row r="1351" spans="1:6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  <c r="F1351" s="2" t="s">
        <v>3</v>
      </c>
    </row>
    <row r="1352" spans="1:6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  <c r="F1352" s="2">
        <v>1656288</v>
      </c>
    </row>
    <row r="1353" spans="1:6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  <c r="F1353" s="2" t="s">
        <v>3</v>
      </c>
    </row>
    <row r="1354" spans="1:6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  <c r="F1354" s="2">
        <v>2.9032991999999999E+24</v>
      </c>
    </row>
    <row r="1355" spans="1:6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  <c r="F1355" s="2" t="s">
        <v>3</v>
      </c>
    </row>
    <row r="1356" spans="1:6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  <c r="F1356" s="2" t="s">
        <v>3</v>
      </c>
    </row>
    <row r="1357" spans="1:6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  <c r="F1357" s="2" t="s">
        <v>3</v>
      </c>
    </row>
    <row r="1358" spans="1:6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  <c r="F1358" s="2">
        <v>33660</v>
      </c>
    </row>
    <row r="1359" spans="1:6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  <c r="F1359" s="2">
        <v>7.6053815999999996E+31</v>
      </c>
    </row>
    <row r="1360" spans="1:6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  <c r="F1360" s="2">
        <v>4194</v>
      </c>
    </row>
    <row r="1361" spans="1:6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  <c r="F1361" s="2">
        <v>9.46728E+31</v>
      </c>
    </row>
    <row r="1362" spans="1:6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  <c r="F1362" s="2">
        <v>1500</v>
      </c>
    </row>
    <row r="1363" spans="1:6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  <c r="F1363" s="2">
        <v>276825.59999999998</v>
      </c>
    </row>
    <row r="1364" spans="1:6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  <c r="F1364" s="2">
        <v>750</v>
      </c>
    </row>
    <row r="1365" spans="1:6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  <c r="F1365" s="2">
        <v>2508</v>
      </c>
    </row>
    <row r="1366" spans="1:6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  <c r="F1366" s="2">
        <v>19</v>
      </c>
    </row>
    <row r="1367" spans="1:6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  <c r="F1367" s="2">
        <v>17.63</v>
      </c>
    </row>
    <row r="1368" spans="1:6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  <c r="F1368" s="2">
        <v>2.4900000000000002</v>
      </c>
    </row>
    <row r="1369" spans="1:6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  <c r="F1369" s="2">
        <v>1.4</v>
      </c>
    </row>
    <row r="1370" spans="1:6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  <c r="F1370" s="2">
        <v>1.4999999999999999E-7</v>
      </c>
    </row>
    <row r="1371" spans="1:6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  <c r="F1371" s="2">
        <v>2.9999999999999999E-7</v>
      </c>
    </row>
    <row r="1372" spans="1:6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  <c r="F1372" s="2">
        <v>1.4999999999999999E-7</v>
      </c>
    </row>
    <row r="1373" spans="1:6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  <c r="F1373" s="2">
        <v>4.08E-7</v>
      </c>
    </row>
    <row r="1374" spans="1:6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  <c r="F1374" s="2">
        <v>3.5999999999999997E-2</v>
      </c>
    </row>
    <row r="1375" spans="1:6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  <c r="F1375" s="2">
        <v>9.3499999999999996E-5</v>
      </c>
    </row>
    <row r="1376" spans="1:6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  <c r="F1376" s="2">
        <v>0.65</v>
      </c>
    </row>
    <row r="1377" spans="1:6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  <c r="F1377" s="2">
        <v>2.5</v>
      </c>
    </row>
    <row r="1378" spans="1:6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  <c r="F1378" s="2">
        <v>3.34</v>
      </c>
    </row>
    <row r="1379" spans="1:6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  <c r="F1379" s="2">
        <v>6.6</v>
      </c>
    </row>
    <row r="1380" spans="1:6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  <c r="F1380" s="2">
        <v>2.1</v>
      </c>
    </row>
    <row r="1381" spans="1:6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  <c r="F1381" s="2">
        <v>78</v>
      </c>
    </row>
    <row r="1382" spans="1:6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  <c r="F1382" s="2">
        <v>2.91</v>
      </c>
    </row>
    <row r="1383" spans="1:6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  <c r="F1383" s="2">
        <v>133.19999999999999</v>
      </c>
    </row>
    <row r="1384" spans="1:6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  <c r="F1384" s="2">
        <v>822</v>
      </c>
    </row>
    <row r="1385" spans="1:6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  <c r="F1385" s="2">
        <v>1146</v>
      </c>
    </row>
    <row r="1386" spans="1:6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  <c r="F1386" s="2">
        <v>4896</v>
      </c>
    </row>
    <row r="1387" spans="1:6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  <c r="F1387" s="2">
        <v>7632</v>
      </c>
    </row>
    <row r="1388" spans="1:6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  <c r="F1388" s="2">
        <v>217.79999999999899</v>
      </c>
    </row>
    <row r="1389" spans="1:6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  <c r="F1389" s="2">
        <v>47604.6</v>
      </c>
    </row>
    <row r="1390" spans="1:6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  <c r="F1390" s="2">
        <v>360806.40000000002</v>
      </c>
    </row>
    <row r="1391" spans="1:6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  <c r="F1391" s="2">
        <v>5132764.8</v>
      </c>
    </row>
    <row r="1392" spans="1:6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  <c r="F1392" s="2">
        <v>1117152</v>
      </c>
    </row>
    <row r="1393" spans="1:6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  <c r="F1393" s="2" t="s">
        <v>3</v>
      </c>
    </row>
    <row r="1394" spans="1:6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  <c r="F1394" s="2">
        <v>1499.3999999999901</v>
      </c>
    </row>
    <row r="1395" spans="1:6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  <c r="F1395" s="2">
        <v>495454320000000</v>
      </c>
    </row>
    <row r="1396" spans="1:6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  <c r="F1396" s="2">
        <v>44496</v>
      </c>
    </row>
    <row r="1397" spans="1:6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  <c r="F1397" s="2">
        <v>693377.28</v>
      </c>
    </row>
    <row r="1398" spans="1:6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  <c r="F1398" s="2">
        <v>8262</v>
      </c>
    </row>
    <row r="1399" spans="1:6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  <c r="F1399" s="2">
        <v>74988</v>
      </c>
    </row>
    <row r="1400" spans="1:6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  <c r="F1400" s="2">
        <v>3150</v>
      </c>
    </row>
    <row r="1401" spans="1:6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  <c r="F1401" s="2">
        <v>23688</v>
      </c>
    </row>
    <row r="1402" spans="1:6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  <c r="F1402" s="2">
        <v>83.4</v>
      </c>
    </row>
    <row r="1403" spans="1:6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  <c r="F1403" s="2">
        <v>24.5</v>
      </c>
    </row>
    <row r="1404" spans="1:6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  <c r="F1404" s="2">
        <v>6.23</v>
      </c>
    </row>
    <row r="1405" spans="1:6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  <c r="F1405" s="2">
        <v>2.2799999999999998</v>
      </c>
    </row>
    <row r="1406" spans="1:6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  <c r="F1406" s="2">
        <v>0.86</v>
      </c>
    </row>
    <row r="1407" spans="1:6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  <c r="F1407" s="2">
        <v>0.43</v>
      </c>
    </row>
    <row r="1408" spans="1:6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  <c r="F1408" s="2">
        <v>0.222</v>
      </c>
    </row>
    <row r="1409" spans="1:6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  <c r="F1409" s="2">
        <v>0.13</v>
      </c>
    </row>
    <row r="1410" spans="1:6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  <c r="F1410" s="2">
        <v>2.9999999999999999E-7</v>
      </c>
    </row>
    <row r="1411" spans="1:6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  <c r="F1411" s="2">
        <v>4.0699999999999998E-7</v>
      </c>
    </row>
    <row r="1412" spans="1:6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  <c r="F1412" s="2">
        <v>1.2999999999999999E-2</v>
      </c>
    </row>
    <row r="1413" spans="1:6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  <c r="F1413" s="2">
        <v>9.2999999999999999E-2</v>
      </c>
    </row>
    <row r="1414" spans="1:6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  <c r="F1414" s="2">
        <v>0.81</v>
      </c>
    </row>
    <row r="1415" spans="1:6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  <c r="F1415" s="2">
        <v>2.7</v>
      </c>
    </row>
    <row r="1416" spans="1:6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  <c r="F1416" s="2">
        <v>2.74</v>
      </c>
    </row>
    <row r="1417" spans="1:6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  <c r="F1417" s="2">
        <v>10</v>
      </c>
    </row>
    <row r="1418" spans="1:6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  <c r="F1418" s="2">
        <v>18</v>
      </c>
    </row>
    <row r="1419" spans="1:6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  <c r="F1419" s="2">
        <v>59</v>
      </c>
    </row>
    <row r="1420" spans="1:6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  <c r="F1420" s="2">
        <v>61</v>
      </c>
    </row>
    <row r="1421" spans="1:6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  <c r="F1421" s="2">
        <v>228</v>
      </c>
    </row>
    <row r="1422" spans="1:6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  <c r="F1422" s="2">
        <v>348</v>
      </c>
    </row>
    <row r="1423" spans="1:6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  <c r="F1423" s="2">
        <v>2400</v>
      </c>
    </row>
    <row r="1424" spans="1:6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  <c r="F1424" s="2">
        <v>2406</v>
      </c>
    </row>
    <row r="1425" spans="1:6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  <c r="F1425" s="2">
        <v>72360</v>
      </c>
    </row>
    <row r="1426" spans="1:6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  <c r="F1426" s="2">
        <v>7488</v>
      </c>
    </row>
    <row r="1427" spans="1:6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  <c r="F1427" s="2">
        <v>5.049216E+21</v>
      </c>
    </row>
    <row r="1428" spans="1:6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  <c r="F1428" s="2">
        <v>60839.999999999898</v>
      </c>
    </row>
    <row r="1429" spans="1:6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  <c r="F1429" s="2" t="s">
        <v>3</v>
      </c>
    </row>
    <row r="1430" spans="1:6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  <c r="F1430" s="2">
        <v>3140294.4</v>
      </c>
    </row>
    <row r="1431" spans="1:6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  <c r="F1431" s="2" t="s">
        <v>3</v>
      </c>
    </row>
    <row r="1432" spans="1:6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  <c r="F1432" s="2" t="s">
        <v>3</v>
      </c>
    </row>
    <row r="1433" spans="1:6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  <c r="F1433" s="2" t="s">
        <v>3</v>
      </c>
    </row>
    <row r="1434" spans="1:6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  <c r="F1434" s="2" t="s">
        <v>3</v>
      </c>
    </row>
    <row r="1435" spans="1:6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  <c r="F1435" s="2" t="s">
        <v>3</v>
      </c>
    </row>
    <row r="1436" spans="1:6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  <c r="F1436" s="2">
        <v>453383.99999999901</v>
      </c>
    </row>
    <row r="1437" spans="1:6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  <c r="F1437" s="2">
        <v>1.8303407999999899E+30</v>
      </c>
    </row>
    <row r="1438" spans="1:6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  <c r="F1438" s="2">
        <v>32904</v>
      </c>
    </row>
    <row r="1439" spans="1:6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  <c r="F1439" s="2">
        <v>7.573824E+28</v>
      </c>
    </row>
    <row r="1440" spans="1:6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  <c r="F1440" s="2">
        <v>229.08</v>
      </c>
    </row>
    <row r="1441" spans="1:6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  <c r="F1441" s="2">
        <v>848.4</v>
      </c>
    </row>
    <row r="1442" spans="1:6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  <c r="F1442" s="2">
        <v>39.68</v>
      </c>
    </row>
    <row r="1443" spans="1:6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  <c r="F1443" s="2">
        <v>13.6</v>
      </c>
    </row>
    <row r="1444" spans="1:6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  <c r="F1444" s="2">
        <v>1.73</v>
      </c>
    </row>
    <row r="1445" spans="1:6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  <c r="F1445" s="2">
        <v>1.23</v>
      </c>
    </row>
    <row r="1446" spans="1:6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  <c r="F1446" s="2">
        <v>0.51100000000000001</v>
      </c>
    </row>
    <row r="1447" spans="1:6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  <c r="F1447" s="2">
        <v>0.38800000000000001</v>
      </c>
    </row>
    <row r="1448" spans="1:6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  <c r="F1448" s="2">
        <v>0.188</v>
      </c>
    </row>
    <row r="1449" spans="1:6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  <c r="F1449" s="2">
        <v>0.14599999999999999</v>
      </c>
    </row>
    <row r="1450" spans="1:6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  <c r="F1450" s="2">
        <v>0.1</v>
      </c>
    </row>
    <row r="1451" spans="1:6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  <c r="F1451" s="2">
        <v>4.08E-7</v>
      </c>
    </row>
    <row r="1452" spans="1:6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  <c r="F1452" s="2">
        <v>4.8999999999999998E-4</v>
      </c>
    </row>
    <row r="1453" spans="1:6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  <c r="F1453" s="2">
        <v>1.77E-5</v>
      </c>
    </row>
    <row r="1454" spans="1:6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  <c r="F1454" s="2">
        <v>0.56999999999999995</v>
      </c>
    </row>
    <row r="1455" spans="1:6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  <c r="F1455" s="2">
        <v>1.4</v>
      </c>
    </row>
    <row r="1456" spans="1:6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  <c r="F1456" s="2">
        <v>0.7</v>
      </c>
    </row>
    <row r="1457" spans="1:6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  <c r="F1457" s="2">
        <v>8.4</v>
      </c>
    </row>
    <row r="1458" spans="1:6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  <c r="F1458" s="2">
        <v>14</v>
      </c>
    </row>
    <row r="1459" spans="1:6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  <c r="F1459" s="2">
        <v>43</v>
      </c>
    </row>
    <row r="1460" spans="1:6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  <c r="F1460" s="2">
        <v>61.3</v>
      </c>
    </row>
    <row r="1461" spans="1:6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  <c r="F1461" s="2">
        <v>155</v>
      </c>
    </row>
    <row r="1462" spans="1:6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  <c r="F1462" s="2">
        <v>21.18</v>
      </c>
    </row>
    <row r="1463" spans="1:6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  <c r="F1463" s="2">
        <v>352.8</v>
      </c>
    </row>
    <row r="1464" spans="1:6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  <c r="F1464" s="2">
        <v>30.9</v>
      </c>
    </row>
    <row r="1465" spans="1:6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  <c r="F1465" s="2">
        <v>2802</v>
      </c>
    </row>
    <row r="1466" spans="1:6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  <c r="F1466" s="2">
        <v>98.399999999999906</v>
      </c>
    </row>
    <row r="1467" spans="1:6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  <c r="F1467" s="2">
        <v>22500</v>
      </c>
    </row>
    <row r="1468" spans="1:6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  <c r="F1468" s="2">
        <v>219.6</v>
      </c>
    </row>
    <row r="1469" spans="1:6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  <c r="F1469" s="2">
        <v>115416</v>
      </c>
    </row>
    <row r="1470" spans="1:6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  <c r="F1470" s="2">
        <v>1752.6</v>
      </c>
    </row>
    <row r="1471" spans="1:6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  <c r="F1471" s="2">
        <v>837129.6</v>
      </c>
    </row>
    <row r="1472" spans="1:6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  <c r="F1472" s="2">
        <v>559872</v>
      </c>
    </row>
    <row r="1473" spans="1:6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  <c r="F1473" s="2" t="s">
        <v>3</v>
      </c>
    </row>
    <row r="1474" spans="1:6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  <c r="F1474" s="2">
        <v>65172755.519999899</v>
      </c>
    </row>
    <row r="1475" spans="1:6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  <c r="F1475" s="2">
        <v>72582480000000</v>
      </c>
    </row>
    <row r="1476" spans="1:6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  <c r="F1476" s="2">
        <v>1126656</v>
      </c>
    </row>
    <row r="1477" spans="1:6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  <c r="F1477" s="2">
        <v>949252608</v>
      </c>
    </row>
    <row r="1478" spans="1:6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  <c r="F1478" s="2">
        <v>2004.6</v>
      </c>
    </row>
    <row r="1479" spans="1:6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  <c r="F1479" s="2">
        <v>556.19999999999902</v>
      </c>
    </row>
    <row r="1480" spans="1:6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  <c r="F1480" s="2">
        <v>63.7</v>
      </c>
    </row>
    <row r="1481" spans="1:6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  <c r="F1481" s="2">
        <v>24.84</v>
      </c>
    </row>
    <row r="1482" spans="1:6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  <c r="F1482" s="2">
        <v>1.6839999999999999</v>
      </c>
    </row>
    <row r="1483" spans="1:6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  <c r="F1483" s="2">
        <v>1.7909999999999999</v>
      </c>
    </row>
    <row r="1484" spans="1:6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  <c r="F1484" s="2">
        <v>0.99399999999999999</v>
      </c>
    </row>
    <row r="1485" spans="1:6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  <c r="F1485" s="2">
        <v>0.58699999999999997</v>
      </c>
    </row>
    <row r="1486" spans="1:6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  <c r="F1486" s="2">
        <v>0.32200000000000001</v>
      </c>
    </row>
    <row r="1487" spans="1:6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  <c r="F1487" s="2">
        <v>0.23</v>
      </c>
    </row>
    <row r="1488" spans="1:6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  <c r="F1488" s="2">
        <v>0.14599999999999999</v>
      </c>
    </row>
    <row r="1489" spans="1:6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  <c r="F1489" s="2">
        <v>0.05</v>
      </c>
    </row>
    <row r="1490" spans="1:6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  <c r="F1490" s="2">
        <v>0.05</v>
      </c>
    </row>
    <row r="1491" spans="1:6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  <c r="F1491" s="2">
        <v>0.05</v>
      </c>
    </row>
    <row r="1492" spans="1:6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  <c r="F1492" s="2">
        <v>0.43</v>
      </c>
    </row>
    <row r="1493" spans="1:6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  <c r="F1493" s="2">
        <v>0.45</v>
      </c>
    </row>
    <row r="1494" spans="1:6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  <c r="F1494" s="2">
        <v>1.3</v>
      </c>
    </row>
    <row r="1495" spans="1:6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  <c r="F1495" s="2">
        <v>1.75</v>
      </c>
    </row>
    <row r="1496" spans="1:6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  <c r="F1496" s="2">
        <v>5.5</v>
      </c>
    </row>
    <row r="1497" spans="1:6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  <c r="F1497" s="2">
        <v>5.4</v>
      </c>
    </row>
    <row r="1498" spans="1:6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  <c r="F1498" s="2">
        <v>24</v>
      </c>
    </row>
    <row r="1499" spans="1:6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  <c r="F1499" s="2">
        <v>29.7</v>
      </c>
    </row>
    <row r="1500" spans="1:6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  <c r="F1500" s="2">
        <v>117</v>
      </c>
    </row>
    <row r="1501" spans="1:6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  <c r="F1501" s="2">
        <v>162</v>
      </c>
    </row>
    <row r="1502" spans="1:6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  <c r="F1502" s="2">
        <v>660</v>
      </c>
    </row>
    <row r="1503" spans="1:6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  <c r="F1503" s="2">
        <v>198</v>
      </c>
    </row>
    <row r="1504" spans="1:6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  <c r="F1504" s="2">
        <v>6000</v>
      </c>
    </row>
    <row r="1505" spans="1:6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  <c r="F1505" s="2">
        <v>762</v>
      </c>
    </row>
    <row r="1506" spans="1:6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  <c r="F1506" s="2">
        <v>209952</v>
      </c>
    </row>
    <row r="1507" spans="1:6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  <c r="F1507" s="2">
        <v>8028</v>
      </c>
    </row>
    <row r="1508" spans="1:6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  <c r="F1508" s="2" t="s">
        <v>3</v>
      </c>
    </row>
    <row r="1509" spans="1:6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  <c r="F1509" s="2">
        <v>993600</v>
      </c>
    </row>
    <row r="1510" spans="1:6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  <c r="F1510" s="2">
        <v>9.4672799999999999E+28</v>
      </c>
    </row>
    <row r="1511" spans="1:6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  <c r="F1511" s="2">
        <v>332964237.60000002</v>
      </c>
    </row>
    <row r="1512" spans="1:6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  <c r="F1512" s="2" t="s">
        <v>3</v>
      </c>
    </row>
    <row r="1513" spans="1:6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  <c r="F1513" s="2" t="s">
        <v>3</v>
      </c>
    </row>
    <row r="1514" spans="1:6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  <c r="F1514" s="2" t="s">
        <v>3</v>
      </c>
    </row>
    <row r="1515" spans="1:6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  <c r="F1515" s="2" t="s">
        <v>3</v>
      </c>
    </row>
    <row r="1516" spans="1:6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  <c r="F1516" s="2" t="s">
        <v>3</v>
      </c>
    </row>
    <row r="1517" spans="1:6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  <c r="F1517" s="2">
        <v>4983.6000000000004</v>
      </c>
    </row>
    <row r="1518" spans="1:6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  <c r="F1518" s="2">
        <v>1101833.28</v>
      </c>
    </row>
    <row r="1519" spans="1:6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  <c r="F1519" s="2">
        <v>1096.2</v>
      </c>
    </row>
    <row r="1520" spans="1:6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  <c r="F1520" s="2">
        <v>636</v>
      </c>
    </row>
    <row r="1521" spans="1:6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  <c r="F1521" s="2">
        <v>14.5</v>
      </c>
    </row>
    <row r="1522" spans="1:6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  <c r="F1522" s="2">
        <v>11.5</v>
      </c>
    </row>
    <row r="1523" spans="1:6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  <c r="F1523" s="2">
        <v>4.3099999999999996</v>
      </c>
    </row>
    <row r="1524" spans="1:6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  <c r="F1524" s="2">
        <v>2.2200000000000002</v>
      </c>
    </row>
    <row r="1525" spans="1:6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  <c r="F1525" s="2">
        <v>0.89400000000000002</v>
      </c>
    </row>
    <row r="1526" spans="1:6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  <c r="F1526" s="2">
        <v>0.61199999999999999</v>
      </c>
    </row>
    <row r="1527" spans="1:6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  <c r="F1527" s="2">
        <v>0.34399999999999997</v>
      </c>
    </row>
    <row r="1528" spans="1:6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  <c r="F1528" s="2">
        <v>0.3</v>
      </c>
    </row>
    <row r="1529" spans="1:6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  <c r="F1529" s="2">
        <v>2.9999999999999999E-7</v>
      </c>
    </row>
    <row r="1530" spans="1:6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  <c r="F1530" s="2">
        <v>4.0600000000000001E-7</v>
      </c>
    </row>
    <row r="1531" spans="1:6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  <c r="F1531" s="2">
        <v>2.35E-2</v>
      </c>
    </row>
    <row r="1532" spans="1:6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  <c r="F1532" s="2">
        <v>2.8</v>
      </c>
    </row>
    <row r="1533" spans="1:6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  <c r="F1533" s="2">
        <v>5.3</v>
      </c>
    </row>
    <row r="1534" spans="1:6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  <c r="F1534" s="2">
        <v>8.6</v>
      </c>
    </row>
    <row r="1535" spans="1:6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  <c r="F1535" s="2">
        <v>17</v>
      </c>
    </row>
    <row r="1536" spans="1:6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  <c r="F1536" s="2">
        <v>29.21</v>
      </c>
    </row>
    <row r="1537" spans="1:6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  <c r="F1537" s="2">
        <v>64.8</v>
      </c>
    </row>
    <row r="1538" spans="1:6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  <c r="F1538" s="2">
        <v>54</v>
      </c>
    </row>
    <row r="1539" spans="1:6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  <c r="F1539" s="2">
        <v>306</v>
      </c>
    </row>
    <row r="1540" spans="1:6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  <c r="F1540" s="2">
        <v>310.79999999999899</v>
      </c>
    </row>
    <row r="1541" spans="1:6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  <c r="F1541" s="2">
        <v>696</v>
      </c>
    </row>
    <row r="1542" spans="1:6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  <c r="F1542" s="2">
        <v>522</v>
      </c>
    </row>
    <row r="1543" spans="1:6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  <c r="F1543" s="2">
        <v>3540</v>
      </c>
    </row>
    <row r="1544" spans="1:6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  <c r="F1544" s="2">
        <v>17280</v>
      </c>
    </row>
    <row r="1545" spans="1:6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  <c r="F1545" s="2">
        <v>14083.199999999901</v>
      </c>
    </row>
    <row r="1546" spans="1:6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  <c r="F1546" s="2">
        <v>387</v>
      </c>
    </row>
    <row r="1547" spans="1:6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  <c r="F1547" s="2">
        <v>70200</v>
      </c>
    </row>
    <row r="1548" spans="1:6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  <c r="F1548" s="2">
        <v>592.19999999999902</v>
      </c>
    </row>
    <row r="1549" spans="1:6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  <c r="F1549" s="2">
        <v>1893456000000</v>
      </c>
    </row>
    <row r="1550" spans="1:6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  <c r="F1550" s="2">
        <v>3.2188752E+18</v>
      </c>
    </row>
    <row r="1551" spans="1:6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  <c r="F1551" s="2" t="s">
        <v>3</v>
      </c>
    </row>
    <row r="1552" spans="1:6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  <c r="F1552" s="2">
        <v>145026.72</v>
      </c>
    </row>
    <row r="1553" spans="1:6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  <c r="F1553" s="2">
        <v>14112</v>
      </c>
    </row>
    <row r="1554" spans="1:6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  <c r="F1554" s="2">
        <v>5466</v>
      </c>
    </row>
    <row r="1555" spans="1:6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  <c r="F1555" s="2">
        <v>852</v>
      </c>
    </row>
    <row r="1556" spans="1:6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  <c r="F1556" s="2">
        <v>40.799999999999997</v>
      </c>
    </row>
    <row r="1557" spans="1:6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  <c r="F1557" s="2">
        <v>24.8</v>
      </c>
    </row>
    <row r="1558" spans="1:6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  <c r="F1558" s="2">
        <v>6.27</v>
      </c>
    </row>
    <row r="1559" spans="1:6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  <c r="F1559" s="2">
        <v>4.0599999999999996</v>
      </c>
    </row>
    <row r="1560" spans="1:6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  <c r="F1560" s="2">
        <v>1.26</v>
      </c>
    </row>
    <row r="1561" spans="1:6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  <c r="F1561" s="2">
        <v>1.05</v>
      </c>
    </row>
    <row r="1562" spans="1:6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  <c r="F1562" s="2">
        <v>0.59</v>
      </c>
    </row>
    <row r="1563" spans="1:6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  <c r="F1563" s="2">
        <v>2.9999999999999999E-7</v>
      </c>
    </row>
    <row r="1564" spans="1:6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  <c r="F1564" s="2">
        <v>1.4999999999999999E-7</v>
      </c>
    </row>
    <row r="1565" spans="1:6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  <c r="F1565" s="2">
        <v>9.9999999999999995E-8</v>
      </c>
    </row>
    <row r="1566" spans="1:6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  <c r="F1566" s="2">
        <v>1.1000000000000001</v>
      </c>
    </row>
    <row r="1567" spans="1:6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  <c r="F1567" s="2">
        <v>3.8</v>
      </c>
    </row>
    <row r="1568" spans="1:6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  <c r="F1568" s="2">
        <v>6</v>
      </c>
    </row>
    <row r="1569" spans="1:6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  <c r="F1569" s="2">
        <v>9.6999999999999993</v>
      </c>
    </row>
    <row r="1570" spans="1:6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  <c r="F1570" s="2">
        <v>51</v>
      </c>
    </row>
    <row r="1571" spans="1:6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  <c r="F1571" s="2">
        <v>34</v>
      </c>
    </row>
    <row r="1572" spans="1:6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  <c r="F1572" s="2">
        <v>235.8</v>
      </c>
    </row>
    <row r="1573" spans="1:6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  <c r="F1573" s="2">
        <v>210</v>
      </c>
    </row>
    <row r="1574" spans="1:6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  <c r="F1574" s="2">
        <v>1374</v>
      </c>
    </row>
    <row r="1575" spans="1:6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  <c r="F1575" s="2">
        <v>618</v>
      </c>
    </row>
    <row r="1576" spans="1:6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  <c r="F1576" s="2">
        <v>12636</v>
      </c>
    </row>
    <row r="1577" spans="1:6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  <c r="F1577" s="2">
        <v>5820</v>
      </c>
    </row>
    <row r="1578" spans="1:6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  <c r="F1578" s="2">
        <v>273024</v>
      </c>
    </row>
    <row r="1579" spans="1:6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  <c r="F1579" s="2">
        <v>63720</v>
      </c>
    </row>
    <row r="1580" spans="1:6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  <c r="F1580" s="2">
        <v>2.209032E+21</v>
      </c>
    </row>
    <row r="1581" spans="1:6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  <c r="F1581" s="2">
        <v>32400</v>
      </c>
    </row>
    <row r="1582" spans="1:6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  <c r="F1582" s="2">
        <v>2.8401840000000003E+21</v>
      </c>
    </row>
    <row r="1583" spans="1:6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  <c r="F1583" s="2">
        <v>11892182.3999999</v>
      </c>
    </row>
    <row r="1584" spans="1:6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  <c r="F1584" s="2" t="s">
        <v>3</v>
      </c>
    </row>
    <row r="1585" spans="1:6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  <c r="F1585" s="2">
        <v>2808950.4</v>
      </c>
    </row>
    <row r="1586" spans="1:6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  <c r="F1586" s="2">
        <v>1.57788E+24</v>
      </c>
    </row>
    <row r="1587" spans="1:6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  <c r="F1587" s="2">
        <v>118940.4</v>
      </c>
    </row>
    <row r="1588" spans="1:6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  <c r="F1588" s="2">
        <v>24616224</v>
      </c>
    </row>
    <row r="1589" spans="1:6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  <c r="F1589" s="2">
        <v>180.6</v>
      </c>
    </row>
    <row r="1590" spans="1:6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  <c r="F1590" s="2">
        <v>809.4</v>
      </c>
    </row>
    <row r="1591" spans="1:6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  <c r="F1591" s="2">
        <v>56.4</v>
      </c>
    </row>
    <row r="1592" spans="1:6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  <c r="F1592" s="2">
        <v>56.8</v>
      </c>
    </row>
    <row r="1593" spans="1:6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  <c r="F1593" s="2">
        <v>5.3</v>
      </c>
    </row>
    <row r="1594" spans="1:6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  <c r="F1594" s="2">
        <v>4</v>
      </c>
    </row>
    <row r="1595" spans="1:6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  <c r="F1595" s="2">
        <v>1.76</v>
      </c>
    </row>
    <row r="1596" spans="1:6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  <c r="F1596" s="2">
        <v>1.4</v>
      </c>
    </row>
    <row r="1597" spans="1:6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  <c r="F1597" s="2">
        <v>9.9999999999999995E-8</v>
      </c>
    </row>
    <row r="1598" spans="1:6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  <c r="F1598" s="2">
        <v>9.9999999999999995E-8</v>
      </c>
    </row>
    <row r="1599" spans="1:6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  <c r="F1599" s="2">
        <v>2.9999999999999999E-7</v>
      </c>
    </row>
    <row r="1600" spans="1:6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  <c r="F1600" s="2">
        <v>0.01</v>
      </c>
    </row>
    <row r="1601" spans="1:6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  <c r="F1601" s="2">
        <v>0.5</v>
      </c>
    </row>
    <row r="1602" spans="1:6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  <c r="F1602" s="2">
        <v>0.8</v>
      </c>
    </row>
    <row r="1603" spans="1:6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  <c r="F1603" s="2">
        <v>1.2</v>
      </c>
    </row>
    <row r="1604" spans="1:6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  <c r="F1604" s="2">
        <v>3.3</v>
      </c>
    </row>
    <row r="1605" spans="1:6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  <c r="F1605" s="2">
        <v>3.14</v>
      </c>
    </row>
    <row r="1606" spans="1:6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  <c r="F1606" s="2">
        <v>4.2</v>
      </c>
    </row>
    <row r="1607" spans="1:6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  <c r="F1607" s="2">
        <v>2.85</v>
      </c>
    </row>
    <row r="1608" spans="1:6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  <c r="F1608" s="2">
        <v>30</v>
      </c>
    </row>
    <row r="1609" spans="1:6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  <c r="F1609" s="2">
        <v>40</v>
      </c>
    </row>
    <row r="1610" spans="1:6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  <c r="F1610" s="2">
        <v>90.6</v>
      </c>
    </row>
    <row r="1611" spans="1:6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  <c r="F1611" s="2">
        <v>96</v>
      </c>
    </row>
    <row r="1612" spans="1:6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  <c r="F1612" s="2">
        <v>390</v>
      </c>
    </row>
    <row r="1613" spans="1:6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  <c r="F1613" s="2">
        <v>660</v>
      </c>
    </row>
    <row r="1614" spans="1:6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  <c r="F1614" s="2">
        <v>1440</v>
      </c>
    </row>
    <row r="1615" spans="1:6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  <c r="F1615" s="2">
        <v>786</v>
      </c>
    </row>
    <row r="1616" spans="1:6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  <c r="F1616" s="2">
        <v>4608</v>
      </c>
    </row>
    <row r="1617" spans="1:6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  <c r="F1617" s="2">
        <v>87</v>
      </c>
    </row>
    <row r="1618" spans="1:6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  <c r="F1618" s="2">
        <v>15876</v>
      </c>
    </row>
    <row r="1619" spans="1:6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  <c r="F1619" s="2">
        <v>203.4</v>
      </c>
    </row>
    <row r="1620" spans="1:6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  <c r="F1620" s="2" t="s">
        <v>3</v>
      </c>
    </row>
    <row r="1621" spans="1:6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  <c r="F1621" s="2">
        <v>68832</v>
      </c>
    </row>
    <row r="1622" spans="1:6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  <c r="F1622" s="2">
        <v>1172448</v>
      </c>
    </row>
    <row r="1623" spans="1:6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  <c r="F1623" s="2">
        <v>1036.8</v>
      </c>
    </row>
    <row r="1624" spans="1:6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  <c r="F1624" s="2">
        <v>21542.400000000001</v>
      </c>
    </row>
    <row r="1625" spans="1:6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  <c r="F1625" s="2">
        <v>1449</v>
      </c>
    </row>
    <row r="1626" spans="1:6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  <c r="F1626" s="2">
        <v>804</v>
      </c>
    </row>
    <row r="1627" spans="1:6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  <c r="F1627" s="2">
        <v>137.4</v>
      </c>
    </row>
    <row r="1628" spans="1:6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  <c r="F1628" s="2">
        <v>135.6</v>
      </c>
    </row>
    <row r="1629" spans="1:6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  <c r="F1629" s="2">
        <v>6.19</v>
      </c>
    </row>
    <row r="1630" spans="1:6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  <c r="F1630" s="2">
        <v>18.899999999999999</v>
      </c>
    </row>
    <row r="1631" spans="1:6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  <c r="F1631" s="2">
        <v>3.57</v>
      </c>
    </row>
    <row r="1632" spans="1:6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  <c r="F1632" s="2">
        <v>4.28</v>
      </c>
    </row>
    <row r="1633" spans="1:6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  <c r="F1633" s="2">
        <v>2.2999999999999998</v>
      </c>
    </row>
    <row r="1634" spans="1:6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  <c r="F1634" s="2">
        <v>2.9999999999999999E-7</v>
      </c>
    </row>
    <row r="1635" spans="1:6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  <c r="F1635" s="2">
        <v>2.9999999999999999E-7</v>
      </c>
    </row>
    <row r="1636" spans="1:6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  <c r="F1636" s="2">
        <v>0.65</v>
      </c>
    </row>
    <row r="1637" spans="1:6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  <c r="F1637" s="2">
        <v>1.9999999999999999E-7</v>
      </c>
    </row>
    <row r="1638" spans="1:6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  <c r="F1638" s="2">
        <v>1.8</v>
      </c>
    </row>
    <row r="1639" spans="1:6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  <c r="F1639" s="2">
        <v>5</v>
      </c>
    </row>
    <row r="1640" spans="1:6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  <c r="F1640" s="2">
        <v>6.7</v>
      </c>
    </row>
    <row r="1641" spans="1:6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  <c r="F1641" s="2">
        <v>21</v>
      </c>
    </row>
    <row r="1642" spans="1:6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  <c r="F1642" s="2">
        <v>25.4</v>
      </c>
    </row>
    <row r="1643" spans="1:6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  <c r="F1643" s="2">
        <v>94</v>
      </c>
    </row>
    <row r="1644" spans="1:6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  <c r="F1644" s="2">
        <v>70</v>
      </c>
    </row>
    <row r="1645" spans="1:6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  <c r="F1645" s="2">
        <v>510</v>
      </c>
    </row>
    <row r="1646" spans="1:6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  <c r="F1646" s="2">
        <v>744</v>
      </c>
    </row>
    <row r="1647" spans="1:6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  <c r="F1647" s="2">
        <v>3039</v>
      </c>
    </row>
    <row r="1648" spans="1:6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  <c r="F1648" s="2">
        <v>2310</v>
      </c>
    </row>
    <row r="1649" spans="1:6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  <c r="F1649" s="2">
        <v>18144</v>
      </c>
    </row>
    <row r="1650" spans="1:6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  <c r="F1650" s="2">
        <v>1782</v>
      </c>
    </row>
    <row r="1651" spans="1:6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  <c r="F1651" s="2">
        <v>291168</v>
      </c>
    </row>
    <row r="1652" spans="1:6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  <c r="F1652" s="2">
        <v>8964</v>
      </c>
    </row>
    <row r="1653" spans="1:6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  <c r="F1653" s="2" t="s">
        <v>3</v>
      </c>
    </row>
    <row r="1654" spans="1:6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  <c r="F1654" s="2" t="s">
        <v>3</v>
      </c>
    </row>
    <row r="1655" spans="1:6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  <c r="F1655" s="2">
        <v>7.2266904000000002E+22</v>
      </c>
    </row>
    <row r="1656" spans="1:6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  <c r="F1656" s="2" t="s">
        <v>3</v>
      </c>
    </row>
    <row r="1657" spans="1:6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  <c r="F1657" s="2" t="s">
        <v>3</v>
      </c>
    </row>
    <row r="1658" spans="1:6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  <c r="F1658" s="2">
        <v>948672</v>
      </c>
    </row>
    <row r="1659" spans="1:6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  <c r="F1659" s="2" t="s">
        <v>3</v>
      </c>
    </row>
    <row r="1660" spans="1:6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  <c r="F1660" s="2">
        <v>6220.8</v>
      </c>
    </row>
    <row r="1661" spans="1:6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  <c r="F1661" s="2">
        <v>2.8717416000000001E+26</v>
      </c>
    </row>
    <row r="1662" spans="1:6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  <c r="F1662" s="2">
        <v>746.4</v>
      </c>
    </row>
    <row r="1663" spans="1:6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  <c r="F1663" s="2">
        <v>684</v>
      </c>
    </row>
    <row r="1664" spans="1:6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  <c r="F1664" s="2">
        <v>31.6</v>
      </c>
    </row>
    <row r="1665" spans="1:6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  <c r="F1665" s="2">
        <v>25.9</v>
      </c>
    </row>
    <row r="1666" spans="1:6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  <c r="F1666" s="2">
        <v>8.9</v>
      </c>
    </row>
    <row r="1667" spans="1:6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  <c r="F1667" s="2">
        <v>5.0599999999999996</v>
      </c>
    </row>
    <row r="1668" spans="1:6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  <c r="F1668" s="2">
        <v>0.1</v>
      </c>
    </row>
    <row r="1669" spans="1:6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  <c r="F1669" s="2">
        <v>1.6E-7</v>
      </c>
    </row>
    <row r="1670" spans="1:6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  <c r="F1670" s="2">
        <v>1.6E-7</v>
      </c>
    </row>
    <row r="1671" spans="1:6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  <c r="F1671" s="2">
        <v>1.6E-7</v>
      </c>
    </row>
    <row r="1672" spans="1:6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  <c r="F1672" s="2">
        <v>1.6E-7</v>
      </c>
    </row>
    <row r="1673" spans="1:6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  <c r="F1673" s="2">
        <v>1</v>
      </c>
    </row>
    <row r="1674" spans="1:6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  <c r="F1674" s="2">
        <v>2.4</v>
      </c>
    </row>
    <row r="1675" spans="1:6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  <c r="F1675" s="2">
        <v>2.6</v>
      </c>
    </row>
    <row r="1676" spans="1:6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  <c r="F1676" s="2">
        <v>6.3</v>
      </c>
    </row>
    <row r="1677" spans="1:6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  <c r="F1677" s="2">
        <v>6.2</v>
      </c>
    </row>
    <row r="1678" spans="1:6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  <c r="F1678" s="2">
        <v>13.5</v>
      </c>
    </row>
    <row r="1679" spans="1:6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  <c r="F1679" s="2">
        <v>5</v>
      </c>
    </row>
    <row r="1680" spans="1:6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  <c r="F1680" s="2">
        <v>49</v>
      </c>
    </row>
    <row r="1681" spans="1:6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  <c r="F1681" s="2">
        <v>107</v>
      </c>
    </row>
    <row r="1682" spans="1:6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  <c r="F1682" s="2">
        <v>144</v>
      </c>
    </row>
    <row r="1683" spans="1:6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  <c r="F1683" s="2">
        <v>10</v>
      </c>
    </row>
    <row r="1684" spans="1:6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  <c r="F1684" s="2">
        <v>249</v>
      </c>
    </row>
    <row r="1685" spans="1:6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  <c r="F1685" s="2">
        <v>9.1999999999999993</v>
      </c>
    </row>
    <row r="1686" spans="1:6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  <c r="F1686" s="2">
        <v>1254</v>
      </c>
    </row>
    <row r="1687" spans="1:6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  <c r="F1687" s="2">
        <v>40.5</v>
      </c>
    </row>
    <row r="1688" spans="1:6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  <c r="F1688" s="2">
        <v>22896000</v>
      </c>
    </row>
    <row r="1689" spans="1:6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  <c r="F1689" s="2">
        <v>31363200</v>
      </c>
    </row>
    <row r="1690" spans="1:6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  <c r="F1690" s="2">
        <v>558569520</v>
      </c>
    </row>
    <row r="1691" spans="1:6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  <c r="F1691" s="2">
        <v>174513528</v>
      </c>
    </row>
    <row r="1692" spans="1:6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  <c r="F1692" s="2">
        <v>82788207.840000004</v>
      </c>
    </row>
    <row r="1693" spans="1:6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  <c r="F1693" s="2">
        <v>463795.20000000001</v>
      </c>
    </row>
    <row r="1694" spans="1:6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  <c r="F1694" s="2">
        <v>191088</v>
      </c>
    </row>
    <row r="1695" spans="1:6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  <c r="F1695" s="2">
        <v>9712.7999999999993</v>
      </c>
    </row>
    <row r="1696" spans="1:6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  <c r="F1696" s="2">
        <v>102240</v>
      </c>
    </row>
    <row r="1697" spans="1:6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  <c r="F1697" s="2">
        <v>247.2</v>
      </c>
    </row>
    <row r="1698" spans="1:6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  <c r="F1698" s="2">
        <v>315</v>
      </c>
    </row>
    <row r="1699" spans="1:6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  <c r="F1699" s="2">
        <v>160.80000000000001</v>
      </c>
    </row>
    <row r="1700" spans="1:6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  <c r="F1700" s="2">
        <v>41.5</v>
      </c>
    </row>
    <row r="1701" spans="1:6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  <c r="F1701" s="2">
        <v>26.7</v>
      </c>
    </row>
    <row r="1702" spans="1:6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  <c r="F1702" s="2">
        <v>10.56</v>
      </c>
    </row>
    <row r="1703" spans="1:6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  <c r="F1703" s="2">
        <v>4.8</v>
      </c>
    </row>
    <row r="1704" spans="1:6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  <c r="F1704" s="2">
        <v>1.5</v>
      </c>
    </row>
    <row r="1705" spans="1:6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  <c r="F1705" s="2">
        <v>1.6E-7</v>
      </c>
    </row>
    <row r="1706" spans="1:6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  <c r="F1706" s="2">
        <v>1.6E-7</v>
      </c>
    </row>
    <row r="1707" spans="1:6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  <c r="F1707" s="2">
        <v>1.6E-7</v>
      </c>
    </row>
    <row r="1708" spans="1:6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  <c r="F1708" s="2">
        <v>1.6E-7</v>
      </c>
    </row>
    <row r="1709" spans="1:6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  <c r="F1709" s="2">
        <v>0.55000000000000004</v>
      </c>
    </row>
    <row r="1710" spans="1:6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  <c r="F1710" s="2">
        <v>1.2</v>
      </c>
    </row>
    <row r="1711" spans="1:6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  <c r="F1711" s="2">
        <v>4</v>
      </c>
    </row>
    <row r="1712" spans="1:6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  <c r="F1712" s="2">
        <v>2.89</v>
      </c>
    </row>
    <row r="1713" spans="1:6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  <c r="F1713" s="2">
        <v>9.5</v>
      </c>
    </row>
    <row r="1714" spans="1:6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  <c r="F1714" s="2">
        <v>10.3</v>
      </c>
    </row>
    <row r="1715" spans="1:6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  <c r="F1715" s="2">
        <v>47</v>
      </c>
    </row>
    <row r="1716" spans="1:6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  <c r="F1716" s="2">
        <v>45</v>
      </c>
    </row>
    <row r="1717" spans="1:6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  <c r="F1717" s="2">
        <v>186</v>
      </c>
    </row>
    <row r="1718" spans="1:6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  <c r="F1718" s="2">
        <v>154.19999999999999</v>
      </c>
    </row>
    <row r="1719" spans="1:6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  <c r="F1719" s="2">
        <v>889.2</v>
      </c>
    </row>
    <row r="1720" spans="1:6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  <c r="F1720" s="2">
        <v>612</v>
      </c>
    </row>
    <row r="1721" spans="1:6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  <c r="F1721" s="2">
        <v>4349.3999999999996</v>
      </c>
    </row>
    <row r="1722" spans="1:6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  <c r="F1722" s="2">
        <v>525</v>
      </c>
    </row>
    <row r="1723" spans="1:6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  <c r="F1723" s="2" t="s">
        <v>3</v>
      </c>
    </row>
    <row r="1724" spans="1:6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  <c r="F1724" s="2">
        <v>29376000</v>
      </c>
    </row>
    <row r="1725" spans="1:6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  <c r="F1725" s="2">
        <v>3250432800000000</v>
      </c>
    </row>
    <row r="1726" spans="1:6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  <c r="F1726" s="2">
        <v>3.3451056E+18</v>
      </c>
    </row>
    <row r="1727" spans="1:6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  <c r="F1727" s="2">
        <v>2.2090319999999999E+23</v>
      </c>
    </row>
    <row r="1728" spans="1:6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  <c r="F1728" s="2" t="s">
        <v>3</v>
      </c>
    </row>
    <row r="1729" spans="1:6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  <c r="F1729" s="2" t="s">
        <v>3</v>
      </c>
    </row>
    <row r="1730" spans="1:6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  <c r="F1730" s="2">
        <v>2840184000</v>
      </c>
    </row>
    <row r="1731" spans="1:6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  <c r="F1731" s="2" t="s">
        <v>3</v>
      </c>
    </row>
    <row r="1732" spans="1:6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  <c r="F1732" s="2">
        <v>166622.39999999999</v>
      </c>
    </row>
    <row r="1733" spans="1:6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  <c r="F1733" s="2" t="s">
        <v>3</v>
      </c>
    </row>
    <row r="1734" spans="1:6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  <c r="F1734" s="2">
        <v>1338</v>
      </c>
    </row>
    <row r="1735" spans="1:6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  <c r="F1735" s="2">
        <v>33840</v>
      </c>
    </row>
    <row r="1736" spans="1:6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  <c r="F1736" s="2">
        <v>481.79999999999899</v>
      </c>
    </row>
    <row r="1737" spans="1:6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  <c r="F1737" s="2">
        <v>318</v>
      </c>
    </row>
    <row r="1738" spans="1:6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  <c r="F1738" s="2">
        <v>11.37</v>
      </c>
    </row>
    <row r="1739" spans="1:6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  <c r="F1739" s="2">
        <v>9.6</v>
      </c>
    </row>
    <row r="1740" spans="1:6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  <c r="F1740" s="2">
        <v>4.8</v>
      </c>
    </row>
    <row r="1741" spans="1:6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  <c r="F1741" s="2">
        <v>2.4</v>
      </c>
    </row>
    <row r="1742" spans="1:6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  <c r="F1742" s="2">
        <v>1.6E-7</v>
      </c>
    </row>
    <row r="1743" spans="1:6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  <c r="F1743" s="2">
        <v>1.6E-7</v>
      </c>
    </row>
    <row r="1744" spans="1:6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  <c r="F1744" s="2">
        <v>1.6E-7</v>
      </c>
    </row>
    <row r="1745" spans="1:6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  <c r="F1745" s="2">
        <v>8.9999999999999998E-4</v>
      </c>
    </row>
    <row r="1746" spans="1:6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  <c r="F1746" s="2">
        <v>1.78E-2</v>
      </c>
    </row>
    <row r="1747" spans="1:6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  <c r="F1747" s="2">
        <v>0.5</v>
      </c>
    </row>
    <row r="1748" spans="1:6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  <c r="F1748" s="2">
        <v>1.5</v>
      </c>
    </row>
    <row r="1749" spans="1:6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  <c r="F1749" s="2">
        <v>3.3</v>
      </c>
    </row>
    <row r="1750" spans="1:6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  <c r="F1750" s="2">
        <v>11</v>
      </c>
    </row>
    <row r="1751" spans="1:6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  <c r="F1751" s="2">
        <v>12.1</v>
      </c>
    </row>
    <row r="1752" spans="1:6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  <c r="F1752" s="2">
        <v>17.899999999999999</v>
      </c>
    </row>
    <row r="1753" spans="1:6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  <c r="F1753" s="2">
        <v>1.51</v>
      </c>
    </row>
    <row r="1754" spans="1:6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  <c r="F1754" s="2">
        <v>40.700000000000003</v>
      </c>
    </row>
    <row r="1755" spans="1:6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  <c r="F1755" s="2">
        <v>2.34</v>
      </c>
    </row>
    <row r="1756" spans="1:6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  <c r="F1756" s="2">
        <v>155.39999999999901</v>
      </c>
    </row>
    <row r="1757" spans="1:6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  <c r="F1757" s="2">
        <v>10.199999999999999</v>
      </c>
    </row>
    <row r="1758" spans="1:6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  <c r="F1758" s="2">
        <v>512352</v>
      </c>
    </row>
    <row r="1759" spans="1:6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  <c r="F1759" s="2">
        <v>398304</v>
      </c>
    </row>
    <row r="1760" spans="1:6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  <c r="F1760" s="2">
        <v>2082240</v>
      </c>
    </row>
    <row r="1761" spans="1:6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  <c r="F1761" s="2">
        <v>4708800</v>
      </c>
    </row>
    <row r="1762" spans="1:6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  <c r="F1762" s="2">
        <v>8043839.9999999898</v>
      </c>
    </row>
    <row r="1763" spans="1:6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  <c r="F1763" s="2">
        <v>1164475440</v>
      </c>
    </row>
    <row r="1764" spans="1:6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  <c r="F1764" s="2">
        <v>5.3647920000000002E+25</v>
      </c>
    </row>
    <row r="1765" spans="1:6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  <c r="F1765" s="2">
        <v>426564079.19999999</v>
      </c>
    </row>
    <row r="1766" spans="1:6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  <c r="F1766" s="2" t="s">
        <v>3</v>
      </c>
    </row>
    <row r="1767" spans="1:6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  <c r="F1767" s="2">
        <v>271426917.60000002</v>
      </c>
    </row>
    <row r="1768" spans="1:6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  <c r="F1768" s="2">
        <v>149993272.80000001</v>
      </c>
    </row>
    <row r="1769" spans="1:6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  <c r="F1769" s="2">
        <v>1312416</v>
      </c>
    </row>
    <row r="1770" spans="1:6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  <c r="F1770" s="2">
        <v>54648</v>
      </c>
    </row>
    <row r="1771" spans="1:6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  <c r="F1771" s="2">
        <v>2754</v>
      </c>
    </row>
    <row r="1772" spans="1:6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  <c r="F1772" s="2">
        <v>1086</v>
      </c>
    </row>
    <row r="1773" spans="1:6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  <c r="F1773" s="2">
        <v>38</v>
      </c>
    </row>
    <row r="1774" spans="1:6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  <c r="F1774" s="2">
        <v>26</v>
      </c>
    </row>
    <row r="1775" spans="1:6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  <c r="F1775" s="2">
        <v>10.6</v>
      </c>
    </row>
    <row r="1776" spans="1:6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  <c r="F1776" s="2">
        <v>7.7</v>
      </c>
    </row>
    <row r="1777" spans="1:6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  <c r="F1777" s="2">
        <v>4.2</v>
      </c>
    </row>
    <row r="1778" spans="1:6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  <c r="F1778" s="2">
        <v>2.2999999999999998</v>
      </c>
    </row>
    <row r="1779" spans="1:6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  <c r="F1779" s="2">
        <v>1.7</v>
      </c>
    </row>
    <row r="1780" spans="1:6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  <c r="F1780" s="2">
        <v>1.6E-7</v>
      </c>
    </row>
    <row r="1781" spans="1:6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  <c r="F1781" s="2">
        <v>1.6E-7</v>
      </c>
    </row>
    <row r="1782" spans="1:6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  <c r="F1782" s="2">
        <v>1.1000000000000001</v>
      </c>
    </row>
    <row r="1783" spans="1:6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  <c r="F1783" s="2">
        <v>1.9999999999999999E-7</v>
      </c>
    </row>
    <row r="1784" spans="1:6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  <c r="F1784" s="2">
        <v>2.2000000000000002</v>
      </c>
    </row>
    <row r="1785" spans="1:6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  <c r="F1785" s="2">
        <v>4.7</v>
      </c>
    </row>
    <row r="1786" spans="1:6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  <c r="F1786" s="2">
        <v>5.8</v>
      </c>
    </row>
    <row r="1787" spans="1:6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  <c r="F1787" s="2">
        <v>15.8</v>
      </c>
    </row>
    <row r="1788" spans="1:6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  <c r="F1788" s="2">
        <v>14</v>
      </c>
    </row>
    <row r="1789" spans="1:6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  <c r="F1789" s="2">
        <v>70.2</v>
      </c>
    </row>
    <row r="1790" spans="1:6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  <c r="F1790" s="2">
        <v>39</v>
      </c>
    </row>
    <row r="1791" spans="1:6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  <c r="F1791" s="2">
        <v>268.2</v>
      </c>
    </row>
    <row r="1792" spans="1:6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  <c r="F1792" s="2">
        <v>1380</v>
      </c>
    </row>
    <row r="1793" spans="1:6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  <c r="F1793" s="2">
        <v>4170528</v>
      </c>
    </row>
    <row r="1794" spans="1:6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  <c r="F1794" s="2">
        <v>137016</v>
      </c>
    </row>
    <row r="1795" spans="1:6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  <c r="F1795" s="2">
        <v>2243745360</v>
      </c>
    </row>
    <row r="1796" spans="1:6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  <c r="F1796" s="2">
        <v>801792</v>
      </c>
    </row>
    <row r="1797" spans="1:6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  <c r="F1797" s="2">
        <v>56488104000000</v>
      </c>
    </row>
    <row r="1798" spans="1:6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  <c r="F1798" s="2">
        <v>10704960</v>
      </c>
    </row>
    <row r="1799" spans="1:6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  <c r="F1799" s="2">
        <v>3.4082208E+21</v>
      </c>
    </row>
    <row r="1800" spans="1:6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  <c r="F1800" s="2">
        <v>20770560</v>
      </c>
    </row>
    <row r="1801" spans="1:6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  <c r="F1801" s="2" t="s">
        <v>3</v>
      </c>
    </row>
    <row r="1802" spans="1:6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  <c r="F1802" s="2" t="s">
        <v>3</v>
      </c>
    </row>
    <row r="1803" spans="1:6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  <c r="F1803" s="2" t="s">
        <v>3</v>
      </c>
    </row>
    <row r="1804" spans="1:6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  <c r="F1804" s="2" t="s">
        <v>3</v>
      </c>
    </row>
    <row r="1805" spans="1:6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  <c r="F1805" s="2" t="s">
        <v>3</v>
      </c>
    </row>
    <row r="1806" spans="1:6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  <c r="F1806" s="2">
        <v>66524.399999999994</v>
      </c>
    </row>
    <row r="1807" spans="1:6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  <c r="F1807" s="2">
        <v>9.7828559999999996E+26</v>
      </c>
    </row>
    <row r="1808" spans="1:6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  <c r="F1808" s="2">
        <v>219.6</v>
      </c>
    </row>
    <row r="1809" spans="1:6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  <c r="F1809" s="2">
        <v>504</v>
      </c>
    </row>
    <row r="1810" spans="1:6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  <c r="F1810" s="2">
        <v>68</v>
      </c>
    </row>
    <row r="1811" spans="1:6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  <c r="F1811" s="2">
        <v>45</v>
      </c>
    </row>
    <row r="1812" spans="1:6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  <c r="F1812" s="2">
        <v>10.3</v>
      </c>
    </row>
    <row r="1813" spans="1:6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  <c r="F1813" s="2">
        <v>4.8</v>
      </c>
    </row>
    <row r="1814" spans="1:6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  <c r="F1814" s="2">
        <v>1.6E-7</v>
      </c>
    </row>
    <row r="1815" spans="1:6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  <c r="F1815" s="2">
        <v>1.6E-7</v>
      </c>
    </row>
    <row r="1816" spans="1:6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  <c r="F1816" s="2">
        <v>1.6E-7</v>
      </c>
    </row>
    <row r="1817" spans="1:6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  <c r="F1817" s="2">
        <v>1.6E-7</v>
      </c>
    </row>
    <row r="1818" spans="1:6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  <c r="F1818" s="2">
        <v>9.3999999999999997E-4</v>
      </c>
    </row>
    <row r="1819" spans="1:6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  <c r="F1819" s="2">
        <v>1.9999999999999999E-7</v>
      </c>
    </row>
    <row r="1820" spans="1:6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  <c r="F1820" s="2">
        <v>1.6</v>
      </c>
    </row>
    <row r="1821" spans="1:6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  <c r="F1821" s="2">
        <v>2</v>
      </c>
    </row>
    <row r="1822" spans="1:6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  <c r="F1822" s="2">
        <v>3.5</v>
      </c>
    </row>
    <row r="1823" spans="1:6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  <c r="F1823" s="2">
        <v>0.59699999999999998</v>
      </c>
    </row>
    <row r="1824" spans="1:6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  <c r="F1824" s="2">
        <v>12</v>
      </c>
    </row>
    <row r="1825" spans="1:6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  <c r="F1825" s="2">
        <v>1</v>
      </c>
    </row>
    <row r="1826" spans="1:6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  <c r="F1826" s="2">
        <v>30.9</v>
      </c>
    </row>
    <row r="1827" spans="1:6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  <c r="F1827" s="2">
        <v>8</v>
      </c>
    </row>
    <row r="1828" spans="1:6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  <c r="F1828" s="2">
        <v>5904</v>
      </c>
    </row>
    <row r="1829" spans="1:6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  <c r="F1829" s="2">
        <v>3600</v>
      </c>
    </row>
    <row r="1830" spans="1:6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  <c r="F1830" s="2">
        <v>14824.8</v>
      </c>
    </row>
    <row r="1831" spans="1:6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  <c r="F1831" s="2">
        <v>12528</v>
      </c>
    </row>
    <row r="1832" spans="1:6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  <c r="F1832" s="2">
        <v>63392.4</v>
      </c>
    </row>
    <row r="1833" spans="1:6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  <c r="F1833" s="2">
        <v>63000</v>
      </c>
    </row>
    <row r="1834" spans="1:6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  <c r="F1834" s="2">
        <v>202176</v>
      </c>
    </row>
    <row r="1835" spans="1:6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  <c r="F1835" s="2">
        <v>77400</v>
      </c>
    </row>
    <row r="1836" spans="1:6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  <c r="F1836" s="2">
        <v>459648</v>
      </c>
    </row>
    <row r="1837" spans="1:6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  <c r="F1837" s="2">
        <v>462239.99999999901</v>
      </c>
    </row>
    <row r="1838" spans="1:6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  <c r="F1838" s="2">
        <v>2240589600</v>
      </c>
    </row>
    <row r="1839" spans="1:6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  <c r="F1839" s="2">
        <v>5680368000</v>
      </c>
    </row>
    <row r="1840" spans="1:6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  <c r="F1840" s="2" t="s">
        <v>3</v>
      </c>
    </row>
    <row r="1841" spans="1:6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  <c r="F1841" s="2">
        <v>6246720</v>
      </c>
    </row>
    <row r="1842" spans="1:6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  <c r="F1842" s="2">
        <v>595296</v>
      </c>
    </row>
    <row r="1843" spans="1:6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  <c r="F1843" s="2">
        <v>456</v>
      </c>
    </row>
    <row r="1844" spans="1:6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  <c r="F1844" s="2">
        <v>1170</v>
      </c>
    </row>
    <row r="1845" spans="1:6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  <c r="F1845" s="2">
        <v>180</v>
      </c>
    </row>
    <row r="1846" spans="1:6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  <c r="F1846" s="2">
        <v>126.6</v>
      </c>
    </row>
    <row r="1847" spans="1:6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  <c r="F1847" s="2">
        <v>25.1</v>
      </c>
    </row>
    <row r="1848" spans="1:6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  <c r="F1848" s="2">
        <v>19.399999999999999</v>
      </c>
    </row>
    <row r="1849" spans="1:6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  <c r="F1849" s="2">
        <v>8.1999999999999993</v>
      </c>
    </row>
    <row r="1850" spans="1:6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  <c r="F1850" s="2">
        <v>1.6E-7</v>
      </c>
    </row>
    <row r="1851" spans="1:6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  <c r="F1851" s="2">
        <v>1.6E-7</v>
      </c>
    </row>
    <row r="1852" spans="1:6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  <c r="F1852" s="2">
        <v>1.6E-7</v>
      </c>
    </row>
    <row r="1853" spans="1:6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  <c r="F1853" s="2">
        <v>1.6E-7</v>
      </c>
    </row>
    <row r="1854" spans="1:6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  <c r="F1854" s="2">
        <v>0.6</v>
      </c>
    </row>
    <row r="1855" spans="1:6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  <c r="F1855" s="2">
        <v>0.9</v>
      </c>
    </row>
    <row r="1856" spans="1:6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  <c r="F1856" s="2">
        <v>2.2999999999999998</v>
      </c>
    </row>
    <row r="1857" spans="1:6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  <c r="F1857" s="2">
        <v>5.6</v>
      </c>
    </row>
    <row r="1858" spans="1:6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  <c r="F1858" s="2">
        <v>9.1</v>
      </c>
    </row>
    <row r="1859" spans="1:6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  <c r="F1859" s="2">
        <v>6</v>
      </c>
    </row>
    <row r="1860" spans="1:6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  <c r="F1860" s="2">
        <v>33.200000000000003</v>
      </c>
    </row>
    <row r="1861" spans="1:6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  <c r="F1861" s="2">
        <v>67</v>
      </c>
    </row>
    <row r="1862" spans="1:6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  <c r="F1862" s="2">
        <v>198</v>
      </c>
    </row>
    <row r="1863" spans="1:6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  <c r="F1863" s="2">
        <v>252</v>
      </c>
    </row>
    <row r="1864" spans="1:6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  <c r="F1864" s="2">
        <v>430.2</v>
      </c>
    </row>
    <row r="1865" spans="1:6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  <c r="F1865" s="2">
        <v>1074</v>
      </c>
    </row>
    <row r="1866" spans="1:6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  <c r="F1866" s="2">
        <v>8568</v>
      </c>
    </row>
    <row r="1867" spans="1:6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  <c r="F1867" s="2">
        <v>23040</v>
      </c>
    </row>
    <row r="1868" spans="1:6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  <c r="F1868" s="2">
        <v>94672800000000</v>
      </c>
    </row>
    <row r="1869" spans="1:6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  <c r="F1869" s="2">
        <v>35640</v>
      </c>
    </row>
    <row r="1870" spans="1:6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  <c r="F1870" s="2" t="s">
        <v>3</v>
      </c>
    </row>
    <row r="1871" spans="1:6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  <c r="F1871" s="2">
        <v>29304</v>
      </c>
    </row>
    <row r="1872" spans="1:6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  <c r="F1872" s="2" t="s">
        <v>3</v>
      </c>
    </row>
    <row r="1873" spans="1:6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  <c r="F1873" s="2">
        <v>12476160</v>
      </c>
    </row>
    <row r="1874" spans="1:6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  <c r="F1874" s="2" t="s">
        <v>3</v>
      </c>
    </row>
    <row r="1875" spans="1:6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  <c r="F1875" s="2" t="s">
        <v>3</v>
      </c>
    </row>
    <row r="1876" spans="1:6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  <c r="F1876" s="2" t="s">
        <v>3</v>
      </c>
    </row>
    <row r="1877" spans="1:6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  <c r="F1877" s="2" t="s">
        <v>3</v>
      </c>
    </row>
    <row r="1878" spans="1:6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  <c r="F1878" s="2" t="s">
        <v>3</v>
      </c>
    </row>
    <row r="1879" spans="1:6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  <c r="F1879" s="2">
        <v>8402.4</v>
      </c>
    </row>
    <row r="1880" spans="1:6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  <c r="F1880" s="2">
        <v>293760</v>
      </c>
    </row>
    <row r="1881" spans="1:6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  <c r="F1881" s="2">
        <v>372</v>
      </c>
    </row>
    <row r="1882" spans="1:6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  <c r="F1882" s="2">
        <v>522</v>
      </c>
    </row>
    <row r="1883" spans="1:6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  <c r="F1883" s="2">
        <v>39</v>
      </c>
    </row>
    <row r="1884" spans="1:6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  <c r="F1884" s="2">
        <v>1.6E-7</v>
      </c>
    </row>
    <row r="1885" spans="1:6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  <c r="F1885" s="2">
        <v>1.6E-7</v>
      </c>
    </row>
    <row r="1886" spans="1:6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  <c r="F1886" s="2">
        <v>1.6E-7</v>
      </c>
    </row>
    <row r="1887" spans="1:6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  <c r="F1887" s="2">
        <v>6.0000000000000001E-3</v>
      </c>
    </row>
    <row r="1888" spans="1:6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  <c r="F1888" s="2">
        <v>4.0999999999999899E-3</v>
      </c>
    </row>
    <row r="1889" spans="1:6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  <c r="F1889" s="2">
        <v>0.4</v>
      </c>
    </row>
    <row r="1890" spans="1:6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  <c r="F1890" s="2">
        <v>0.7</v>
      </c>
    </row>
    <row r="1891" spans="1:6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  <c r="F1891" s="2">
        <v>2.4</v>
      </c>
    </row>
    <row r="1892" spans="1:6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  <c r="F1892" s="2">
        <v>3.32</v>
      </c>
    </row>
    <row r="1893" spans="1:6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  <c r="F1893" s="2">
        <v>5.8</v>
      </c>
    </row>
    <row r="1894" spans="1:6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  <c r="F1894" s="2">
        <v>2.2000000000000002</v>
      </c>
    </row>
    <row r="1895" spans="1:6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  <c r="F1895" s="2">
        <v>21.1</v>
      </c>
    </row>
    <row r="1896" spans="1:6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  <c r="F1896" s="2">
        <v>72</v>
      </c>
    </row>
    <row r="1897" spans="1:6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  <c r="F1897" s="2">
        <v>35.200000000000003</v>
      </c>
    </row>
    <row r="1898" spans="1:6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  <c r="F1898" s="2">
        <v>161.80000000000001</v>
      </c>
    </row>
    <row r="1899" spans="1:6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  <c r="F1899" s="2">
        <v>120.6</v>
      </c>
    </row>
    <row r="1900" spans="1:6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  <c r="F1900" s="2">
        <v>705.6</v>
      </c>
    </row>
    <row r="1901" spans="1:6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  <c r="F1901" s="2">
        <v>2880</v>
      </c>
    </row>
    <row r="1902" spans="1:6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  <c r="F1902" s="2">
        <v>3360</v>
      </c>
    </row>
    <row r="1903" spans="1:6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  <c r="F1903" s="2">
        <v>756</v>
      </c>
    </row>
    <row r="1904" spans="1:6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  <c r="F1904" s="2">
        <v>678</v>
      </c>
    </row>
    <row r="1905" spans="1:6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  <c r="F1905" s="2">
        <v>1982.99999999999</v>
      </c>
    </row>
    <row r="1906" spans="1:6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  <c r="F1906" s="2">
        <v>1536</v>
      </c>
    </row>
    <row r="1907" spans="1:6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  <c r="F1907" s="2">
        <v>8928</v>
      </c>
    </row>
    <row r="1908" spans="1:6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  <c r="F1908" s="2">
        <v>900</v>
      </c>
    </row>
    <row r="1909" spans="1:6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  <c r="F1909" s="2">
        <v>144218232000</v>
      </c>
    </row>
    <row r="1910" spans="1:6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  <c r="F1910" s="2">
        <v>1740</v>
      </c>
    </row>
    <row r="1911" spans="1:6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  <c r="F1911" s="2" t="s">
        <v>3</v>
      </c>
    </row>
    <row r="1912" spans="1:6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  <c r="F1912" s="2">
        <v>96566.399999999994</v>
      </c>
    </row>
    <row r="1913" spans="1:6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  <c r="F1913" s="2">
        <v>10810.8</v>
      </c>
    </row>
    <row r="1914" spans="1:6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  <c r="F1914" s="2">
        <v>179.4</v>
      </c>
    </row>
    <row r="1915" spans="1:6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  <c r="F1915" s="2">
        <v>283.2</v>
      </c>
    </row>
    <row r="1916" spans="1:6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  <c r="F1916" s="2">
        <v>165.6</v>
      </c>
    </row>
    <row r="1917" spans="1:6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  <c r="F1917" s="2">
        <v>53</v>
      </c>
    </row>
    <row r="1918" spans="1:6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  <c r="F1918" s="2">
        <v>25</v>
      </c>
    </row>
    <row r="1919" spans="1:6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  <c r="F1919" s="2">
        <v>1.6E-7</v>
      </c>
    </row>
    <row r="1920" spans="1:6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  <c r="F1920" s="2">
        <v>1.6E-7</v>
      </c>
    </row>
    <row r="1921" spans="1:6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  <c r="F1921" s="2">
        <v>1.6E-7</v>
      </c>
    </row>
    <row r="1922" spans="1:6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  <c r="F1922" s="2">
        <v>1.6E-7</v>
      </c>
    </row>
    <row r="1923" spans="1:6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  <c r="F1923" s="2">
        <v>1.9999999999999999E-7</v>
      </c>
    </row>
    <row r="1924" spans="1:6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  <c r="F1924" s="2">
        <v>1</v>
      </c>
    </row>
    <row r="1925" spans="1:6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  <c r="F1925" s="2">
        <v>1.7</v>
      </c>
    </row>
    <row r="1926" spans="1:6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  <c r="F1926" s="2">
        <v>2.5</v>
      </c>
    </row>
    <row r="1927" spans="1:6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  <c r="F1927" s="2">
        <v>4.5999999999999996</v>
      </c>
    </row>
    <row r="1928" spans="1:6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  <c r="F1928" s="2">
        <v>4</v>
      </c>
    </row>
    <row r="1929" spans="1:6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  <c r="F1929" s="2">
        <v>18.5</v>
      </c>
    </row>
    <row r="1930" spans="1:6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  <c r="F1930" s="2">
        <v>23.5</v>
      </c>
    </row>
    <row r="1931" spans="1:6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  <c r="F1931" s="2">
        <v>10.3</v>
      </c>
    </row>
    <row r="1932" spans="1:6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  <c r="F1932" s="2">
        <v>37.1</v>
      </c>
    </row>
    <row r="1933" spans="1:6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  <c r="F1933" s="2">
        <v>223.8</v>
      </c>
    </row>
    <row r="1934" spans="1:6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  <c r="F1934" s="2">
        <v>318</v>
      </c>
    </row>
    <row r="1935" spans="1:6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  <c r="F1935" s="2">
        <v>1170</v>
      </c>
    </row>
    <row r="1936" spans="1:6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  <c r="F1936" s="2">
        <v>1119</v>
      </c>
    </row>
    <row r="1937" spans="1:6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  <c r="F1937" s="2">
        <v>8244</v>
      </c>
    </row>
    <row r="1938" spans="1:6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  <c r="F1938" s="2">
        <v>2160</v>
      </c>
    </row>
    <row r="1939" spans="1:6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  <c r="F1939" s="2">
        <v>102888</v>
      </c>
    </row>
    <row r="1940" spans="1:6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  <c r="F1940" s="2">
        <v>11556</v>
      </c>
    </row>
    <row r="1941" spans="1:6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  <c r="F1941" s="2" t="s">
        <v>3</v>
      </c>
    </row>
    <row r="1942" spans="1:6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  <c r="F1942" s="2">
        <v>4500</v>
      </c>
    </row>
    <row r="1943" spans="1:6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  <c r="F1943" s="2" t="s">
        <v>3</v>
      </c>
    </row>
    <row r="1944" spans="1:6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  <c r="F1944" s="2">
        <v>37296</v>
      </c>
    </row>
    <row r="1945" spans="1:6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  <c r="F1945" s="2" t="s">
        <v>3</v>
      </c>
    </row>
    <row r="1946" spans="1:6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  <c r="F1946" s="2" t="s">
        <v>3</v>
      </c>
    </row>
    <row r="1947" spans="1:6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  <c r="F1947" s="2" t="s">
        <v>3</v>
      </c>
    </row>
    <row r="1948" spans="1:6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  <c r="F1948" s="2">
        <v>811468.799999999</v>
      </c>
    </row>
    <row r="1949" spans="1:6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  <c r="F1949" s="2" t="s">
        <v>3</v>
      </c>
    </row>
    <row r="1950" spans="1:6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  <c r="F1950" s="2">
        <v>27057.599999999999</v>
      </c>
    </row>
    <row r="1951" spans="1:6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  <c r="F1951" s="2">
        <v>177480</v>
      </c>
    </row>
    <row r="1952" spans="1:6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  <c r="F1952" s="2">
        <v>84</v>
      </c>
    </row>
    <row r="1953" spans="1:6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  <c r="F1953" s="2">
        <v>192</v>
      </c>
    </row>
    <row r="1954" spans="1:6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  <c r="F1954" s="2">
        <v>72</v>
      </c>
    </row>
    <row r="1955" spans="1:6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  <c r="F1955" s="2">
        <v>1.6E-7</v>
      </c>
    </row>
    <row r="1956" spans="1:6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  <c r="F1956" s="2">
        <v>1.6E-7</v>
      </c>
    </row>
    <row r="1957" spans="1:6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  <c r="F1957" s="2">
        <v>1.6E-7</v>
      </c>
    </row>
    <row r="1958" spans="1:6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  <c r="F1958" s="2">
        <v>1.8999999999999901E-6</v>
      </c>
    </row>
    <row r="1959" spans="1:6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  <c r="F1959" s="2">
        <v>3.16999999999999E-6</v>
      </c>
    </row>
    <row r="1960" spans="1:6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  <c r="F1960" s="2">
        <v>6.8000000000000005E-2</v>
      </c>
    </row>
    <row r="1961" spans="1:6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  <c r="F1961" s="2">
        <v>0.57999999999999996</v>
      </c>
    </row>
    <row r="1962" spans="1:6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  <c r="F1962" s="2">
        <v>0.7</v>
      </c>
    </row>
    <row r="1963" spans="1:6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  <c r="F1963" s="2">
        <v>0.9</v>
      </c>
    </row>
    <row r="1964" spans="1:6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  <c r="F1964" s="2">
        <v>2.2000000000000002</v>
      </c>
    </row>
    <row r="1965" spans="1:6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  <c r="F1965" s="2">
        <v>4.17</v>
      </c>
    </row>
    <row r="1966" spans="1:6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  <c r="F1966" s="2">
        <v>8</v>
      </c>
    </row>
    <row r="1967" spans="1:6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  <c r="F1967" s="2">
        <v>1.48</v>
      </c>
    </row>
    <row r="1968" spans="1:6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  <c r="F1968" s="2">
        <v>8.1</v>
      </c>
    </row>
    <row r="1969" spans="1:6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  <c r="F1969" s="2">
        <v>21.6</v>
      </c>
    </row>
    <row r="1970" spans="1:6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  <c r="F1970" s="2">
        <v>83.8</v>
      </c>
    </row>
    <row r="1971" spans="1:6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  <c r="F1971" s="2">
        <v>217.79999999999899</v>
      </c>
    </row>
    <row r="1972" spans="1:6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  <c r="F1972" s="2">
        <v>238.8</v>
      </c>
    </row>
    <row r="1973" spans="1:6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  <c r="F1973" s="2">
        <v>547.79999999999995</v>
      </c>
    </row>
    <row r="1974" spans="1:6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  <c r="F1974" s="2">
        <v>564</v>
      </c>
    </row>
    <row r="1975" spans="1:6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  <c r="F1975" s="2">
        <v>1812</v>
      </c>
    </row>
    <row r="1976" spans="1:6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  <c r="F1976" s="2">
        <v>1302</v>
      </c>
    </row>
    <row r="1977" spans="1:6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  <c r="F1977" s="2">
        <v>6516</v>
      </c>
    </row>
    <row r="1978" spans="1:6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  <c r="F1978" s="2">
        <v>120</v>
      </c>
    </row>
    <row r="1979" spans="1:6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  <c r="F1979" s="2">
        <v>108216</v>
      </c>
    </row>
    <row r="1980" spans="1:6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  <c r="F1980" s="2">
        <v>27720</v>
      </c>
    </row>
    <row r="1981" spans="1:6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  <c r="F1981" s="2">
        <v>799200</v>
      </c>
    </row>
    <row r="1982" spans="1:6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  <c r="F1982" s="2">
        <v>8043839.9999999898</v>
      </c>
    </row>
    <row r="1983" spans="1:6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  <c r="F1983" s="2" t="s">
        <v>3</v>
      </c>
    </row>
    <row r="1984" spans="1:6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  <c r="F1984" s="2">
        <v>11111040</v>
      </c>
    </row>
    <row r="1985" spans="1:6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  <c r="F1985" s="2">
        <v>60590592</v>
      </c>
    </row>
    <row r="1986" spans="1:6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  <c r="F1986" s="2">
        <v>228960</v>
      </c>
    </row>
    <row r="1987" spans="1:6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  <c r="F1987" s="2">
        <v>29664</v>
      </c>
    </row>
    <row r="1988" spans="1:6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  <c r="F1988" s="2">
        <v>324</v>
      </c>
    </row>
    <row r="1989" spans="1:6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  <c r="F1989" s="2">
        <v>912</v>
      </c>
    </row>
    <row r="1990" spans="1:6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  <c r="F1990" s="2">
        <v>114</v>
      </c>
    </row>
    <row r="1991" spans="1:6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  <c r="F1991" s="2">
        <v>90</v>
      </c>
    </row>
    <row r="1992" spans="1:6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  <c r="F1992" s="2">
        <v>2.9999999999999999E-7</v>
      </c>
    </row>
    <row r="1993" spans="1:6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  <c r="F1993" s="2">
        <v>1.6E-7</v>
      </c>
    </row>
    <row r="1994" spans="1:6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  <c r="F1994" s="2">
        <v>1.6E-7</v>
      </c>
    </row>
    <row r="1995" spans="1:6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  <c r="F1995" s="2">
        <v>1.6E-7</v>
      </c>
    </row>
    <row r="1996" spans="1:6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  <c r="F1996" s="2">
        <v>0.7</v>
      </c>
    </row>
    <row r="1997" spans="1:6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  <c r="F1997" s="2">
        <v>1.9999999999999999E-7</v>
      </c>
    </row>
    <row r="1998" spans="1:6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  <c r="F1998" s="2">
        <v>1.6</v>
      </c>
    </row>
    <row r="1999" spans="1:6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  <c r="F1999" s="2">
        <v>3.03</v>
      </c>
    </row>
    <row r="2000" spans="1:6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  <c r="F2000" s="2">
        <v>4.2</v>
      </c>
    </row>
    <row r="2001" spans="1:6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  <c r="F2001" s="2">
        <v>0.40899999999999997</v>
      </c>
    </row>
    <row r="2002" spans="1:6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  <c r="F2002" s="2">
        <v>1.7929999999999999</v>
      </c>
    </row>
    <row r="2003" spans="1:6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  <c r="F2003" s="2">
        <v>26.1</v>
      </c>
    </row>
    <row r="2004" spans="1:6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  <c r="F2004" s="2">
        <v>38.6</v>
      </c>
    </row>
    <row r="2005" spans="1:6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  <c r="F2005" s="2">
        <v>89.4</v>
      </c>
    </row>
    <row r="2006" spans="1:6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  <c r="F2006" s="2">
        <v>100.19999999999899</v>
      </c>
    </row>
    <row r="2007" spans="1:6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  <c r="F2007" s="2">
        <v>288</v>
      </c>
    </row>
    <row r="2008" spans="1:6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  <c r="F2008" s="2">
        <v>252</v>
      </c>
    </row>
    <row r="2009" spans="1:6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  <c r="F2009" s="2">
        <v>1132.2</v>
      </c>
    </row>
    <row r="2010" spans="1:6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  <c r="F2010" s="2">
        <v>663</v>
      </c>
    </row>
    <row r="2011" spans="1:6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  <c r="F2011" s="2">
        <v>4548</v>
      </c>
    </row>
    <row r="2012" spans="1:6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  <c r="F2012" s="2">
        <v>594</v>
      </c>
    </row>
    <row r="2013" spans="1:6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  <c r="F2013" s="2">
        <v>204120</v>
      </c>
    </row>
    <row r="2014" spans="1:6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  <c r="F2014" s="2">
        <v>1050</v>
      </c>
    </row>
    <row r="2015" spans="1:6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  <c r="F2015" s="2" t="s">
        <v>3</v>
      </c>
    </row>
    <row r="2016" spans="1:6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  <c r="F2016" s="2">
        <v>2766355.2</v>
      </c>
    </row>
    <row r="2017" spans="1:6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  <c r="F2017" s="2" t="s">
        <v>3</v>
      </c>
    </row>
    <row r="2018" spans="1:6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  <c r="F2018" s="2" t="s">
        <v>3</v>
      </c>
    </row>
    <row r="2019" spans="1:6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  <c r="F2019" s="2" t="s">
        <v>3</v>
      </c>
    </row>
    <row r="2020" spans="1:6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  <c r="F2020" s="2" t="s">
        <v>3</v>
      </c>
    </row>
    <row r="2021" spans="1:6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  <c r="F2021" s="2" t="s">
        <v>3</v>
      </c>
    </row>
    <row r="2022" spans="1:6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  <c r="F2022" s="2">
        <v>361583.99999999901</v>
      </c>
    </row>
    <row r="2023" spans="1:6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  <c r="F2023" s="2" t="s">
        <v>3</v>
      </c>
    </row>
    <row r="2024" spans="1:6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  <c r="F2024" s="2">
        <v>6879.6</v>
      </c>
    </row>
    <row r="2025" spans="1:6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  <c r="F2025" s="2">
        <v>4440</v>
      </c>
    </row>
    <row r="2026" spans="1:6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  <c r="F2026" s="2">
        <v>480</v>
      </c>
    </row>
    <row r="2027" spans="1:6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  <c r="F2027" s="2">
        <v>144</v>
      </c>
    </row>
    <row r="2028" spans="1:6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  <c r="F2028" s="2">
        <v>1.6E-7</v>
      </c>
    </row>
    <row r="2029" spans="1:6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  <c r="F2029" s="2">
        <v>1.6E-7</v>
      </c>
    </row>
    <row r="2030" spans="1:6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  <c r="F2030" s="2">
        <v>2.22E-7</v>
      </c>
    </row>
    <row r="2031" spans="1:6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  <c r="F2031" s="2">
        <v>1.6E-7</v>
      </c>
    </row>
    <row r="2032" spans="1:6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  <c r="F2032" s="2">
        <v>1.6E-7</v>
      </c>
    </row>
    <row r="2033" spans="1:6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  <c r="F2033" s="2">
        <v>4.4999999999999998E-2</v>
      </c>
    </row>
    <row r="2034" spans="1:6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  <c r="F2034" s="2">
        <v>8.0599999999999894E-2</v>
      </c>
    </row>
    <row r="2035" spans="1:6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  <c r="F2035" s="2">
        <v>0.7</v>
      </c>
    </row>
    <row r="2036" spans="1:6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  <c r="F2036" s="2">
        <v>0.9</v>
      </c>
    </row>
    <row r="2037" spans="1:6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  <c r="F2037" s="2">
        <v>1.1200000000000001</v>
      </c>
    </row>
    <row r="2038" spans="1:6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  <c r="F2038" s="2">
        <v>6.8000000000000005E-2</v>
      </c>
    </row>
    <row r="2039" spans="1:6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  <c r="F2039" s="2">
        <v>0.49399999999999999</v>
      </c>
    </row>
    <row r="2040" spans="1:6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  <c r="F2040" s="2">
        <v>6.8</v>
      </c>
    </row>
    <row r="2041" spans="1:6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  <c r="F2041" s="2">
        <v>10.6</v>
      </c>
    </row>
    <row r="2042" spans="1:6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  <c r="F2042" s="2">
        <v>12.1</v>
      </c>
    </row>
    <row r="2043" spans="1:6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  <c r="F2043" s="2">
        <v>36.1</v>
      </c>
    </row>
    <row r="2044" spans="1:6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  <c r="F2044" s="2">
        <v>77</v>
      </c>
    </row>
    <row r="2045" spans="1:6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  <c r="F2045" s="2">
        <v>82.2</v>
      </c>
    </row>
    <row r="2046" spans="1:6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  <c r="F2046" s="2">
        <v>238.2</v>
      </c>
    </row>
    <row r="2047" spans="1:6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  <c r="F2047" s="2">
        <v>188.4</v>
      </c>
    </row>
    <row r="2048" spans="1:6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  <c r="F2048" s="2">
        <v>644.4</v>
      </c>
    </row>
    <row r="2049" spans="1:6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  <c r="F2049" s="2">
        <v>159</v>
      </c>
    </row>
    <row r="2050" spans="1:6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  <c r="F2050" s="2">
        <v>3090</v>
      </c>
    </row>
    <row r="2051" spans="1:6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  <c r="F2051" s="2">
        <v>330</v>
      </c>
    </row>
    <row r="2052" spans="1:6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  <c r="F2052" s="2">
        <v>122616</v>
      </c>
    </row>
    <row r="2053" spans="1:6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  <c r="F2053" s="2">
        <v>173836.79999999999</v>
      </c>
    </row>
    <row r="2054" spans="1:6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  <c r="F2054" s="2">
        <v>711936</v>
      </c>
    </row>
    <row r="2055" spans="1:6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  <c r="F2055" s="2">
        <v>578880</v>
      </c>
    </row>
    <row r="2056" spans="1:6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  <c r="F2056" s="2">
        <v>43233912</v>
      </c>
    </row>
    <row r="2057" spans="1:6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  <c r="F2057" s="2">
        <v>104455656</v>
      </c>
    </row>
    <row r="2058" spans="1:6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  <c r="F2058" s="2" t="s">
        <v>3</v>
      </c>
    </row>
    <row r="2059" spans="1:6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  <c r="F2059" s="2">
        <v>1.18656576E+18</v>
      </c>
    </row>
    <row r="2060" spans="1:6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  <c r="F2060" s="2">
        <v>574300.80000000005</v>
      </c>
    </row>
    <row r="2061" spans="1:6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  <c r="F2061" s="2">
        <v>1704</v>
      </c>
    </row>
    <row r="2062" spans="1:6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  <c r="F2062" s="2">
        <v>16524</v>
      </c>
    </row>
    <row r="2063" spans="1:6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  <c r="F2063" s="2">
        <v>342</v>
      </c>
    </row>
    <row r="2064" spans="1:6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  <c r="F2064" s="2">
        <v>210</v>
      </c>
    </row>
    <row r="2065" spans="1:6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  <c r="F2065" s="2">
        <v>120</v>
      </c>
    </row>
    <row r="2066" spans="1:6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  <c r="F2066" s="2">
        <v>58</v>
      </c>
    </row>
    <row r="2067" spans="1:6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  <c r="F2067" s="2">
        <v>19</v>
      </c>
    </row>
    <row r="2068" spans="1:6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  <c r="F2068" s="2">
        <v>1.6E-7</v>
      </c>
    </row>
    <row r="2069" spans="1:6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  <c r="F2069" s="2">
        <v>1.6E-7</v>
      </c>
    </row>
    <row r="2070" spans="1:6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  <c r="F2070" s="2">
        <v>1.6E-7</v>
      </c>
    </row>
    <row r="2071" spans="1:6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  <c r="F2071" s="2">
        <v>1.6E-7</v>
      </c>
    </row>
    <row r="2072" spans="1:6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  <c r="F2072" s="2">
        <v>5.9999999999999995E-8</v>
      </c>
    </row>
    <row r="2073" spans="1:6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  <c r="F2073" s="2">
        <v>2</v>
      </c>
    </row>
    <row r="2074" spans="1:6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  <c r="F2074" s="2">
        <v>0.84</v>
      </c>
    </row>
    <row r="2075" spans="1:6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  <c r="F2075" s="2">
        <v>2.3E-2</v>
      </c>
    </row>
    <row r="2076" spans="1:6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  <c r="F2076" s="2">
        <v>0.115</v>
      </c>
    </row>
    <row r="2077" spans="1:6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  <c r="F2077" s="2">
        <v>2.85</v>
      </c>
    </row>
    <row r="2078" spans="1:6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  <c r="F2078" s="2">
        <v>5.6</v>
      </c>
    </row>
    <row r="2079" spans="1:6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  <c r="F2079" s="2">
        <v>13.6</v>
      </c>
    </row>
    <row r="2080" spans="1:6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  <c r="F2080" s="2">
        <v>18.399999999999999</v>
      </c>
    </row>
    <row r="2081" spans="1:6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  <c r="F2081" s="2">
        <v>39.4</v>
      </c>
    </row>
    <row r="2082" spans="1:6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  <c r="F2082" s="2">
        <v>40</v>
      </c>
    </row>
    <row r="2083" spans="1:6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  <c r="F2083" s="2">
        <v>111</v>
      </c>
    </row>
    <row r="2084" spans="1:6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  <c r="F2084" s="2">
        <v>76</v>
      </c>
    </row>
    <row r="2085" spans="1:6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  <c r="F2085" s="2">
        <v>406.2</v>
      </c>
    </row>
    <row r="2086" spans="1:6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  <c r="F2086" s="2">
        <v>122.99999999999901</v>
      </c>
    </row>
    <row r="2087" spans="1:6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  <c r="F2087" s="2">
        <v>1557</v>
      </c>
    </row>
    <row r="2088" spans="1:6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  <c r="F2088" s="2">
        <v>194.4</v>
      </c>
    </row>
    <row r="2089" spans="1:6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  <c r="F2089" s="2">
        <v>57636</v>
      </c>
    </row>
    <row r="2090" spans="1:6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  <c r="F2090" s="2">
        <v>43560</v>
      </c>
    </row>
    <row r="2091" spans="1:6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  <c r="F2091" s="2">
        <v>59012712</v>
      </c>
    </row>
    <row r="2092" spans="1:6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  <c r="F2092" s="2">
        <v>84960</v>
      </c>
    </row>
    <row r="2093" spans="1:6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  <c r="F2093" s="2">
        <v>6.3115200000000002E+22</v>
      </c>
    </row>
    <row r="2094" spans="1:6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  <c r="F2094" s="2">
        <v>6048000</v>
      </c>
    </row>
    <row r="2095" spans="1:6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  <c r="F2095" s="2" t="s">
        <v>3</v>
      </c>
    </row>
    <row r="2096" spans="1:6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  <c r="F2096" s="2" t="s">
        <v>3</v>
      </c>
    </row>
    <row r="2097" spans="1:6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  <c r="F2097" s="2" t="s">
        <v>3</v>
      </c>
    </row>
    <row r="2098" spans="1:6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  <c r="F2098" s="2" t="s">
        <v>3</v>
      </c>
    </row>
    <row r="2099" spans="1:6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  <c r="F2099" s="2" t="s">
        <v>3</v>
      </c>
    </row>
    <row r="2100" spans="1:6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  <c r="F2100" s="2">
        <v>3662496</v>
      </c>
    </row>
    <row r="2101" spans="1:6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  <c r="F2101" s="2">
        <v>280862640000000</v>
      </c>
    </row>
    <row r="2102" spans="1:6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  <c r="F2102" s="2">
        <v>3664.8</v>
      </c>
    </row>
    <row r="2103" spans="1:6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  <c r="F2103" s="2">
        <v>14832</v>
      </c>
    </row>
    <row r="2104" spans="1:6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  <c r="F2104" s="2">
        <v>210</v>
      </c>
    </row>
    <row r="2105" spans="1:6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  <c r="F2105" s="2">
        <v>156</v>
      </c>
    </row>
    <row r="2106" spans="1:6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  <c r="F2106" s="2">
        <v>2.7000000000000001E-7</v>
      </c>
    </row>
    <row r="2107" spans="1:6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  <c r="F2107" s="2">
        <v>1.6E-7</v>
      </c>
    </row>
    <row r="2108" spans="1:6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  <c r="F2108" s="2">
        <v>2.8999999999999998E-3</v>
      </c>
    </row>
    <row r="2109" spans="1:6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  <c r="F2109" s="2">
        <v>0.14399999999999999</v>
      </c>
    </row>
    <row r="2110" spans="1:6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  <c r="F2110" s="2">
        <v>1.01E-2</v>
      </c>
    </row>
    <row r="2111" spans="1:6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  <c r="F2111" s="2">
        <v>5.5E-2</v>
      </c>
    </row>
    <row r="2112" spans="1:6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  <c r="F2112" s="2">
        <v>0.83</v>
      </c>
    </row>
    <row r="2113" spans="1:6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  <c r="F2113" s="2">
        <v>1.55</v>
      </c>
    </row>
    <row r="2114" spans="1:6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  <c r="F2114" s="2">
        <v>3.57</v>
      </c>
    </row>
    <row r="2115" spans="1:6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  <c r="F2115" s="2">
        <v>10.6</v>
      </c>
    </row>
    <row r="2116" spans="1:6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  <c r="F2116" s="2">
        <v>14.2</v>
      </c>
    </row>
    <row r="2117" spans="1:6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  <c r="F2117" s="2">
        <v>31</v>
      </c>
    </row>
    <row r="2118" spans="1:6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  <c r="F2118" s="2">
        <v>34.4</v>
      </c>
    </row>
    <row r="2119" spans="1:6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  <c r="F2119" s="2">
        <v>80</v>
      </c>
    </row>
    <row r="2120" spans="1:6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  <c r="F2120" s="2">
        <v>120</v>
      </c>
    </row>
    <row r="2121" spans="1:6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  <c r="F2121" s="2">
        <v>294</v>
      </c>
    </row>
    <row r="2122" spans="1:6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  <c r="F2122" s="2">
        <v>405.599999999999</v>
      </c>
    </row>
    <row r="2123" spans="1:6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  <c r="F2123" s="2">
        <v>1398</v>
      </c>
    </row>
    <row r="2124" spans="1:6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  <c r="F2124" s="2">
        <v>2208</v>
      </c>
    </row>
    <row r="2125" spans="1:6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  <c r="F2125" s="2">
        <v>11304</v>
      </c>
    </row>
    <row r="2126" spans="1:6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  <c r="F2126" s="2">
        <v>4104</v>
      </c>
    </row>
    <row r="2127" spans="1:6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  <c r="F2127" s="2">
        <v>37800</v>
      </c>
    </row>
    <row r="2128" spans="1:6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  <c r="F2128" s="2">
        <v>29124</v>
      </c>
    </row>
    <row r="2129" spans="1:6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  <c r="F2129" s="2">
        <v>203616</v>
      </c>
    </row>
    <row r="2130" spans="1:6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  <c r="F2130" s="2">
        <v>558.6</v>
      </c>
    </row>
    <row r="2131" spans="1:6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  <c r="F2131" s="2">
        <v>57434832</v>
      </c>
    </row>
    <row r="2132" spans="1:6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  <c r="F2132" s="2">
        <v>29354.400000000001</v>
      </c>
    </row>
    <row r="2133" spans="1:6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  <c r="F2133" s="2" t="s">
        <v>3</v>
      </c>
    </row>
    <row r="2134" spans="1:6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  <c r="F2134" s="2">
        <v>9913536</v>
      </c>
    </row>
    <row r="2135" spans="1:6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  <c r="F2135" s="2">
        <v>440639.99999999901</v>
      </c>
    </row>
    <row r="2136" spans="1:6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  <c r="F2136" s="2">
        <v>31319.999999999902</v>
      </c>
    </row>
    <row r="2137" spans="1:6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  <c r="F2137" s="2">
        <v>2964</v>
      </c>
    </row>
    <row r="2138" spans="1:6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  <c r="F2138" s="2">
        <v>630</v>
      </c>
    </row>
    <row r="2139" spans="1:6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  <c r="F2139" s="2">
        <v>138</v>
      </c>
    </row>
    <row r="2140" spans="1:6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  <c r="F2140" s="2">
        <v>19.600000000000001</v>
      </c>
    </row>
    <row r="2141" spans="1:6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  <c r="F2141" s="2">
        <v>2.9999999999999999E-7</v>
      </c>
    </row>
    <row r="2142" spans="1:6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  <c r="F2142" s="2">
        <v>5.3</v>
      </c>
    </row>
    <row r="2143" spans="1:6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  <c r="F2143" s="2">
        <v>2.9999999999999999E-7</v>
      </c>
    </row>
    <row r="2144" spans="1:6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  <c r="F2144" s="2">
        <v>2.2000000000000002</v>
      </c>
    </row>
    <row r="2145" spans="1:6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  <c r="F2145" s="2">
        <v>1.6E-7</v>
      </c>
    </row>
    <row r="2146" spans="1:6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  <c r="F2146" s="2">
        <v>1.6E-7</v>
      </c>
    </row>
    <row r="2147" spans="1:6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  <c r="F2147" s="2">
        <v>0.27500000000000002</v>
      </c>
    </row>
    <row r="2148" spans="1:6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  <c r="F2148" s="2">
        <v>1.25E-3</v>
      </c>
    </row>
    <row r="2149" spans="1:6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  <c r="F2149" s="2">
        <v>7.3000000000000001E-3</v>
      </c>
    </row>
    <row r="2150" spans="1:6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  <c r="F2150" s="2">
        <v>9.0999999999999998E-2</v>
      </c>
    </row>
    <row r="2151" spans="1:6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  <c r="F2151" s="2">
        <v>0.40899999999999997</v>
      </c>
    </row>
    <row r="2152" spans="1:6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  <c r="F2152" s="2">
        <v>1.36</v>
      </c>
    </row>
    <row r="2153" spans="1:6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  <c r="F2153" s="2">
        <v>2.67</v>
      </c>
    </row>
    <row r="2154" spans="1:6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  <c r="F2154" s="2">
        <v>6.3</v>
      </c>
    </row>
    <row r="2155" spans="1:6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  <c r="F2155" s="2">
        <v>5.0999999999999996</v>
      </c>
    </row>
    <row r="2156" spans="1:6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  <c r="F2156" s="2">
        <v>19.2</v>
      </c>
    </row>
    <row r="2157" spans="1:6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  <c r="F2157" s="2">
        <v>19.899999999999999</v>
      </c>
    </row>
    <row r="2158" spans="1:6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  <c r="F2158" s="2">
        <v>50.9</v>
      </c>
    </row>
    <row r="2159" spans="1:6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  <c r="F2159" s="2">
        <v>74</v>
      </c>
    </row>
    <row r="2160" spans="1:6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  <c r="F2160" s="2">
        <v>145.19999999999999</v>
      </c>
    </row>
    <row r="2161" spans="1:6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  <c r="F2161" s="2">
        <v>142.79999999999899</v>
      </c>
    </row>
    <row r="2162" spans="1:6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  <c r="F2162" s="2">
        <v>396</v>
      </c>
    </row>
    <row r="2163" spans="1:6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  <c r="F2163" s="2">
        <v>456</v>
      </c>
    </row>
    <row r="2164" spans="1:6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  <c r="F2164" s="2">
        <v>1992</v>
      </c>
    </row>
    <row r="2165" spans="1:6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  <c r="F2165" s="2">
        <v>2112</v>
      </c>
    </row>
    <row r="2166" spans="1:6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  <c r="F2166" s="2">
        <v>9000</v>
      </c>
    </row>
    <row r="2167" spans="1:6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  <c r="F2167" s="2">
        <v>7920</v>
      </c>
    </row>
    <row r="2168" spans="1:6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  <c r="F2168" s="2">
        <v>1866240</v>
      </c>
    </row>
    <row r="2169" spans="1:6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  <c r="F2169" s="2">
        <v>2223</v>
      </c>
    </row>
    <row r="2170" spans="1:6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  <c r="F2170" s="2">
        <v>2.0828016E+25</v>
      </c>
    </row>
    <row r="2171" spans="1:6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  <c r="F2171" s="2">
        <v>10471680</v>
      </c>
    </row>
    <row r="2172" spans="1:6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  <c r="F2172" s="2" t="s">
        <v>3</v>
      </c>
    </row>
    <row r="2173" spans="1:6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  <c r="F2173" s="2">
        <v>2.1143592000000001E+28</v>
      </c>
    </row>
    <row r="2174" spans="1:6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  <c r="F2174" s="2" t="s">
        <v>3</v>
      </c>
    </row>
    <row r="2175" spans="1:6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  <c r="F2175" s="2">
        <v>6488639.9999999898</v>
      </c>
    </row>
    <row r="2176" spans="1:6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  <c r="F2176" s="2">
        <v>7.2582479999999996E+26</v>
      </c>
    </row>
    <row r="2177" spans="1:6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  <c r="F2177" s="2">
        <v>86400</v>
      </c>
    </row>
    <row r="2178" spans="1:6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  <c r="F2178" s="2">
        <v>6028992</v>
      </c>
    </row>
    <row r="2179" spans="1:6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  <c r="F2179" s="2">
        <v>642</v>
      </c>
    </row>
    <row r="2180" spans="1:6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  <c r="F2180" s="2">
        <v>1800</v>
      </c>
    </row>
    <row r="2181" spans="1:6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  <c r="F2181" s="2">
        <v>2.9999999999999999E-7</v>
      </c>
    </row>
    <row r="2182" spans="1:6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  <c r="F2182" s="2">
        <v>2.9999999999999999E-7</v>
      </c>
    </row>
    <row r="2183" spans="1:6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  <c r="F2183" s="2">
        <v>2.9999999999999999E-7</v>
      </c>
    </row>
    <row r="2184" spans="1:6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  <c r="F2184" s="2">
        <v>1.6E-7</v>
      </c>
    </row>
    <row r="2185" spans="1:6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  <c r="F2185" s="2">
        <v>1.6E-7</v>
      </c>
    </row>
    <row r="2186" spans="1:6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  <c r="F2186" s="2">
        <v>1.6E-7</v>
      </c>
    </row>
    <row r="2187" spans="1:6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  <c r="F2187" s="2">
        <v>8.1999999999999998E-4</v>
      </c>
    </row>
    <row r="2188" spans="1:6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  <c r="F2188" s="2">
        <v>4.4000000000000002E-4</v>
      </c>
    </row>
    <row r="2189" spans="1:6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  <c r="F2189" s="2">
        <v>0.107</v>
      </c>
    </row>
    <row r="2190" spans="1:6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  <c r="F2190" s="2">
        <v>0.39</v>
      </c>
    </row>
    <row r="2191" spans="1:6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  <c r="F2191" s="2">
        <v>0.85</v>
      </c>
    </row>
    <row r="2192" spans="1:6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  <c r="F2192" s="2">
        <v>1.6</v>
      </c>
    </row>
    <row r="2193" spans="1:6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  <c r="F2193" s="2">
        <v>2.25</v>
      </c>
    </row>
    <row r="2194" spans="1:6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  <c r="F2194" s="2">
        <v>5.9</v>
      </c>
    </row>
    <row r="2195" spans="1:6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  <c r="F2195" s="2">
        <v>4.4000000000000004</v>
      </c>
    </row>
    <row r="2196" spans="1:6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  <c r="F2196" s="2">
        <v>8.1</v>
      </c>
    </row>
    <row r="2197" spans="1:6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  <c r="F2197" s="2">
        <v>9.1999999999999993</v>
      </c>
    </row>
    <row r="2198" spans="1:6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  <c r="F2198" s="2">
        <v>15.2</v>
      </c>
    </row>
    <row r="2199" spans="1:6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  <c r="F2199" s="2">
        <v>55</v>
      </c>
    </row>
    <row r="2200" spans="1:6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  <c r="F2200" s="2">
        <v>118.8</v>
      </c>
    </row>
    <row r="2201" spans="1:6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  <c r="F2201" s="2">
        <v>144</v>
      </c>
    </row>
    <row r="2202" spans="1:6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  <c r="F2202" s="2">
        <v>353.4</v>
      </c>
    </row>
    <row r="2203" spans="1:6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  <c r="F2203" s="2">
        <v>318</v>
      </c>
    </row>
    <row r="2204" spans="1:6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  <c r="F2204" s="2">
        <v>840</v>
      </c>
    </row>
    <row r="2205" spans="1:6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  <c r="F2205" s="2">
        <v>792</v>
      </c>
    </row>
    <row r="2206" spans="1:6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  <c r="F2206" s="2">
        <v>1170</v>
      </c>
    </row>
    <row r="2207" spans="1:6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  <c r="F2207" s="2">
        <v>147.6</v>
      </c>
    </row>
    <row r="2208" spans="1:6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  <c r="F2208" s="2">
        <v>71640</v>
      </c>
    </row>
    <row r="2209" spans="1:6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  <c r="F2209" s="2">
        <v>231120</v>
      </c>
    </row>
    <row r="2210" spans="1:6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  <c r="F2210" s="2">
        <v>6048000</v>
      </c>
    </row>
    <row r="2211" spans="1:6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  <c r="F2211" s="2">
        <v>3058560</v>
      </c>
    </row>
    <row r="2212" spans="1:6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  <c r="F2212" s="2" t="s">
        <v>3</v>
      </c>
    </row>
    <row r="2213" spans="1:6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  <c r="F2213" s="2">
        <v>321287.03999999998</v>
      </c>
    </row>
    <row r="2214" spans="1:6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  <c r="F2214" s="2">
        <v>1.36644408E+18</v>
      </c>
    </row>
    <row r="2215" spans="1:6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  <c r="F2215" s="2">
        <v>61210.8</v>
      </c>
    </row>
    <row r="2216" spans="1:6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  <c r="F2216" s="2">
        <v>87480</v>
      </c>
    </row>
    <row r="2217" spans="1:6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  <c r="F2217" s="2">
        <v>186</v>
      </c>
    </row>
    <row r="2218" spans="1:6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  <c r="F2218" s="2">
        <v>588</v>
      </c>
    </row>
    <row r="2219" spans="1:6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  <c r="F2219" s="2">
        <v>16</v>
      </c>
    </row>
    <row r="2220" spans="1:6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  <c r="F2220" s="2">
        <v>5</v>
      </c>
    </row>
    <row r="2221" spans="1:6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  <c r="F2221" s="2">
        <v>6</v>
      </c>
    </row>
    <row r="2222" spans="1:6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  <c r="F2222" s="2">
        <v>3</v>
      </c>
    </row>
    <row r="2223" spans="1:6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  <c r="F2223" s="2">
        <v>1.6E-7</v>
      </c>
    </row>
    <row r="2224" spans="1:6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  <c r="F2224" s="2">
        <v>1.6E-7</v>
      </c>
    </row>
    <row r="2225" spans="1:6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  <c r="F2225" s="2">
        <v>1.6E-7</v>
      </c>
    </row>
    <row r="2226" spans="1:6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  <c r="F2226" s="2">
        <v>6.3999999999999897E-4</v>
      </c>
    </row>
    <row r="2227" spans="1:6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  <c r="F2227" s="2">
        <v>2.0999999999999999E-3</v>
      </c>
    </row>
    <row r="2228" spans="1:6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  <c r="F2228" s="2">
        <v>5.4999999999999997E-3</v>
      </c>
    </row>
    <row r="2229" spans="1:6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  <c r="F2229" s="2">
        <v>2.1000000000000001E-2</v>
      </c>
    </row>
    <row r="2230" spans="1:6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  <c r="F2230" s="2">
        <v>7.0999999999999994E-2</v>
      </c>
    </row>
    <row r="2231" spans="1:6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  <c r="F2231" s="2">
        <v>0.20799999999999999</v>
      </c>
    </row>
    <row r="2232" spans="1:6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  <c r="F2232" s="2">
        <v>0.81</v>
      </c>
    </row>
    <row r="2233" spans="1:6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  <c r="F2233" s="2">
        <v>2.1</v>
      </c>
    </row>
    <row r="2234" spans="1:6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  <c r="F2234" s="2">
        <v>3.43</v>
      </c>
    </row>
    <row r="2235" spans="1:6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  <c r="F2235" s="2">
        <v>7.37</v>
      </c>
    </row>
    <row r="2236" spans="1:6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  <c r="F2236" s="2">
        <v>8.3000000000000007</v>
      </c>
    </row>
    <row r="2237" spans="1:6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  <c r="F2237" s="2">
        <v>19.2</v>
      </c>
    </row>
    <row r="2238" spans="1:6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  <c r="F2238" s="2">
        <v>22.4</v>
      </c>
    </row>
    <row r="2239" spans="1:6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  <c r="F2239" s="2">
        <v>44</v>
      </c>
    </row>
    <row r="2240" spans="1:6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  <c r="F2240" s="2">
        <v>84</v>
      </c>
    </row>
    <row r="2241" spans="1:6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  <c r="F2241" s="2">
        <v>216</v>
      </c>
    </row>
    <row r="2242" spans="1:6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  <c r="F2242" s="2">
        <v>180</v>
      </c>
    </row>
    <row r="2243" spans="1:6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  <c r="F2243" s="2">
        <v>300</v>
      </c>
    </row>
    <row r="2244" spans="1:6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  <c r="F2244" s="2">
        <v>390</v>
      </c>
    </row>
    <row r="2245" spans="1:6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  <c r="F2245" s="2">
        <v>1290</v>
      </c>
    </row>
    <row r="2246" spans="1:6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  <c r="F2246" s="2">
        <v>6300</v>
      </c>
    </row>
    <row r="2247" spans="1:6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  <c r="F2247" s="2">
        <v>78624</v>
      </c>
    </row>
    <row r="2248" spans="1:6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  <c r="F2248" s="2">
        <v>46800</v>
      </c>
    </row>
    <row r="2249" spans="1:6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  <c r="F2249" s="2">
        <v>1.7672256E+21</v>
      </c>
    </row>
    <row r="2250" spans="1:6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  <c r="F2250" s="2">
        <v>8087039.9999999898</v>
      </c>
    </row>
    <row r="2251" spans="1:6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  <c r="F2251" s="2">
        <v>6.3115200000000002E+22</v>
      </c>
    </row>
    <row r="2252" spans="1:6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  <c r="F2252" s="2" t="s">
        <v>3</v>
      </c>
    </row>
    <row r="2253" spans="1:6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  <c r="F2253" s="2" t="s">
        <v>3</v>
      </c>
    </row>
    <row r="2254" spans="1:6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  <c r="F2254" s="2" t="s">
        <v>3</v>
      </c>
    </row>
    <row r="2255" spans="1:6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  <c r="F2255" s="2" t="s">
        <v>3</v>
      </c>
    </row>
    <row r="2256" spans="1:6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  <c r="F2256" s="2">
        <v>1330560</v>
      </c>
    </row>
    <row r="2257" spans="1:6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  <c r="F2257" s="2" t="s">
        <v>3</v>
      </c>
    </row>
    <row r="2258" spans="1:6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  <c r="F2258" s="2">
        <v>108396</v>
      </c>
    </row>
    <row r="2259" spans="1:6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  <c r="F2259" s="2">
        <v>189345600</v>
      </c>
    </row>
    <row r="2260" spans="1:6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  <c r="F2260" s="2">
        <v>540</v>
      </c>
    </row>
    <row r="2261" spans="1:6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  <c r="F2261" s="2">
        <v>2094</v>
      </c>
    </row>
    <row r="2262" spans="1:6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  <c r="F2262" s="2">
        <v>168</v>
      </c>
    </row>
    <row r="2263" spans="1:6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  <c r="F2263" s="2">
        <v>5</v>
      </c>
    </row>
    <row r="2264" spans="1:6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  <c r="F2264" s="2">
        <v>6</v>
      </c>
    </row>
    <row r="2265" spans="1:6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  <c r="F2265" s="2">
        <v>1.6E-7</v>
      </c>
    </row>
    <row r="2266" spans="1:6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  <c r="F2266" s="2">
        <v>1.6E-7</v>
      </c>
    </row>
    <row r="2267" spans="1:6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  <c r="F2267" s="2">
        <v>1.6E-7</v>
      </c>
    </row>
    <row r="2268" spans="1:6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  <c r="F2268" s="2">
        <v>6.9999999999999994E-5</v>
      </c>
    </row>
    <row r="2269" spans="1:6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  <c r="F2269" s="2">
        <v>1.0500000000000001E-2</v>
      </c>
    </row>
    <row r="2270" spans="1:6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  <c r="F2270" s="2">
        <v>0.03</v>
      </c>
    </row>
    <row r="2271" spans="1:6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  <c r="F2271" s="2">
        <v>0.222</v>
      </c>
    </row>
    <row r="2272" spans="1:6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  <c r="F2272" s="2">
        <v>0.56999999999999995</v>
      </c>
    </row>
    <row r="2273" spans="1:6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  <c r="F2273" s="2">
        <v>0.87</v>
      </c>
    </row>
    <row r="2274" spans="1:6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  <c r="F2274" s="2">
        <v>3.2</v>
      </c>
    </row>
    <row r="2275" spans="1:6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  <c r="F2275" s="2">
        <v>4.4000000000000004</v>
      </c>
    </row>
    <row r="2276" spans="1:6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  <c r="F2276" s="2">
        <v>9</v>
      </c>
    </row>
    <row r="2277" spans="1:6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  <c r="F2277" s="2">
        <v>7.9</v>
      </c>
    </row>
    <row r="2278" spans="1:6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  <c r="F2278" s="2">
        <v>9</v>
      </c>
    </row>
    <row r="2279" spans="1:6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  <c r="F2279" s="2">
        <v>8.6</v>
      </c>
    </row>
    <row r="2280" spans="1:6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  <c r="F2280" s="2">
        <v>30</v>
      </c>
    </row>
    <row r="2281" spans="1:6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  <c r="F2281" s="2">
        <v>12</v>
      </c>
    </row>
    <row r="2282" spans="1:6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  <c r="F2282" s="2">
        <v>79</v>
      </c>
    </row>
    <row r="2283" spans="1:6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  <c r="F2283" s="2">
        <v>90</v>
      </c>
    </row>
    <row r="2284" spans="1:6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  <c r="F2284" s="2">
        <v>294</v>
      </c>
    </row>
    <row r="2285" spans="1:6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  <c r="F2285" s="2">
        <v>900</v>
      </c>
    </row>
    <row r="2286" spans="1:6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  <c r="F2286" s="2">
        <v>3480</v>
      </c>
    </row>
    <row r="2287" spans="1:6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  <c r="F2287" s="2">
        <v>11124</v>
      </c>
    </row>
    <row r="2288" spans="1:6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  <c r="F2288" s="2">
        <v>51840</v>
      </c>
    </row>
    <row r="2289" spans="1:6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  <c r="F2289" s="2">
        <v>59904</v>
      </c>
    </row>
    <row r="2290" spans="1:6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  <c r="F2290" s="2">
        <v>37800</v>
      </c>
    </row>
    <row r="2291" spans="1:6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  <c r="F2291" s="2">
        <v>149400</v>
      </c>
    </row>
    <row r="2292" spans="1:6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  <c r="F2292" s="2">
        <v>1140480</v>
      </c>
    </row>
    <row r="2293" spans="1:6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  <c r="F2293" s="2">
        <v>1017792</v>
      </c>
    </row>
    <row r="2294" spans="1:6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  <c r="F2294" s="2" t="s">
        <v>3</v>
      </c>
    </row>
    <row r="2295" spans="1:6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  <c r="F2295" s="2">
        <v>6378825.5999999996</v>
      </c>
    </row>
    <row r="2296" spans="1:6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  <c r="F2296" s="2" t="s">
        <v>3</v>
      </c>
    </row>
    <row r="2297" spans="1:6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  <c r="F2297" s="2">
        <v>69408</v>
      </c>
    </row>
    <row r="2298" spans="1:6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  <c r="F2298" s="2">
        <v>8244</v>
      </c>
    </row>
    <row r="2299" spans="1:6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  <c r="F2299" s="2">
        <v>52</v>
      </c>
    </row>
    <row r="2300" spans="1:6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  <c r="F2300" s="2">
        <v>348</v>
      </c>
    </row>
    <row r="2301" spans="1:6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  <c r="F2301" s="2">
        <v>8</v>
      </c>
    </row>
    <row r="2302" spans="1:6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  <c r="F2302" s="2">
        <v>6</v>
      </c>
    </row>
    <row r="2303" spans="1:6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  <c r="F2303" s="2">
        <v>2.9999999999999999E-7</v>
      </c>
    </row>
    <row r="2304" spans="1:6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  <c r="F2304" s="2">
        <v>2.9999999999999999E-7</v>
      </c>
    </row>
    <row r="2305" spans="1:6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  <c r="F2305" s="2">
        <v>11</v>
      </c>
    </row>
    <row r="2306" spans="1:6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  <c r="F2306" s="2">
        <v>1.6E-7</v>
      </c>
    </row>
    <row r="2307" spans="1:6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  <c r="F2307" s="2">
        <v>1.6E-7</v>
      </c>
    </row>
    <row r="2308" spans="1:6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  <c r="F2308" s="2">
        <v>1.6E-7</v>
      </c>
    </row>
    <row r="2309" spans="1:6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  <c r="F2309" s="2">
        <v>2.9999999999999997E-4</v>
      </c>
    </row>
    <row r="2310" spans="1:6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  <c r="F2310" s="2">
        <v>7.7999999999999999E-4</v>
      </c>
    </row>
    <row r="2311" spans="1:6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  <c r="F2311" s="2">
        <v>2.0200000000000001E-3</v>
      </c>
    </row>
    <row r="2312" spans="1:6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  <c r="F2312" s="2">
        <v>6.9899999999999997E-3</v>
      </c>
    </row>
    <row r="2313" spans="1:6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  <c r="F2313" s="2">
        <v>1.38E-2</v>
      </c>
    </row>
    <row r="2314" spans="1:6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  <c r="F2314" s="2">
        <v>4.5499999999999999E-2</v>
      </c>
    </row>
    <row r="2315" spans="1:6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  <c r="F2315" s="2">
        <v>9.7599999999999895E-2</v>
      </c>
    </row>
    <row r="2316" spans="1:6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  <c r="F2316" s="2">
        <v>0.38200000000000001</v>
      </c>
    </row>
    <row r="2317" spans="1:6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  <c r="F2317" s="2">
        <v>0.88900000000000001</v>
      </c>
    </row>
    <row r="2318" spans="1:6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  <c r="F2318" s="2">
        <v>2.5299999999999998</v>
      </c>
    </row>
    <row r="2319" spans="1:6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  <c r="F2319" s="2">
        <v>6.33</v>
      </c>
    </row>
    <row r="2320" spans="1:6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  <c r="F2320" s="2">
        <v>10.6</v>
      </c>
    </row>
    <row r="2321" spans="1:6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  <c r="F2321" s="2">
        <v>20.7</v>
      </c>
    </row>
    <row r="2322" spans="1:6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  <c r="F2322" s="2">
        <v>21.2</v>
      </c>
    </row>
    <row r="2323" spans="1:6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  <c r="F2323" s="2">
        <v>56</v>
      </c>
    </row>
    <row r="2324" spans="1:6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  <c r="F2324" s="2">
        <v>52</v>
      </c>
    </row>
    <row r="2325" spans="1:6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  <c r="F2325" s="2">
        <v>160.19999999999999</v>
      </c>
    </row>
    <row r="2326" spans="1:6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  <c r="F2326" s="2">
        <v>43</v>
      </c>
    </row>
    <row r="2327" spans="1:6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  <c r="F2327" s="2">
        <v>1038</v>
      </c>
    </row>
    <row r="2328" spans="1:6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  <c r="F2328" s="2">
        <v>4254</v>
      </c>
    </row>
    <row r="2329" spans="1:6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  <c r="F2329" s="2">
        <v>7488</v>
      </c>
    </row>
    <row r="2330" spans="1:6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  <c r="F2330" s="2">
        <v>8460</v>
      </c>
    </row>
    <row r="2331" spans="1:6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  <c r="F2331" s="2">
        <v>881279.99999999895</v>
      </c>
    </row>
    <row r="2332" spans="1:6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  <c r="F2332" s="2">
        <v>39132</v>
      </c>
    </row>
    <row r="2333" spans="1:6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  <c r="F2333" s="2">
        <v>2.051244E+19</v>
      </c>
    </row>
    <row r="2334" spans="1:6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  <c r="F2334" s="2">
        <v>244512</v>
      </c>
    </row>
    <row r="2335" spans="1:6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  <c r="F2335" s="2" t="s">
        <v>3</v>
      </c>
    </row>
    <row r="2336" spans="1:6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  <c r="F2336" s="2">
        <v>1577880000</v>
      </c>
    </row>
    <row r="2337" spans="1:6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  <c r="F2337" s="2" t="s">
        <v>3</v>
      </c>
    </row>
    <row r="2338" spans="1:6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  <c r="F2338" s="2" t="s">
        <v>3</v>
      </c>
    </row>
    <row r="2339" spans="1:6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  <c r="F2339" s="2" t="s">
        <v>3</v>
      </c>
    </row>
    <row r="2340" spans="1:6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  <c r="F2340" s="2">
        <v>71609.399999999994</v>
      </c>
    </row>
    <row r="2341" spans="1:6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  <c r="F2341" s="2" t="s">
        <v>3</v>
      </c>
    </row>
    <row r="2342" spans="1:6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  <c r="F2342" s="2">
        <v>1848</v>
      </c>
    </row>
    <row r="2343" spans="1:6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  <c r="F2343" s="2">
        <v>45360</v>
      </c>
    </row>
    <row r="2344" spans="1:6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  <c r="F2344" s="2">
        <v>150</v>
      </c>
    </row>
    <row r="2345" spans="1:6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  <c r="F2345" s="2">
        <v>158400</v>
      </c>
    </row>
    <row r="2346" spans="1:6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  <c r="F2346" s="2">
        <v>10</v>
      </c>
    </row>
    <row r="2347" spans="1:6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  <c r="F2347" s="2">
        <v>10.3</v>
      </c>
    </row>
    <row r="2348" spans="1:6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  <c r="F2348" s="2">
        <v>2.9999999999999999E-7</v>
      </c>
    </row>
    <row r="2349" spans="1:6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  <c r="F2349" s="2">
        <v>1.6E-7</v>
      </c>
    </row>
    <row r="2350" spans="1:6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  <c r="F2350" s="2">
        <v>1.6E-7</v>
      </c>
    </row>
    <row r="2351" spans="1:6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  <c r="F2351" s="2">
        <v>1.6E-7</v>
      </c>
    </row>
    <row r="2352" spans="1:6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  <c r="F2352" s="2">
        <v>2.8600000000000001E-4</v>
      </c>
    </row>
    <row r="2353" spans="1:6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  <c r="F2353" s="2">
        <v>1.7E-5</v>
      </c>
    </row>
    <row r="2354" spans="1:6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  <c r="F2354" s="2">
        <v>2.1999999999999999E-2</v>
      </c>
    </row>
    <row r="2355" spans="1:6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  <c r="F2355" s="2">
        <v>2.63E-2</v>
      </c>
    </row>
    <row r="2356" spans="1:6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  <c r="F2356" s="2">
        <v>0.13900000000000001</v>
      </c>
    </row>
    <row r="2357" spans="1:6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  <c r="F2357" s="2">
        <v>1.05</v>
      </c>
    </row>
    <row r="2358" spans="1:6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  <c r="F2358" s="2">
        <v>1.53</v>
      </c>
    </row>
    <row r="2359" spans="1:6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  <c r="F2359" s="2">
        <v>2.6</v>
      </c>
    </row>
    <row r="2360" spans="1:6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  <c r="F2360" s="2">
        <v>7.1</v>
      </c>
    </row>
    <row r="2361" spans="1:6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  <c r="F2361" s="2">
        <v>8.4</v>
      </c>
    </row>
    <row r="2362" spans="1:6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  <c r="F2362" s="2">
        <v>13.7</v>
      </c>
    </row>
    <row r="2363" spans="1:6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  <c r="F2363" s="2">
        <v>15.5</v>
      </c>
    </row>
    <row r="2364" spans="1:6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  <c r="F2364" s="2">
        <v>42.8</v>
      </c>
    </row>
    <row r="2365" spans="1:6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  <c r="F2365" s="2">
        <v>20.6</v>
      </c>
    </row>
    <row r="2366" spans="1:6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  <c r="F2366" s="2">
        <v>255</v>
      </c>
    </row>
    <row r="2367" spans="1:6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  <c r="F2367" s="2">
        <v>642</v>
      </c>
    </row>
    <row r="2368" spans="1:6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  <c r="F2368" s="2">
        <v>504</v>
      </c>
    </row>
    <row r="2369" spans="1:6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  <c r="F2369" s="2">
        <v>530.4</v>
      </c>
    </row>
    <row r="2370" spans="1:6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  <c r="F2370" s="2">
        <v>1722</v>
      </c>
    </row>
    <row r="2371" spans="1:6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  <c r="F2371" s="2">
        <v>2568</v>
      </c>
    </row>
    <row r="2372" spans="1:6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  <c r="F2372" s="2">
        <v>11448</v>
      </c>
    </row>
    <row r="2373" spans="1:6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  <c r="F2373" s="2">
        <v>17784</v>
      </c>
    </row>
    <row r="2374" spans="1:6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  <c r="F2374" s="2">
        <v>63539.999999999898</v>
      </c>
    </row>
    <row r="2375" spans="1:6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  <c r="F2375" s="2">
        <v>136872</v>
      </c>
    </row>
    <row r="2376" spans="1:6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  <c r="F2376" s="2">
        <v>16071264</v>
      </c>
    </row>
    <row r="2377" spans="1:6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  <c r="F2377" s="2">
        <v>532820.16</v>
      </c>
    </row>
    <row r="2378" spans="1:6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  <c r="F2378" s="2" t="s">
        <v>3</v>
      </c>
    </row>
    <row r="2379" spans="1:6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  <c r="F2379" s="2">
        <v>232770.24</v>
      </c>
    </row>
    <row r="2380" spans="1:6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  <c r="F2380" s="2">
        <v>271209.59999999998</v>
      </c>
    </row>
    <row r="2381" spans="1:6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  <c r="F2381" s="2">
        <v>2904</v>
      </c>
    </row>
    <row r="2382" spans="1:6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  <c r="F2382" s="2">
        <v>1560</v>
      </c>
    </row>
    <row r="2383" spans="1:6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  <c r="F2383" s="2">
        <v>28.4</v>
      </c>
    </row>
    <row r="2384" spans="1:6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  <c r="F2384" s="2">
        <v>60</v>
      </c>
    </row>
    <row r="2385" spans="1:6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  <c r="F2385" s="2">
        <v>39.799999999999997</v>
      </c>
    </row>
    <row r="2386" spans="1:6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  <c r="F2386" s="2">
        <v>32.5</v>
      </c>
    </row>
    <row r="2387" spans="1:6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  <c r="F2387" s="2">
        <v>40</v>
      </c>
    </row>
    <row r="2388" spans="1:6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  <c r="F2388" s="2">
        <v>2.9999999999999999E-7</v>
      </c>
    </row>
    <row r="2389" spans="1:6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  <c r="F2389" s="2">
        <v>2.9999999999999999E-7</v>
      </c>
    </row>
    <row r="2390" spans="1:6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  <c r="F2390" s="2">
        <v>2.9999999999999999E-7</v>
      </c>
    </row>
    <row r="2391" spans="1:6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  <c r="F2391" s="2">
        <v>2.9999999999999999E-7</v>
      </c>
    </row>
    <row r="2392" spans="1:6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  <c r="F2392" s="2">
        <v>5.8999999999999998E-5</v>
      </c>
    </row>
    <row r="2393" spans="1:6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  <c r="F2393" s="2">
        <v>2.30999999999999E-4</v>
      </c>
    </row>
    <row r="2394" spans="1:6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  <c r="F2394" s="2">
        <v>8.0000000000000004E-4</v>
      </c>
    </row>
    <row r="2395" spans="1:6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  <c r="F2395" s="2">
        <v>2.0999999999999999E-3</v>
      </c>
    </row>
    <row r="2396" spans="1:6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  <c r="F2396" s="2">
        <v>1.06E-2</v>
      </c>
    </row>
    <row r="2397" spans="1:6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  <c r="F2397" s="2">
        <v>2.0299999999999999E-2</v>
      </c>
    </row>
    <row r="2398" spans="1:6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  <c r="F2398" s="2">
        <v>0.11799999999999999</v>
      </c>
    </row>
    <row r="2399" spans="1:6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  <c r="F2399" s="2">
        <v>0.26650000000000001</v>
      </c>
    </row>
    <row r="2400" spans="1:6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  <c r="F2400" s="2">
        <v>1.05</v>
      </c>
    </row>
    <row r="2401" spans="1:6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  <c r="F2401" s="2">
        <v>2.59</v>
      </c>
    </row>
    <row r="2402" spans="1:6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  <c r="F2402" s="2">
        <v>3.6</v>
      </c>
    </row>
    <row r="2403" spans="1:6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  <c r="F2403" s="2">
        <v>10.83</v>
      </c>
    </row>
    <row r="2404" spans="1:6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  <c r="F2404" s="2">
        <v>9.4</v>
      </c>
    </row>
    <row r="2405" spans="1:6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  <c r="F2405" s="2">
        <v>30.87</v>
      </c>
    </row>
    <row r="2406" spans="1:6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  <c r="F2406" s="2">
        <v>49.1</v>
      </c>
    </row>
    <row r="2407" spans="1:6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  <c r="F2407" s="2">
        <v>82.8</v>
      </c>
    </row>
    <row r="2408" spans="1:6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  <c r="F2408" s="2">
        <v>114</v>
      </c>
    </row>
    <row r="2409" spans="1:6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  <c r="F2409" s="2">
        <v>195</v>
      </c>
    </row>
    <row r="2410" spans="1:6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  <c r="F2410" s="2">
        <v>456</v>
      </c>
    </row>
    <row r="2411" spans="1:6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  <c r="F2411" s="2">
        <v>1200</v>
      </c>
    </row>
    <row r="2412" spans="1:6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  <c r="F2412" s="2">
        <v>2940</v>
      </c>
    </row>
    <row r="2413" spans="1:6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  <c r="F2413" s="2">
        <v>17460</v>
      </c>
    </row>
    <row r="2414" spans="1:6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  <c r="F2414" s="2">
        <v>13680</v>
      </c>
    </row>
    <row r="2415" spans="1:6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  <c r="F2415" s="2">
        <v>14011574400</v>
      </c>
    </row>
    <row r="2416" spans="1:6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  <c r="F2416" s="2">
        <v>37908</v>
      </c>
    </row>
    <row r="2417" spans="1:6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  <c r="F2417" s="2" t="s">
        <v>3</v>
      </c>
    </row>
    <row r="2418" spans="1:6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  <c r="F2418" s="2">
        <v>230904</v>
      </c>
    </row>
    <row r="2419" spans="1:6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  <c r="F2419" s="2" t="s">
        <v>3</v>
      </c>
    </row>
    <row r="2420" spans="1:6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  <c r="F2420" s="2" t="s">
        <v>3</v>
      </c>
    </row>
    <row r="2421" spans="1:6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  <c r="F2421" s="2" t="s">
        <v>3</v>
      </c>
    </row>
    <row r="2422" spans="1:6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  <c r="F2422" s="2" t="s">
        <v>3</v>
      </c>
    </row>
    <row r="2423" spans="1:6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  <c r="F2423" s="2" t="s">
        <v>3</v>
      </c>
    </row>
    <row r="2424" spans="1:6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  <c r="F2424" s="2">
        <v>4025721.6</v>
      </c>
    </row>
    <row r="2425" spans="1:6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  <c r="F2425" s="2" t="s">
        <v>3</v>
      </c>
    </row>
    <row r="2426" spans="1:6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  <c r="F2426" s="2">
        <v>308.39999999999998</v>
      </c>
    </row>
    <row r="2427" spans="1:6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  <c r="F2427" s="2">
        <v>499.2</v>
      </c>
    </row>
    <row r="2428" spans="1:6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  <c r="F2428" s="2">
        <v>174</v>
      </c>
    </row>
    <row r="2429" spans="1:6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  <c r="F2429" s="2">
        <v>2460</v>
      </c>
    </row>
    <row r="2430" spans="1:6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  <c r="F2430" s="2">
        <v>36</v>
      </c>
    </row>
    <row r="2431" spans="1:6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  <c r="F2431" s="2">
        <v>2.9999999999999999E-7</v>
      </c>
    </row>
    <row r="2432" spans="1:6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  <c r="F2432" s="2">
        <v>2.9999999999999999E-7</v>
      </c>
    </row>
    <row r="2433" spans="1:6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  <c r="F2433" s="2">
        <v>2.9999999999999999E-7</v>
      </c>
    </row>
    <row r="2434" spans="1:6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  <c r="F2434" s="2">
        <v>2.9999999999999999E-7</v>
      </c>
    </row>
    <row r="2435" spans="1:6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  <c r="F2435" s="2">
        <v>2.9999999999999999E-7</v>
      </c>
    </row>
    <row r="2436" spans="1:6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  <c r="F2436" s="2">
        <v>2.9999999999999999E-7</v>
      </c>
    </row>
    <row r="2437" spans="1:6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  <c r="F2437" s="2">
        <v>2.9999999999999999E-7</v>
      </c>
    </row>
    <row r="2438" spans="1:6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  <c r="F2438" s="2">
        <v>5.1999999999999998E-3</v>
      </c>
    </row>
    <row r="2439" spans="1:6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  <c r="F2439" s="2">
        <v>1.7999999999999999E-2</v>
      </c>
    </row>
    <row r="2440" spans="1:6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  <c r="F2440" s="2">
        <v>0.254</v>
      </c>
    </row>
    <row r="2441" spans="1:6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  <c r="F2441" s="2">
        <v>0.23</v>
      </c>
    </row>
    <row r="2442" spans="1:6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  <c r="F2442" s="2">
        <v>1.0900000000000001</v>
      </c>
    </row>
    <row r="2443" spans="1:6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  <c r="F2443" s="2">
        <v>3.2</v>
      </c>
    </row>
    <row r="2444" spans="1:6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  <c r="F2444" s="2">
        <v>3.1</v>
      </c>
    </row>
    <row r="2445" spans="1:6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  <c r="F2445" s="2">
        <v>6.9</v>
      </c>
    </row>
    <row r="2446" spans="1:6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  <c r="F2446" s="2">
        <v>10.1</v>
      </c>
    </row>
    <row r="2447" spans="1:6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  <c r="F2447" s="2">
        <v>19.5</v>
      </c>
    </row>
    <row r="2448" spans="1:6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  <c r="F2448" s="2">
        <v>27.5</v>
      </c>
    </row>
    <row r="2449" spans="1:6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  <c r="F2449" s="2">
        <v>51</v>
      </c>
    </row>
    <row r="2450" spans="1:6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  <c r="F2450" s="2">
        <v>71</v>
      </c>
    </row>
    <row r="2451" spans="1:6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  <c r="F2451" s="2">
        <v>138</v>
      </c>
    </row>
    <row r="2452" spans="1:6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  <c r="F2452" s="2">
        <v>156</v>
      </c>
    </row>
    <row r="2453" spans="1:6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  <c r="F2453" s="2">
        <v>313.2</v>
      </c>
    </row>
    <row r="2454" spans="1:6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  <c r="F2454" s="2">
        <v>576</v>
      </c>
    </row>
    <row r="2455" spans="1:6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  <c r="F2455" s="2">
        <v>1296</v>
      </c>
    </row>
    <row r="2456" spans="1:6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  <c r="F2456" s="2">
        <v>1980</v>
      </c>
    </row>
    <row r="2457" spans="1:6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  <c r="F2457" s="2">
        <v>4176</v>
      </c>
    </row>
    <row r="2458" spans="1:6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  <c r="F2458" s="2">
        <v>6624</v>
      </c>
    </row>
    <row r="2459" spans="1:6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  <c r="F2459" s="2">
        <v>10224</v>
      </c>
    </row>
    <row r="2460" spans="1:6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  <c r="F2460" s="2">
        <v>19080</v>
      </c>
    </row>
    <row r="2461" spans="1:6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  <c r="F2461" s="2">
        <v>26712</v>
      </c>
    </row>
    <row r="2462" spans="1:6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  <c r="F2462" s="2">
        <v>93960</v>
      </c>
    </row>
    <row r="2463" spans="1:6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  <c r="F2463" s="2">
        <v>262837.44</v>
      </c>
    </row>
    <row r="2464" spans="1:6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  <c r="F2464" s="2">
        <v>1063584</v>
      </c>
    </row>
    <row r="2465" spans="1:6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  <c r="F2465" s="2" t="s">
        <v>3</v>
      </c>
    </row>
    <row r="2466" spans="1:6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  <c r="F2466" s="2">
        <v>119382400.8</v>
      </c>
    </row>
    <row r="2467" spans="1:6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  <c r="F2467" s="2" t="s">
        <v>3</v>
      </c>
    </row>
    <row r="2468" spans="1:6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  <c r="F2468" s="2">
        <v>252.12</v>
      </c>
    </row>
    <row r="2469" spans="1:6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  <c r="F2469" s="2">
        <v>286.2</v>
      </c>
    </row>
    <row r="2470" spans="1:6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  <c r="F2470" s="2">
        <v>183.18</v>
      </c>
    </row>
    <row r="2471" spans="1:6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  <c r="F2471" s="2">
        <v>129.72</v>
      </c>
    </row>
    <row r="2472" spans="1:6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  <c r="F2472" s="2">
        <v>78</v>
      </c>
    </row>
    <row r="2473" spans="1:6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  <c r="F2473" s="2">
        <v>88</v>
      </c>
    </row>
    <row r="2474" spans="1:6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  <c r="F2474" s="2">
        <v>2.9999999999999999E-7</v>
      </c>
    </row>
    <row r="2475" spans="1:6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  <c r="F2475" s="2">
        <v>101</v>
      </c>
    </row>
    <row r="2476" spans="1:6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  <c r="F2476" s="2">
        <v>2.9999999999999999E-7</v>
      </c>
    </row>
    <row r="2477" spans="1:6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  <c r="F2477" s="2">
        <v>2.9999999999999999E-7</v>
      </c>
    </row>
    <row r="2478" spans="1:6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  <c r="F2478" s="2">
        <v>2.9999999999999999E-7</v>
      </c>
    </row>
    <row r="2479" spans="1:6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  <c r="F2479" s="2">
        <v>2.9999999999999999E-7</v>
      </c>
    </row>
    <row r="2480" spans="1:6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  <c r="F2480" s="2">
        <v>1.2E-4</v>
      </c>
    </row>
    <row r="2481" spans="1:6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  <c r="F2481" s="2">
        <v>3.5000000000000001E-3</v>
      </c>
    </row>
    <row r="2482" spans="1:6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  <c r="F2482" s="2">
        <v>4.0999999999999899E-3</v>
      </c>
    </row>
    <row r="2483" spans="1:6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  <c r="F2483" s="2">
        <v>3.5999999999999997E-2</v>
      </c>
    </row>
    <row r="2484" spans="1:6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  <c r="F2484" s="2">
        <v>5.5E-2</v>
      </c>
    </row>
    <row r="2485" spans="1:6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  <c r="F2485" s="2">
        <v>0.53500000000000003</v>
      </c>
    </row>
    <row r="2486" spans="1:6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  <c r="F2486" s="2">
        <v>0.49</v>
      </c>
    </row>
    <row r="2487" spans="1:6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  <c r="F2487" s="2">
        <v>6.3</v>
      </c>
    </row>
    <row r="2488" spans="1:6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  <c r="F2488" s="2">
        <v>4.82</v>
      </c>
    </row>
    <row r="2489" spans="1:6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  <c r="F2489" s="2">
        <v>15.2</v>
      </c>
    </row>
    <row r="2490" spans="1:6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  <c r="F2490" s="2">
        <v>25.1</v>
      </c>
    </row>
    <row r="2491" spans="1:6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  <c r="F2491" s="2">
        <v>39</v>
      </c>
    </row>
    <row r="2492" spans="1:6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  <c r="F2492" s="2">
        <v>71</v>
      </c>
    </row>
    <row r="2493" spans="1:6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  <c r="F2493" s="2">
        <v>79.8</v>
      </c>
    </row>
    <row r="2494" spans="1:6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  <c r="F2494" s="2">
        <v>210</v>
      </c>
    </row>
    <row r="2495" spans="1:6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  <c r="F2495" s="2">
        <v>348</v>
      </c>
    </row>
    <row r="2496" spans="1:6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  <c r="F2496" s="2">
        <v>642</v>
      </c>
    </row>
    <row r="2497" spans="1:6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  <c r="F2497" s="2">
        <v>900</v>
      </c>
    </row>
    <row r="2498" spans="1:6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  <c r="F2498" s="2">
        <v>2220</v>
      </c>
    </row>
    <row r="2499" spans="1:6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  <c r="F2499" s="2">
        <v>486</v>
      </c>
    </row>
    <row r="2500" spans="1:6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  <c r="F2500" s="2">
        <v>8640</v>
      </c>
    </row>
    <row r="2501" spans="1:6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  <c r="F2501" s="2">
        <v>5400</v>
      </c>
    </row>
    <row r="2502" spans="1:6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  <c r="F2502" s="2">
        <v>77400</v>
      </c>
    </row>
    <row r="2503" spans="1:6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  <c r="F2503" s="2">
        <v>33588</v>
      </c>
    </row>
    <row r="2504" spans="1:6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  <c r="F2504" s="2">
        <v>1656774000000</v>
      </c>
    </row>
    <row r="2505" spans="1:6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  <c r="F2505" s="2">
        <v>186912</v>
      </c>
    </row>
    <row r="2506" spans="1:6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  <c r="F2506" s="2">
        <v>4.418064E+24</v>
      </c>
    </row>
    <row r="2507" spans="1:6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  <c r="F2507" s="2">
        <v>545946480000000</v>
      </c>
    </row>
    <row r="2508" spans="1:6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  <c r="F2508" s="2" t="s">
        <v>3</v>
      </c>
    </row>
    <row r="2509" spans="1:6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  <c r="F2509" s="2" t="s">
        <v>3</v>
      </c>
    </row>
    <row r="2510" spans="1:6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  <c r="F2510" s="2" t="s">
        <v>3</v>
      </c>
    </row>
    <row r="2511" spans="1:6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  <c r="F2511" s="2">
        <v>11642.4</v>
      </c>
    </row>
    <row r="2512" spans="1:6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  <c r="F2512" s="2">
        <v>700578720</v>
      </c>
    </row>
    <row r="2513" spans="1:6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  <c r="F2513" s="2">
        <v>2166</v>
      </c>
    </row>
    <row r="2514" spans="1:6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  <c r="F2514" s="2">
        <v>38304</v>
      </c>
    </row>
    <row r="2515" spans="1:6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  <c r="F2515" s="2">
        <v>612</v>
      </c>
    </row>
    <row r="2516" spans="1:6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  <c r="F2516" s="2">
        <v>1623.6</v>
      </c>
    </row>
    <row r="2517" spans="1:6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  <c r="F2517" s="2">
        <v>147</v>
      </c>
    </row>
    <row r="2518" spans="1:6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  <c r="F2518" s="2">
        <v>2.9999999999999999E-7</v>
      </c>
    </row>
    <row r="2519" spans="1:6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  <c r="F2519" s="2">
        <v>2.9999999999999999E-7</v>
      </c>
    </row>
    <row r="2520" spans="1:6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  <c r="F2520" s="2">
        <v>2.9999999999999999E-7</v>
      </c>
    </row>
    <row r="2521" spans="1:6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  <c r="F2521" s="2">
        <v>2.9999999999999999E-7</v>
      </c>
    </row>
    <row r="2522" spans="1:6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  <c r="F2522" s="2">
        <v>2.9999999999999999E-7</v>
      </c>
    </row>
    <row r="2523" spans="1:6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  <c r="F2523" s="2">
        <v>1.2999999999999999E-2</v>
      </c>
    </row>
    <row r="2524" spans="1:6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  <c r="F2524" s="2">
        <v>5.8E-5</v>
      </c>
    </row>
    <row r="2525" spans="1:6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  <c r="F2525" s="2">
        <v>1.4800000000000001E-2</v>
      </c>
    </row>
    <row r="2526" spans="1:6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  <c r="F2526" s="2">
        <v>3.6999999999999998E-2</v>
      </c>
    </row>
    <row r="2527" spans="1:6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  <c r="F2527" s="2">
        <v>0.26500000000000001</v>
      </c>
    </row>
    <row r="2528" spans="1:6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  <c r="F2528" s="2">
        <v>0.67400000000000004</v>
      </c>
    </row>
    <row r="2529" spans="1:6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  <c r="F2529" s="2">
        <v>6.3</v>
      </c>
    </row>
    <row r="2530" spans="1:6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  <c r="F2530" s="2">
        <v>12.4</v>
      </c>
    </row>
    <row r="2531" spans="1:6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  <c r="F2531" s="2">
        <v>34.6</v>
      </c>
    </row>
    <row r="2532" spans="1:6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  <c r="F2532" s="2">
        <v>63.6</v>
      </c>
    </row>
    <row r="2533" spans="1:6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  <c r="F2533" s="2">
        <v>95</v>
      </c>
    </row>
    <row r="2534" spans="1:6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  <c r="F2534" s="2">
        <v>183</v>
      </c>
    </row>
    <row r="2535" spans="1:6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  <c r="F2535" s="2">
        <v>308</v>
      </c>
    </row>
    <row r="2536" spans="1:6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  <c r="F2536" s="2">
        <v>559.79999999999995</v>
      </c>
    </row>
    <row r="2537" spans="1:6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  <c r="F2537" s="2">
        <v>618</v>
      </c>
    </row>
    <row r="2538" spans="1:6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  <c r="F2538" s="2">
        <v>1620</v>
      </c>
    </row>
    <row r="2539" spans="1:6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  <c r="F2539" s="2">
        <v>2184</v>
      </c>
    </row>
    <row r="2540" spans="1:6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  <c r="F2540" s="2">
        <v>6180</v>
      </c>
    </row>
    <row r="2541" spans="1:6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  <c r="F2541" s="2">
        <v>6156</v>
      </c>
    </row>
    <row r="2542" spans="1:6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  <c r="F2542" s="2">
        <v>42336</v>
      </c>
    </row>
    <row r="2543" spans="1:6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  <c r="F2543" s="2">
        <v>40392</v>
      </c>
    </row>
    <row r="2544" spans="1:6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  <c r="F2544" s="2">
        <v>1322784</v>
      </c>
    </row>
    <row r="2545" spans="1:6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  <c r="F2545" s="2">
        <v>539395.19999999995</v>
      </c>
    </row>
    <row r="2546" spans="1:6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  <c r="F2546" s="2">
        <v>995642280</v>
      </c>
    </row>
    <row r="2547" spans="1:6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  <c r="F2547" s="2">
        <v>11613196800000</v>
      </c>
    </row>
    <row r="2548" spans="1:6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  <c r="F2548" s="2">
        <v>6.3430775999999998E+26</v>
      </c>
    </row>
    <row r="2549" spans="1:6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  <c r="F2549" s="2">
        <v>433036.79999999999</v>
      </c>
    </row>
    <row r="2550" spans="1:6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  <c r="F2550" s="2">
        <v>128.4</v>
      </c>
    </row>
    <row r="2551" spans="1:6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  <c r="F2551" s="2">
        <v>3633</v>
      </c>
    </row>
    <row r="2552" spans="1:6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  <c r="F2552" s="2">
        <v>2736.6</v>
      </c>
    </row>
    <row r="2553" spans="1:6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  <c r="F2553" s="2">
        <v>1194</v>
      </c>
    </row>
    <row r="2554" spans="1:6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  <c r="F2554" s="2">
        <v>456</v>
      </c>
    </row>
    <row r="2555" spans="1:6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  <c r="F2555" s="2">
        <v>135</v>
      </c>
    </row>
    <row r="2556" spans="1:6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  <c r="F2556" s="2">
        <v>98.5</v>
      </c>
    </row>
    <row r="2557" spans="1:6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  <c r="F2557" s="2">
        <v>33</v>
      </c>
    </row>
    <row r="2558" spans="1:6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  <c r="F2558" s="2">
        <v>22</v>
      </c>
    </row>
    <row r="2559" spans="1:6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  <c r="F2559" s="2">
        <v>2.9999999999999999E-7</v>
      </c>
    </row>
    <row r="2560" spans="1:6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  <c r="F2560" s="2">
        <v>2.9999999999999999E-7</v>
      </c>
    </row>
    <row r="2561" spans="1:6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  <c r="F2561" s="2">
        <v>2.9999999999999999E-7</v>
      </c>
    </row>
    <row r="2562" spans="1:6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  <c r="F2562" s="2">
        <v>2.9999999999999999E-7</v>
      </c>
    </row>
    <row r="2563" spans="1:6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  <c r="F2563" s="2">
        <v>2.9999999999999999E-7</v>
      </c>
    </row>
    <row r="2564" spans="1:6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  <c r="F2564" s="2">
        <v>2.8E-5</v>
      </c>
    </row>
    <row r="2565" spans="1:6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  <c r="F2565" s="2">
        <v>1.4E-3</v>
      </c>
    </row>
    <row r="2566" spans="1:6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  <c r="F2566" s="2">
        <v>2.7500000000000002E-4</v>
      </c>
    </row>
    <row r="2567" spans="1:6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  <c r="F2567" s="2">
        <v>3.5000000000000001E-3</v>
      </c>
    </row>
    <row r="2568" spans="1:6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  <c r="F2568" s="2">
        <v>2.4599999999999999E-3</v>
      </c>
    </row>
    <row r="2569" spans="1:6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  <c r="F2569" s="2">
        <v>2.1999999999999999E-2</v>
      </c>
    </row>
    <row r="2570" spans="1:6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  <c r="F2570" s="2">
        <v>3.2199999999999999E-2</v>
      </c>
    </row>
    <row r="2571" spans="1:6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  <c r="F2571" s="2">
        <v>0.245</v>
      </c>
    </row>
    <row r="2572" spans="1:6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  <c r="F2572" s="2">
        <v>0.39200000000000002</v>
      </c>
    </row>
    <row r="2573" spans="1:6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  <c r="F2573" s="2">
        <v>4.6399999999999997</v>
      </c>
    </row>
    <row r="2574" spans="1:6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  <c r="F2574" s="2">
        <v>5.8</v>
      </c>
    </row>
    <row r="2575" spans="1:6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  <c r="F2575" s="2">
        <v>84</v>
      </c>
    </row>
    <row r="2576" spans="1:6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  <c r="F2576" s="2">
        <v>105.6</v>
      </c>
    </row>
    <row r="2577" spans="1:6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  <c r="F2577" s="2">
        <v>328.2</v>
      </c>
    </row>
    <row r="2578" spans="1:6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  <c r="F2578" s="2">
        <v>690.6</v>
      </c>
    </row>
    <row r="2579" spans="1:6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  <c r="F2579" s="2">
        <v>936</v>
      </c>
    </row>
    <row r="2580" spans="1:6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  <c r="F2580" s="2">
        <v>2676</v>
      </c>
    </row>
    <row r="2581" spans="1:6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  <c r="F2581" s="2">
        <v>2202</v>
      </c>
    </row>
    <row r="2582" spans="1:6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  <c r="F2582" s="2">
        <v>12668.4</v>
      </c>
    </row>
    <row r="2583" spans="1:6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  <c r="F2583" s="2">
        <v>6264</v>
      </c>
    </row>
    <row r="2584" spans="1:6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  <c r="F2584" s="2">
        <v>760320</v>
      </c>
    </row>
    <row r="2585" spans="1:6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  <c r="F2585" s="2">
        <v>20880</v>
      </c>
    </row>
    <row r="2586" spans="1:6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  <c r="F2586" s="2">
        <v>91453924.799999997</v>
      </c>
    </row>
    <row r="2587" spans="1:6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  <c r="F2587" s="2">
        <v>3913142400</v>
      </c>
    </row>
    <row r="2588" spans="1:6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  <c r="F2588" s="2">
        <v>11955686.4</v>
      </c>
    </row>
    <row r="2589" spans="1:6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  <c r="F2589" s="2">
        <v>0.51600000000000001</v>
      </c>
    </row>
    <row r="2590" spans="1:6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  <c r="F2590" s="2">
        <v>2.9899999999999901E-7</v>
      </c>
    </row>
    <row r="2591" spans="1:6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  <c r="F2591" s="2">
        <v>3.72E-6</v>
      </c>
    </row>
    <row r="2592" spans="1:6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  <c r="F2592" s="2">
        <v>1.6359999999999999E-4</v>
      </c>
    </row>
    <row r="2593" spans="1:6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  <c r="F2593" s="2">
        <v>1.781E-3</v>
      </c>
    </row>
    <row r="2594" spans="1:6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  <c r="F2594" s="2">
        <v>0.14499999999999999</v>
      </c>
    </row>
    <row r="2595" spans="1:6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  <c r="F2595" s="2">
        <v>1.53</v>
      </c>
    </row>
    <row r="2596" spans="1:6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  <c r="F2596" s="2">
        <v>185.88</v>
      </c>
    </row>
    <row r="2597" spans="1:6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  <c r="F2597" s="2">
        <v>620</v>
      </c>
    </row>
    <row r="2598" spans="1:6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  <c r="F2598" s="2">
        <v>2.9999999999999999E-7</v>
      </c>
    </row>
    <row r="2599" spans="1:6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  <c r="F2599" s="2">
        <v>112</v>
      </c>
    </row>
    <row r="2600" spans="1:6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  <c r="F2600" s="2">
        <v>550</v>
      </c>
    </row>
    <row r="2601" spans="1:6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  <c r="F2601" s="2">
        <v>2.9999999999999999E-7</v>
      </c>
    </row>
    <row r="2602" spans="1:6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  <c r="F2602" s="2">
        <v>2.9999999999999999E-7</v>
      </c>
    </row>
    <row r="2603" spans="1:6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  <c r="F2603" s="2">
        <v>2.9999999999999999E-7</v>
      </c>
    </row>
    <row r="2604" spans="1:6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  <c r="F2604" s="2">
        <v>2.9999999999999999E-7</v>
      </c>
    </row>
    <row r="2605" spans="1:6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  <c r="F2605" s="2">
        <v>2.9999999999999999E-7</v>
      </c>
    </row>
    <row r="2606" spans="1:6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  <c r="F2606" s="2">
        <v>1.6999999999999999E-3</v>
      </c>
    </row>
    <row r="2607" spans="1:6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  <c r="F2607" s="2">
        <v>1.15E-2</v>
      </c>
    </row>
    <row r="2608" spans="1:6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  <c r="F2608" s="2">
        <v>2.8000000000000001E-2</v>
      </c>
    </row>
    <row r="2609" spans="1:6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  <c r="F2609" s="2">
        <v>0.31</v>
      </c>
    </row>
    <row r="2610" spans="1:6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  <c r="F2610" s="2">
        <v>0.28999999999999998</v>
      </c>
    </row>
    <row r="2611" spans="1:6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  <c r="F2611" s="2">
        <v>0.38800000000000001</v>
      </c>
    </row>
    <row r="2612" spans="1:6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  <c r="F2612" s="2">
        <v>0.38800000000000001</v>
      </c>
    </row>
    <row r="2613" spans="1:6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  <c r="F2613" s="2">
        <v>4.2</v>
      </c>
    </row>
    <row r="2614" spans="1:6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  <c r="F2614" s="2">
        <v>6.92</v>
      </c>
    </row>
    <row r="2615" spans="1:6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  <c r="F2615" s="2">
        <v>43</v>
      </c>
    </row>
    <row r="2616" spans="1:6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  <c r="F2616" s="2">
        <v>85.2</v>
      </c>
    </row>
    <row r="2617" spans="1:6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  <c r="F2617" s="2">
        <v>184</v>
      </c>
    </row>
    <row r="2618" spans="1:6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  <c r="F2618" s="2">
        <v>444</v>
      </c>
    </row>
    <row r="2619" spans="1:6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  <c r="F2619" s="2">
        <v>547.19999999999902</v>
      </c>
    </row>
    <row r="2620" spans="1:6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  <c r="F2620" s="2">
        <v>1614</v>
      </c>
    </row>
    <row r="2621" spans="1:6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  <c r="F2621" s="2">
        <v>1836</v>
      </c>
    </row>
    <row r="2622" spans="1:6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  <c r="F2622" s="2">
        <v>6516</v>
      </c>
    </row>
    <row r="2623" spans="1:6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  <c r="F2623" s="2">
        <v>5868</v>
      </c>
    </row>
    <row r="2624" spans="1:6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  <c r="F2624" s="2">
        <v>19512</v>
      </c>
    </row>
    <row r="2625" spans="1:6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  <c r="F2625" s="2">
        <v>29160</v>
      </c>
    </row>
    <row r="2626" spans="1:6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  <c r="F2626" s="2">
        <v>25970.400000000001</v>
      </c>
    </row>
    <row r="2627" spans="1:6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  <c r="F2627" s="2">
        <v>0.314</v>
      </c>
    </row>
    <row r="2628" spans="1:6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  <c r="F2628" s="2">
        <v>1.2499999999999999E-7</v>
      </c>
    </row>
    <row r="2629" spans="1:6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  <c r="F2629" s="2">
        <v>5.5799999999999999E-7</v>
      </c>
    </row>
    <row r="2630" spans="1:6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  <c r="F2630" s="2">
        <v>1E-4</v>
      </c>
    </row>
    <row r="2631" spans="1:6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  <c r="F2631" s="2">
        <v>2.9999999999999997E-4</v>
      </c>
    </row>
    <row r="2632" spans="1:6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  <c r="F2632" s="2">
        <v>3.2299999999999898E-2</v>
      </c>
    </row>
    <row r="2633" spans="1:6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  <c r="F2633" s="2">
        <v>1.5</v>
      </c>
    </row>
    <row r="2634" spans="1:6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  <c r="F2634" s="2">
        <v>56</v>
      </c>
    </row>
    <row r="2635" spans="1:6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  <c r="F2635" s="2">
        <v>222.6</v>
      </c>
    </row>
    <row r="2636" spans="1:6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  <c r="F2636" s="2">
        <v>138</v>
      </c>
    </row>
    <row r="2637" spans="1:6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  <c r="F2637" s="2">
        <v>54</v>
      </c>
    </row>
    <row r="2638" spans="1:6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  <c r="F2638" s="2">
        <v>50</v>
      </c>
    </row>
    <row r="2639" spans="1:6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  <c r="F2639" s="2">
        <v>78</v>
      </c>
    </row>
    <row r="2640" spans="1:6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  <c r="F2640" s="2">
        <v>2.9999999999999999E-7</v>
      </c>
    </row>
    <row r="2641" spans="1:6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  <c r="F2641" s="2">
        <v>2.9999999999999999E-7</v>
      </c>
    </row>
    <row r="2642" spans="1:6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  <c r="F2642" s="2">
        <v>2.9999999999999999E-7</v>
      </c>
    </row>
    <row r="2643" spans="1:6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  <c r="F2643" s="2">
        <v>2.9999999999999999E-7</v>
      </c>
    </row>
    <row r="2644" spans="1:6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  <c r="F2644" s="2">
        <v>2.9999999999999999E-7</v>
      </c>
    </row>
    <row r="2645" spans="1:6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  <c r="F2645" s="2">
        <v>1.15E-3</v>
      </c>
    </row>
    <row r="2646" spans="1:6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  <c r="F2646" s="2">
        <v>7.7999999999999999E-4</v>
      </c>
    </row>
    <row r="2647" spans="1:6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  <c r="F2647" s="2">
        <v>6.0000000000000001E-3</v>
      </c>
    </row>
    <row r="2648" spans="1:6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  <c r="F2648" s="2">
        <v>4.4000000000000003E-3</v>
      </c>
    </row>
    <row r="2649" spans="1:6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  <c r="F2649" s="2">
        <v>5.3999999999999999E-2</v>
      </c>
    </row>
    <row r="2650" spans="1:6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  <c r="F2650" s="2">
        <v>6.5000000000000002E-2</v>
      </c>
    </row>
    <row r="2651" spans="1:6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  <c r="F2651" s="2">
        <v>0.59</v>
      </c>
    </row>
    <row r="2652" spans="1:6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  <c r="F2652" s="2">
        <v>1.03</v>
      </c>
    </row>
    <row r="2653" spans="1:6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  <c r="F2653" s="2">
        <v>7</v>
      </c>
    </row>
    <row r="2654" spans="1:6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  <c r="F2654" s="2">
        <v>9.6999999999999993</v>
      </c>
    </row>
    <row r="2655" spans="1:6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  <c r="F2655" s="2">
        <v>44</v>
      </c>
    </row>
    <row r="2656" spans="1:6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  <c r="F2656" s="2">
        <v>74.5</v>
      </c>
    </row>
    <row r="2657" spans="1:6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  <c r="F2657" s="2">
        <v>170</v>
      </c>
    </row>
    <row r="2658" spans="1:6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  <c r="F2658" s="2">
        <v>340.2</v>
      </c>
    </row>
    <row r="2659" spans="1:6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  <c r="F2659" s="2">
        <v>555</v>
      </c>
    </row>
    <row r="2660" spans="1:6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  <c r="F2660" s="2">
        <v>1461</v>
      </c>
    </row>
    <row r="2661" spans="1:6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  <c r="F2661" s="2">
        <v>1728</v>
      </c>
    </row>
    <row r="2662" spans="1:6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  <c r="F2662" s="2">
        <v>8640</v>
      </c>
    </row>
    <row r="2663" spans="1:6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  <c r="F2663" s="2">
        <v>52560</v>
      </c>
    </row>
    <row r="2664" spans="1:6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  <c r="F2664" s="2">
        <v>1434</v>
      </c>
    </row>
    <row r="2665" spans="1:6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  <c r="F2665" s="2">
        <v>1.95E-2</v>
      </c>
    </row>
    <row r="2666" spans="1:6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  <c r="F2666" s="2">
        <v>2.7000000000000001E-7</v>
      </c>
    </row>
    <row r="2667" spans="1:6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  <c r="F2667" s="2">
        <v>2.2999999999999898E-6</v>
      </c>
    </row>
    <row r="2668" spans="1:6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  <c r="F2668" s="2">
        <v>4.4999999999999901E-5</v>
      </c>
    </row>
    <row r="2669" spans="1:6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  <c r="F2669" s="2">
        <v>5.4000000000000001E-4</v>
      </c>
    </row>
    <row r="2670" spans="1:6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  <c r="F2670" s="2">
        <v>3.5000000000000003E-2</v>
      </c>
    </row>
    <row r="2671" spans="1:6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  <c r="F2671" s="2">
        <v>3.96</v>
      </c>
    </row>
    <row r="2672" spans="1:6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  <c r="F2672" s="2">
        <v>55.6</v>
      </c>
    </row>
    <row r="2673" spans="1:6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  <c r="F2673" s="2">
        <v>1500</v>
      </c>
    </row>
    <row r="2674" spans="1:6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  <c r="F2674" s="2">
        <v>330350.40000000002</v>
      </c>
    </row>
    <row r="2675" spans="1:6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  <c r="F2675" s="2">
        <v>1458</v>
      </c>
    </row>
    <row r="2676" spans="1:6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  <c r="F2676" s="2">
        <v>6420</v>
      </c>
    </row>
    <row r="2677" spans="1:6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  <c r="F2677" s="2">
        <v>279.60000000000002</v>
      </c>
    </row>
    <row r="2678" spans="1:6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  <c r="F2678" s="2">
        <v>444</v>
      </c>
    </row>
    <row r="2679" spans="1:6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  <c r="F2679" s="2">
        <v>20.2</v>
      </c>
    </row>
    <row r="2680" spans="1:6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  <c r="F2680" s="2">
        <v>65</v>
      </c>
    </row>
    <row r="2681" spans="1:6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  <c r="F2681" s="2">
        <v>12</v>
      </c>
    </row>
    <row r="2682" spans="1:6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  <c r="F2682" s="2">
        <v>2.9999999999999999E-7</v>
      </c>
    </row>
    <row r="2683" spans="1:6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  <c r="F2683" s="2">
        <v>2.9999999999999999E-7</v>
      </c>
    </row>
    <row r="2684" spans="1:6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  <c r="F2684" s="2">
        <v>5.9999999999999995E-4</v>
      </c>
    </row>
    <row r="2685" spans="1:6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  <c r="F2685" s="2">
        <v>1.4999999999999999E-2</v>
      </c>
    </row>
    <row r="2686" spans="1:6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  <c r="F2686" s="2">
        <v>4.4999999999999997E-3</v>
      </c>
    </row>
    <row r="2687" spans="1:6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  <c r="F2687" s="2">
        <v>4.9000000000000002E-2</v>
      </c>
    </row>
    <row r="2688" spans="1:6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  <c r="F2688" s="2">
        <v>6.2E-2</v>
      </c>
    </row>
    <row r="2689" spans="1:6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  <c r="F2689" s="2">
        <v>0.372</v>
      </c>
    </row>
    <row r="2690" spans="1:6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  <c r="F2690" s="2">
        <v>0.55000000000000004</v>
      </c>
    </row>
    <row r="2691" spans="1:6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  <c r="F2691" s="2">
        <v>1.8</v>
      </c>
    </row>
    <row r="2692" spans="1:6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  <c r="F2692" s="2">
        <v>3.97</v>
      </c>
    </row>
    <row r="2693" spans="1:6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  <c r="F2693" s="2">
        <v>16</v>
      </c>
    </row>
    <row r="2694" spans="1:6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  <c r="F2694" s="2">
        <v>14.8</v>
      </c>
    </row>
    <row r="2695" spans="1:6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  <c r="F2695" s="2">
        <v>59.1</v>
      </c>
    </row>
    <row r="2696" spans="1:6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  <c r="F2696" s="2">
        <v>50.5</v>
      </c>
    </row>
    <row r="2697" spans="1:6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  <c r="F2697" s="2">
        <v>190.8</v>
      </c>
    </row>
    <row r="2698" spans="1:6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  <c r="F2698" s="2">
        <v>186</v>
      </c>
    </row>
    <row r="2699" spans="1:6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  <c r="F2699" s="2">
        <v>1200</v>
      </c>
    </row>
    <row r="2700" spans="1:6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  <c r="F2700" s="2">
        <v>34.82</v>
      </c>
    </row>
    <row r="2701" spans="1:6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  <c r="F2701" s="2">
        <v>5.0000000000000001E-3</v>
      </c>
    </row>
    <row r="2702" spans="1:6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  <c r="F2702" s="2">
        <v>8.6000000000000002E-8</v>
      </c>
    </row>
    <row r="2703" spans="1:6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  <c r="F2703" s="2">
        <v>6.9999999999999997E-7</v>
      </c>
    </row>
    <row r="2704" spans="1:6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  <c r="F2704" s="2">
        <v>1.8999999999999899E-5</v>
      </c>
    </row>
    <row r="2705" spans="1:6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  <c r="F2705" s="2">
        <v>1E-3</v>
      </c>
    </row>
    <row r="2706" spans="1:6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  <c r="F2706" s="2">
        <v>0.02</v>
      </c>
    </row>
    <row r="2707" spans="1:6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  <c r="F2707" s="2">
        <v>27.4</v>
      </c>
    </row>
    <row r="2708" spans="1:6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  <c r="F2708" s="2">
        <v>286.10000000000002</v>
      </c>
    </row>
    <row r="2709" spans="1:6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  <c r="F2709" s="2">
        <v>852</v>
      </c>
    </row>
    <row r="2710" spans="1:6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  <c r="F2710" s="2">
        <v>1320</v>
      </c>
    </row>
    <row r="2711" spans="1:6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  <c r="F2711" s="2">
        <v>199.8</v>
      </c>
    </row>
    <row r="2712" spans="1:6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  <c r="F2712" s="2">
        <v>237</v>
      </c>
    </row>
    <row r="2713" spans="1:6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  <c r="F2713" s="2">
        <v>49</v>
      </c>
    </row>
    <row r="2714" spans="1:6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  <c r="F2714" s="2">
        <v>148.19999999999999</v>
      </c>
    </row>
    <row r="2715" spans="1:6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  <c r="F2715" s="2">
        <v>38</v>
      </c>
    </row>
    <row r="2716" spans="1:6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  <c r="F2716" s="2">
        <v>50.2</v>
      </c>
    </row>
    <row r="2717" spans="1:6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  <c r="F2717" s="2">
        <v>19.100000000000001</v>
      </c>
    </row>
    <row r="2718" spans="1:6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  <c r="F2718" s="2">
        <v>17.600000000000001</v>
      </c>
    </row>
    <row r="2719" spans="1:6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  <c r="F2719" s="2">
        <v>5.5</v>
      </c>
    </row>
    <row r="2720" spans="1:6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  <c r="F2720" s="2">
        <v>0.9</v>
      </c>
    </row>
    <row r="2721" spans="1:6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  <c r="F2721" s="2">
        <v>1.6000000000000001E-3</v>
      </c>
    </row>
    <row r="2722" spans="1:6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  <c r="F2722" s="2">
        <v>3.8E-3</v>
      </c>
    </row>
    <row r="2723" spans="1:6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  <c r="F2723" s="2">
        <v>3.1E-2</v>
      </c>
    </row>
    <row r="2724" spans="1:6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  <c r="F2724" s="2">
        <v>5.7000000000000002E-2</v>
      </c>
    </row>
    <row r="2725" spans="1:6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  <c r="F2725" s="2">
        <v>0.21</v>
      </c>
    </row>
    <row r="2726" spans="1:6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  <c r="F2726" s="2">
        <v>0.24</v>
      </c>
    </row>
    <row r="2727" spans="1:6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  <c r="F2727" s="2">
        <v>1.35</v>
      </c>
    </row>
    <row r="2728" spans="1:6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  <c r="F2728" s="2">
        <v>1.3</v>
      </c>
    </row>
    <row r="2729" spans="1:6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  <c r="F2729" s="2">
        <v>4.5999999999999996</v>
      </c>
    </row>
    <row r="2730" spans="1:6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  <c r="F2730" s="2">
        <v>3.7</v>
      </c>
    </row>
    <row r="2731" spans="1:6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  <c r="F2731" s="2">
        <v>13</v>
      </c>
    </row>
    <row r="2732" spans="1:6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  <c r="F2732" s="2">
        <v>13</v>
      </c>
    </row>
    <row r="2733" spans="1:6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  <c r="F2733" s="2">
        <v>163.80000000000001</v>
      </c>
    </row>
    <row r="2734" spans="1:6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  <c r="F2734" s="2">
        <v>2.46</v>
      </c>
    </row>
    <row r="2735" spans="1:6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  <c r="F2735" s="2">
        <v>1.66E-3</v>
      </c>
    </row>
    <row r="2736" spans="1:6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  <c r="F2736" s="2">
        <v>1.8199999999999999E-7</v>
      </c>
    </row>
    <row r="2737" spans="1:6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  <c r="F2737" s="2">
        <v>1.5999999999999999E-6</v>
      </c>
    </row>
    <row r="2738" spans="1:6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  <c r="F2738" s="2">
        <v>2.5199999999999999E-5</v>
      </c>
    </row>
    <row r="2739" spans="1:6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  <c r="F2739" s="2">
        <v>0.01</v>
      </c>
    </row>
    <row r="2740" spans="1:6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  <c r="F2740" s="2">
        <v>1.7999999999999999E-2</v>
      </c>
    </row>
    <row r="2741" spans="1:6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  <c r="F2741" s="2">
        <v>28</v>
      </c>
    </row>
    <row r="2742" spans="1:6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  <c r="F2742" s="2">
        <v>38</v>
      </c>
    </row>
    <row r="2743" spans="1:6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  <c r="F2743" s="2">
        <v>987552</v>
      </c>
    </row>
    <row r="2744" spans="1:6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  <c r="F2744" s="2">
        <v>313796.15999999997</v>
      </c>
    </row>
    <row r="2745" spans="1:6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  <c r="F2745" s="2">
        <v>1287360</v>
      </c>
    </row>
    <row r="2746" spans="1:6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  <c r="F2746" s="2">
        <v>50492160000</v>
      </c>
    </row>
    <row r="2747" spans="1:6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  <c r="F2747" s="2">
        <v>2532</v>
      </c>
    </row>
    <row r="2748" spans="1:6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  <c r="F2748" s="2">
        <v>181456200</v>
      </c>
    </row>
    <row r="2749" spans="1:6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  <c r="F2749" s="2">
        <v>240</v>
      </c>
    </row>
    <row r="2750" spans="1:6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  <c r="F2750" s="2">
        <v>5580</v>
      </c>
    </row>
    <row r="2751" spans="1:6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  <c r="F2751" s="2">
        <v>104</v>
      </c>
    </row>
    <row r="2752" spans="1:6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  <c r="F2752" s="2">
        <v>252</v>
      </c>
    </row>
    <row r="2753" spans="1:6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  <c r="F2753" s="2">
        <v>30</v>
      </c>
    </row>
    <row r="2754" spans="1:6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  <c r="F2754" s="2">
        <v>30</v>
      </c>
    </row>
    <row r="2755" spans="1:6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  <c r="F2755" s="2">
        <v>0.02</v>
      </c>
    </row>
    <row r="2756" spans="1:6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  <c r="F2756" s="2">
        <v>2.1999999999999999E-2</v>
      </c>
    </row>
    <row r="2757" spans="1:6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  <c r="F2757" s="2">
        <v>2.7E-2</v>
      </c>
    </row>
    <row r="2758" spans="1:6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  <c r="F2758" s="2">
        <v>9.5000000000000001E-2</v>
      </c>
    </row>
    <row r="2759" spans="1:6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  <c r="F2759" s="2">
        <v>8.6999999999999994E-2</v>
      </c>
    </row>
    <row r="2760" spans="1:6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  <c r="F2760" s="2">
        <v>0.35</v>
      </c>
    </row>
    <row r="2761" spans="1:6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  <c r="F2761" s="2">
        <v>0.21</v>
      </c>
    </row>
    <row r="2762" spans="1:6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  <c r="F2762" s="2">
        <v>0.93</v>
      </c>
    </row>
    <row r="2763" spans="1:6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  <c r="F2763" s="2">
        <v>0.73799999999999999</v>
      </c>
    </row>
    <row r="2764" spans="1:6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  <c r="F2764" s="2">
        <v>8.1999999999999993</v>
      </c>
    </row>
    <row r="2765" spans="1:6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  <c r="F2765" s="2">
        <v>0.17</v>
      </c>
    </row>
    <row r="2766" spans="1:6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  <c r="F2766" s="2">
        <v>4.3999999999999899E-4</v>
      </c>
    </row>
    <row r="2767" spans="1:6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  <c r="F2767" s="2">
        <v>6.8999999999999996E-8</v>
      </c>
    </row>
    <row r="2768" spans="1:6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  <c r="F2768" s="2">
        <v>1.08E-6</v>
      </c>
    </row>
    <row r="2769" spans="1:6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  <c r="F2769" s="2">
        <v>1.1800000000000001E-5</v>
      </c>
    </row>
    <row r="2770" spans="1:6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  <c r="F2770" s="2">
        <v>2.64E-2</v>
      </c>
    </row>
    <row r="2771" spans="1:6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  <c r="F2771" s="2">
        <v>5.1999999999999998E-2</v>
      </c>
    </row>
    <row r="2772" spans="1:6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  <c r="F2772" s="2">
        <v>5</v>
      </c>
    </row>
    <row r="2773" spans="1:6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  <c r="F2773" s="2">
        <v>126</v>
      </c>
    </row>
    <row r="2774" spans="1:6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  <c r="F2774" s="2">
        <v>10008</v>
      </c>
    </row>
    <row r="2775" spans="1:6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  <c r="F2775" s="2">
        <v>857088</v>
      </c>
    </row>
    <row r="2776" spans="1:6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  <c r="F2776" s="2">
        <v>105732</v>
      </c>
    </row>
    <row r="2777" spans="1:6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  <c r="F2777" s="2">
        <v>687072067.19999897</v>
      </c>
    </row>
    <row r="2778" spans="1:6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  <c r="F2778" s="2">
        <v>22140</v>
      </c>
    </row>
    <row r="2779" spans="1:6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  <c r="F2779" s="2">
        <v>3762</v>
      </c>
    </row>
    <row r="2780" spans="1:6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  <c r="F2780" s="2">
        <v>122</v>
      </c>
    </row>
    <row r="2781" spans="1:6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  <c r="F2781" s="2">
        <v>450</v>
      </c>
    </row>
    <row r="2782" spans="1:6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  <c r="F2782" s="2">
        <v>119</v>
      </c>
    </row>
    <row r="2783" spans="1:6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  <c r="F2783" s="2">
        <v>145</v>
      </c>
    </row>
    <row r="2784" spans="1:6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  <c r="F2784" s="2">
        <v>44</v>
      </c>
    </row>
    <row r="2785" spans="1:6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  <c r="F2785" s="2">
        <v>62</v>
      </c>
    </row>
    <row r="2786" spans="1:6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  <c r="F2786" s="2">
        <v>72</v>
      </c>
    </row>
    <row r="2787" spans="1:6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  <c r="F2787" s="2">
        <v>1.6999999999999999E-3</v>
      </c>
    </row>
    <row r="2788" spans="1:6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  <c r="F2788" s="2">
        <v>2.5000000000000001E-3</v>
      </c>
    </row>
    <row r="2789" spans="1:6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  <c r="F2789" s="2">
        <v>1.6E-2</v>
      </c>
    </row>
    <row r="2790" spans="1:6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  <c r="F2790" s="2">
        <v>3.6999999999999998E-2</v>
      </c>
    </row>
    <row r="2791" spans="1:6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  <c r="F2791" s="2">
        <v>3.1699999999999999E-2</v>
      </c>
    </row>
    <row r="2792" spans="1:6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  <c r="F2792" s="2">
        <v>0.14399999999999999</v>
      </c>
    </row>
    <row r="2793" spans="1:6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  <c r="F2793" s="2">
        <v>8.6999999999999994E-2</v>
      </c>
    </row>
    <row r="2794" spans="1:6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  <c r="F2794" s="2">
        <v>1.2</v>
      </c>
    </row>
    <row r="2795" spans="1:6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  <c r="F2795" s="2">
        <v>2.5999999999999999E-2</v>
      </c>
    </row>
    <row r="2796" spans="1:6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  <c r="F2796" s="2">
        <v>2.41E-4</v>
      </c>
    </row>
    <row r="2797" spans="1:6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  <c r="F2797" s="2">
        <v>1.17E-7</v>
      </c>
    </row>
    <row r="2798" spans="1:6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  <c r="F2798" s="2">
        <v>1.0499999999999999E-6</v>
      </c>
    </row>
    <row r="2799" spans="1:6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  <c r="F2799" s="2">
        <v>9.6999999999999901E-6</v>
      </c>
    </row>
    <row r="2800" spans="1:6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  <c r="F2800" s="2">
        <v>1.6800000000000001E-3</v>
      </c>
    </row>
    <row r="2801" spans="1:6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  <c r="F2801" s="2">
        <v>2.8E-3</v>
      </c>
    </row>
    <row r="2802" spans="1:6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  <c r="F2802" s="2">
        <v>0.6</v>
      </c>
    </row>
    <row r="2803" spans="1:6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  <c r="F2803" s="2">
        <v>1.04</v>
      </c>
    </row>
    <row r="2804" spans="1:6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  <c r="F2804" s="2">
        <v>525</v>
      </c>
    </row>
    <row r="2805" spans="1:6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  <c r="F2805" s="2">
        <v>1834.2</v>
      </c>
    </row>
    <row r="2806" spans="1:6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  <c r="F2806" s="2">
        <v>1615420.79999999</v>
      </c>
    </row>
    <row r="2807" spans="1:6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  <c r="F2807" s="2">
        <v>60353910</v>
      </c>
    </row>
    <row r="2808" spans="1:6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  <c r="F2808" s="2">
        <v>250314883200</v>
      </c>
    </row>
    <row r="2809" spans="1:6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  <c r="F2809" s="2">
        <v>2379443040000</v>
      </c>
    </row>
    <row r="2810" spans="1:6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  <c r="F2810" s="2">
        <v>91872</v>
      </c>
    </row>
    <row r="2811" spans="1:6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  <c r="F2811" s="2">
        <v>4.418064E+17</v>
      </c>
    </row>
    <row r="2812" spans="1:6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  <c r="F2812" s="2">
        <v>1309.8</v>
      </c>
    </row>
    <row r="2813" spans="1:6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  <c r="F2813" s="2">
        <v>2082240</v>
      </c>
    </row>
    <row r="2814" spans="1:6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  <c r="F2814" s="2">
        <v>426</v>
      </c>
    </row>
    <row r="2815" spans="1:6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  <c r="F2815" s="2">
        <v>2238</v>
      </c>
    </row>
    <row r="2816" spans="1:6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  <c r="F2816" s="2">
        <v>282</v>
      </c>
    </row>
    <row r="2817" spans="1:6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  <c r="F2817" s="2">
        <v>564</v>
      </c>
    </row>
    <row r="2818" spans="1:6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  <c r="F2818" s="2">
        <v>2.9999999999999999E-7</v>
      </c>
    </row>
    <row r="2819" spans="1:6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  <c r="F2819" s="2">
        <v>5.09999999999999E-3</v>
      </c>
    </row>
    <row r="2820" spans="1:6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  <c r="F2820" s="2">
        <v>5.3E-3</v>
      </c>
    </row>
    <row r="2821" spans="1:6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  <c r="F2821" s="2">
        <v>1.7000000000000001E-2</v>
      </c>
    </row>
    <row r="2822" spans="1:6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  <c r="F2822" s="2">
        <v>1.4E-2</v>
      </c>
    </row>
    <row r="2823" spans="1:6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  <c r="F2823" s="2">
        <v>0.15</v>
      </c>
    </row>
    <row r="2824" spans="1:6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  <c r="F2824" s="2">
        <v>3.5999999999999999E-3</v>
      </c>
    </row>
    <row r="2825" spans="1:6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  <c r="F2825" s="2">
        <v>1.13E-4</v>
      </c>
    </row>
    <row r="2826" spans="1:6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  <c r="F2826" s="2">
        <v>5.2999999999999998E-8</v>
      </c>
    </row>
    <row r="2827" spans="1:6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  <c r="F2827" s="2">
        <v>7.7999999999999899E-7</v>
      </c>
    </row>
    <row r="2828" spans="1:6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  <c r="F2828" s="2">
        <v>5.9000000000000003E-6</v>
      </c>
    </row>
    <row r="2829" spans="1:6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  <c r="F2829" s="2">
        <v>2.8999999999999998E-3</v>
      </c>
    </row>
    <row r="2830" spans="1:6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  <c r="F2830" s="2">
        <v>5.09999999999999E-3</v>
      </c>
    </row>
    <row r="2831" spans="1:6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  <c r="F2831" s="2">
        <v>0.84599999999999997</v>
      </c>
    </row>
    <row r="2832" spans="1:6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  <c r="F2832" s="2">
        <v>1.7</v>
      </c>
    </row>
    <row r="2833" spans="1:6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  <c r="F2833" s="2">
        <v>108</v>
      </c>
    </row>
    <row r="2834" spans="1:6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  <c r="F2834" s="2">
        <v>2298</v>
      </c>
    </row>
    <row r="2835" spans="1:6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  <c r="F2835" s="2">
        <v>79200</v>
      </c>
    </row>
    <row r="2836" spans="1:6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  <c r="F2836" s="2">
        <v>129600</v>
      </c>
    </row>
    <row r="2837" spans="1:6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  <c r="F2837" s="2">
        <v>1503359.99999999</v>
      </c>
    </row>
    <row r="2838" spans="1:6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  <c r="F2838" s="2">
        <v>1033826976000</v>
      </c>
    </row>
    <row r="2839" spans="1:6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  <c r="F2839" s="2">
        <v>114048</v>
      </c>
    </row>
    <row r="2840" spans="1:6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  <c r="F2840" s="2">
        <v>2330640</v>
      </c>
    </row>
    <row r="2841" spans="1:6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  <c r="F2841" s="2">
        <v>24120</v>
      </c>
    </row>
    <row r="2842" spans="1:6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  <c r="F2842" s="2">
        <v>1464</v>
      </c>
    </row>
    <row r="2843" spans="1:6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  <c r="F2843" s="2">
        <v>546</v>
      </c>
    </row>
    <row r="2844" spans="1:6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  <c r="F2844" s="2">
        <v>522</v>
      </c>
    </row>
    <row r="2845" spans="1:6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  <c r="F2845" s="2">
        <v>136.79999999999899</v>
      </c>
    </row>
    <row r="2846" spans="1:6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  <c r="F2846" s="2">
        <v>6480</v>
      </c>
    </row>
    <row r="2847" spans="1:6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  <c r="F2847" s="2">
        <v>4.4999999999999997E-3</v>
      </c>
    </row>
    <row r="2848" spans="1:6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  <c r="F2848" s="2">
        <v>1.6E-2</v>
      </c>
    </row>
    <row r="2849" spans="1:6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  <c r="F2849" s="2">
        <v>5.1000000000000004E-4</v>
      </c>
    </row>
    <row r="2850" spans="1:6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  <c r="F2850" s="2">
        <v>4.1999999999999998E-5</v>
      </c>
    </row>
    <row r="2851" spans="1:6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  <c r="F2851" s="2">
        <v>6.6000000000000003E-7</v>
      </c>
    </row>
    <row r="2852" spans="1:6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  <c r="F2852" s="2">
        <v>4.6999999999999999E-6</v>
      </c>
    </row>
    <row r="2853" spans="1:6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  <c r="F2853" s="2">
        <v>1.8E-5</v>
      </c>
    </row>
    <row r="2854" spans="1:6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  <c r="F2854" s="2">
        <v>8.4000000000000003E-4</v>
      </c>
    </row>
    <row r="2855" spans="1:6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  <c r="F2855" s="2">
        <v>9.5000000000000001E-2</v>
      </c>
    </row>
    <row r="2856" spans="1:6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  <c r="F2856" s="2">
        <v>0.26800000000000002</v>
      </c>
    </row>
    <row r="2857" spans="1:6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  <c r="F2857" s="2">
        <v>66</v>
      </c>
    </row>
    <row r="2858" spans="1:6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  <c r="F2858" s="2">
        <v>546</v>
      </c>
    </row>
    <row r="2859" spans="1:6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  <c r="F2859" s="2">
        <v>3480</v>
      </c>
    </row>
    <row r="2860" spans="1:6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  <c r="F2860" s="2">
        <v>1797120</v>
      </c>
    </row>
    <row r="2861" spans="1:6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  <c r="F2861" s="2">
        <v>362880</v>
      </c>
    </row>
    <row r="2862" spans="1:6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  <c r="F2862" s="2">
        <v>2174318640</v>
      </c>
    </row>
    <row r="2863" spans="1:6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  <c r="F2863" s="2">
        <v>5023969920000</v>
      </c>
    </row>
    <row r="2864" spans="1:6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  <c r="F2864" s="2">
        <v>7747390800000</v>
      </c>
    </row>
    <row r="2865" spans="1:6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  <c r="F2865" s="2">
        <v>2.22165504E+16</v>
      </c>
    </row>
    <row r="2866" spans="1:6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  <c r="F2866" s="2">
        <v>739078992000000</v>
      </c>
    </row>
    <row r="2867" spans="1:6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  <c r="F2867" s="2">
        <v>583200</v>
      </c>
    </row>
    <row r="2868" spans="1:6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  <c r="F2868" s="2">
        <v>1.409993568E+17</v>
      </c>
    </row>
    <row r="2869" spans="1:6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  <c r="F2869" s="2">
        <v>1407</v>
      </c>
    </row>
    <row r="2870" spans="1:6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  <c r="F2870" s="2">
        <v>50760</v>
      </c>
    </row>
    <row r="2871" spans="1:6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  <c r="F2871" s="2">
        <v>1008</v>
      </c>
    </row>
    <row r="2872" spans="1:6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  <c r="F2872" s="2">
        <v>3.5999999999999999E-3</v>
      </c>
    </row>
    <row r="2873" spans="1:6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  <c r="F2873" s="2">
        <v>3.5000000000000003E-2</v>
      </c>
    </row>
    <row r="2874" spans="1:6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  <c r="F2874" s="2">
        <v>0.51</v>
      </c>
    </row>
    <row r="2875" spans="1:6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  <c r="F2875" s="2">
        <v>61.4</v>
      </c>
    </row>
    <row r="2876" spans="1:6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  <c r="F2876" s="2">
        <v>240</v>
      </c>
    </row>
    <row r="2877" spans="1:6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  <c r="F2877" s="2">
        <v>276</v>
      </c>
    </row>
    <row r="2878" spans="1:6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  <c r="F2878" s="2">
        <v>2928</v>
      </c>
    </row>
    <row r="2879" spans="1:6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  <c r="F2879" s="2">
        <v>882</v>
      </c>
    </row>
    <row r="2880" spans="1:6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  <c r="F2880" s="2">
        <v>2172</v>
      </c>
    </row>
    <row r="2881" spans="1:6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  <c r="F2881" s="2">
        <v>380160</v>
      </c>
    </row>
    <row r="2882" spans="1:6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  <c r="F2882" s="2">
        <v>34223040</v>
      </c>
    </row>
    <row r="2883" spans="1:6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  <c r="F2883" s="2">
        <v>4828312800000</v>
      </c>
    </row>
    <row r="2884" spans="1:6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  <c r="F2884" s="2">
        <v>67659494400000</v>
      </c>
    </row>
    <row r="2885" spans="1:6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  <c r="F2885" s="2">
        <v>182908.79999999999</v>
      </c>
    </row>
    <row r="2886" spans="1:6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  <c r="F2886" s="2">
        <v>203558.39999999999</v>
      </c>
    </row>
    <row r="2887" spans="1:6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  <c r="F2887" s="2">
        <v>3714</v>
      </c>
    </row>
    <row r="2888" spans="1:6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  <c r="F2888" s="2">
        <v>834</v>
      </c>
    </row>
    <row r="2889" spans="1:6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  <c r="F2889" s="2">
        <v>132</v>
      </c>
    </row>
    <row r="2890" spans="1:6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  <c r="F2890" s="2">
        <v>111</v>
      </c>
    </row>
    <row r="2891" spans="1:6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  <c r="F2891" s="2">
        <v>137.4</v>
      </c>
    </row>
    <row r="2892" spans="1:6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  <c r="F2892" s="2">
        <v>1.1000000000000001</v>
      </c>
    </row>
    <row r="2893" spans="1:6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  <c r="F2893" s="2">
        <v>67</v>
      </c>
    </row>
    <row r="2894" spans="1:6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  <c r="F2894" s="2">
        <v>102</v>
      </c>
    </row>
    <row r="2895" spans="1:6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  <c r="F2895" s="2">
        <v>516</v>
      </c>
    </row>
    <row r="2896" spans="1:6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  <c r="F2896" s="2">
        <v>2027.99999999999</v>
      </c>
    </row>
    <row r="2897" spans="1:6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  <c r="F2897" s="2">
        <v>1254</v>
      </c>
    </row>
    <row r="2898" spans="1:6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  <c r="F2898" s="2">
        <v>31680</v>
      </c>
    </row>
    <row r="2899" spans="1:6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  <c r="F2899" s="2">
        <v>1518</v>
      </c>
    </row>
    <row r="2900" spans="1:6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  <c r="F2900" s="2">
        <v>90191620.799999997</v>
      </c>
    </row>
    <row r="2901" spans="1:6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  <c r="F2901" s="2">
        <v>3943296</v>
      </c>
    </row>
    <row r="2902" spans="1:6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  <c r="F2902" s="2">
        <v>2767601520</v>
      </c>
    </row>
    <row r="2903" spans="1:6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  <c r="F2903" s="2">
        <v>760853736000</v>
      </c>
    </row>
    <row r="2904" spans="1:6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  <c r="F2904" s="2">
        <v>207049413600</v>
      </c>
    </row>
    <row r="2905" spans="1:6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  <c r="F2905" s="2">
        <v>452188850.39999998</v>
      </c>
    </row>
    <row r="2906" spans="1:6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  <c r="F2906" s="2">
        <v>11834100000000</v>
      </c>
    </row>
    <row r="2907" spans="1:6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  <c r="F2907" s="2">
        <v>17841.599999999999</v>
      </c>
    </row>
    <row r="2908" spans="1:6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  <c r="F2908" s="2">
        <v>2524608000000000</v>
      </c>
    </row>
    <row r="2909" spans="1:6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  <c r="F2909" s="2">
        <v>37800</v>
      </c>
    </row>
    <row r="2910" spans="1:6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  <c r="F2910" s="2">
        <v>936576</v>
      </c>
    </row>
    <row r="2911" spans="1:6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  <c r="F2911" s="2">
        <v>196128</v>
      </c>
    </row>
    <row r="2912" spans="1:6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  <c r="F2912" s="2">
        <v>17</v>
      </c>
    </row>
    <row r="2913" spans="1:6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  <c r="F2913" s="2">
        <v>79</v>
      </c>
    </row>
    <row r="2914" spans="1:6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  <c r="F2914" s="2">
        <v>192</v>
      </c>
    </row>
    <row r="2915" spans="1:6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  <c r="F2915" s="2">
        <v>139.19999999999999</v>
      </c>
    </row>
    <row r="2916" spans="1:6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  <c r="F2916" s="2">
        <v>618</v>
      </c>
    </row>
    <row r="2917" spans="1:6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  <c r="F2917" s="2">
        <v>216</v>
      </c>
    </row>
    <row r="2918" spans="1:6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  <c r="F2918" s="2">
        <v>4416</v>
      </c>
    </row>
    <row r="2919" spans="1:6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  <c r="F2919" s="2">
        <v>5880</v>
      </c>
    </row>
    <row r="2920" spans="1:6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  <c r="F2920" s="2">
        <v>42840</v>
      </c>
    </row>
    <row r="2921" spans="1:6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  <c r="F2921" s="2">
        <v>182880</v>
      </c>
    </row>
    <row r="2922" spans="1:6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  <c r="F2922" s="2">
        <v>13651817760</v>
      </c>
    </row>
    <row r="2923" spans="1:6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  <c r="F2923" s="2">
        <v>57672</v>
      </c>
    </row>
    <row r="2924" spans="1:6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  <c r="F2924" s="2">
        <v>232390166400</v>
      </c>
    </row>
    <row r="2925" spans="1:6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  <c r="F2925" s="2">
        <v>36360</v>
      </c>
    </row>
    <row r="2926" spans="1:6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  <c r="F2926" s="2">
        <v>7379.99999999999</v>
      </c>
    </row>
    <row r="2927" spans="1:6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  <c r="F2927" s="2">
        <v>2340</v>
      </c>
    </row>
    <row r="2928" spans="1:6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  <c r="F2928" s="2">
        <v>1380</v>
      </c>
    </row>
    <row r="2929" spans="1:6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  <c r="F2929" s="2">
        <v>600</v>
      </c>
    </row>
    <row r="2930" spans="1:6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  <c r="F2930" s="2">
        <v>23</v>
      </c>
    </row>
    <row r="2931" spans="1:6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  <c r="F2931" s="2">
        <v>51</v>
      </c>
    </row>
    <row r="2932" spans="1:6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  <c r="F2932" s="2">
        <v>7920</v>
      </c>
    </row>
    <row r="2933" spans="1:6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  <c r="F2933" s="2">
        <v>9720</v>
      </c>
    </row>
    <row r="2934" spans="1:6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  <c r="F2934" s="2">
        <v>2332800</v>
      </c>
    </row>
    <row r="2935" spans="1:6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  <c r="F2935" s="2">
        <v>2833919.9999999902</v>
      </c>
    </row>
    <row r="2936" spans="1:6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  <c r="F2936" s="2">
        <v>14065920</v>
      </c>
    </row>
    <row r="2937" spans="1:6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  <c r="F2937" s="2">
        <v>918326160</v>
      </c>
    </row>
    <row r="2938" spans="1:6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  <c r="F2938" s="2">
        <v>571192560</v>
      </c>
    </row>
    <row r="2939" spans="1:6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  <c r="F2939" s="2">
        <v>265809664800</v>
      </c>
    </row>
    <row r="2940" spans="1:6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  <c r="F2940" s="2">
        <v>148510065600</v>
      </c>
    </row>
    <row r="2941" spans="1:6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  <c r="F2941" s="2">
        <v>492298560000000</v>
      </c>
    </row>
    <row r="2942" spans="1:6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  <c r="F2942" s="2">
        <v>10982044800000</v>
      </c>
    </row>
    <row r="2943" spans="1:6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  <c r="F2943" s="2">
        <v>3849</v>
      </c>
    </row>
    <row r="2944" spans="1:6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  <c r="F2944" s="2">
        <v>261928080000</v>
      </c>
    </row>
    <row r="2945" spans="1:6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  <c r="F2945" s="2">
        <v>1008</v>
      </c>
    </row>
    <row r="2946" spans="1:6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  <c r="F2946" s="2">
        <v>140</v>
      </c>
    </row>
    <row r="2947" spans="1:6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  <c r="F2947" s="2">
        <v>60</v>
      </c>
    </row>
    <row r="2948" spans="1:6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  <c r="F2948" s="2">
        <v>144</v>
      </c>
    </row>
    <row r="2949" spans="1:6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  <c r="F2949" s="2">
        <v>288</v>
      </c>
    </row>
    <row r="2950" spans="1:6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  <c r="F2950" s="2">
        <v>276</v>
      </c>
    </row>
    <row r="2951" spans="1:6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  <c r="F2951" s="2">
        <v>420</v>
      </c>
    </row>
    <row r="2952" spans="1:6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  <c r="F2952" s="2">
        <v>16200</v>
      </c>
    </row>
    <row r="2953" spans="1:6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  <c r="F2953" s="2">
        <v>15659.9999999999</v>
      </c>
    </row>
    <row r="2954" spans="1:6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  <c r="F2954" s="2">
        <v>427680</v>
      </c>
    </row>
    <row r="2955" spans="1:6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  <c r="F2955" s="2">
        <v>155520</v>
      </c>
    </row>
    <row r="2956" spans="1:6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  <c r="F2956" s="2">
        <v>43549488000</v>
      </c>
    </row>
    <row r="2957" spans="1:6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  <c r="F2957" s="2">
        <v>284018400</v>
      </c>
    </row>
    <row r="2958" spans="1:6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  <c r="F2958" s="2">
        <v>28512000</v>
      </c>
    </row>
    <row r="2959" spans="1:6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  <c r="F2959" s="2">
        <v>11563.2</v>
      </c>
    </row>
    <row r="2960" spans="1:6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  <c r="F2960" s="2">
        <v>3336</v>
      </c>
    </row>
    <row r="2961" spans="1:6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  <c r="F2961" s="2">
        <v>600</v>
      </c>
    </row>
    <row r="2962" spans="1:6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  <c r="F2962" s="2">
        <v>0.8</v>
      </c>
    </row>
    <row r="2963" spans="1:6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  <c r="F2963" s="2">
        <v>2.1100000000000001E-2</v>
      </c>
    </row>
    <row r="2964" spans="1:6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  <c r="F2964" s="2">
        <v>39</v>
      </c>
    </row>
    <row r="2965" spans="1:6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  <c r="F2965" s="2">
        <v>64</v>
      </c>
    </row>
    <row r="2966" spans="1:6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  <c r="F2966" s="2">
        <v>226.79999999999899</v>
      </c>
    </row>
    <row r="2967" spans="1:6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  <c r="F2967" s="2">
        <v>209.4</v>
      </c>
    </row>
    <row r="2968" spans="1:6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  <c r="F2968" s="2">
        <v>642</v>
      </c>
    </row>
    <row r="2969" spans="1:6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  <c r="F2969" s="2">
        <v>1164</v>
      </c>
    </row>
    <row r="2970" spans="1:6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  <c r="F2970" s="2">
        <v>2700</v>
      </c>
    </row>
    <row r="2971" spans="1:6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  <c r="F2971" s="2">
        <v>128520</v>
      </c>
    </row>
    <row r="2972" spans="1:6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  <c r="F2972" s="2">
        <v>11196</v>
      </c>
    </row>
    <row r="2973" spans="1:6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  <c r="F2973" s="2">
        <v>28814400</v>
      </c>
    </row>
    <row r="2974" spans="1:6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  <c r="F2974" s="2">
        <v>11076717600</v>
      </c>
    </row>
    <row r="2975" spans="1:6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  <c r="F2975" s="2">
        <v>412773408</v>
      </c>
    </row>
    <row r="2976" spans="1:6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  <c r="F2976" s="2">
        <v>28338724800</v>
      </c>
    </row>
    <row r="2977" spans="1:6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  <c r="F2977" s="2">
        <v>83469852</v>
      </c>
    </row>
    <row r="2978" spans="1:6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  <c r="F2978" s="2">
        <v>1538784</v>
      </c>
    </row>
    <row r="2979" spans="1:6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  <c r="F2979" s="2">
        <v>5227200</v>
      </c>
    </row>
    <row r="2980" spans="1:6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  <c r="F2980" s="2">
        <v>5100</v>
      </c>
    </row>
    <row r="2981" spans="1:6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  <c r="F2981" s="2">
        <v>738</v>
      </c>
    </row>
    <row r="2982" spans="1:6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  <c r="F2982" s="2">
        <v>8</v>
      </c>
    </row>
    <row r="2983" spans="1:6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  <c r="F2983" s="2">
        <v>17.8</v>
      </c>
    </row>
    <row r="2984" spans="1:6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  <c r="F2984" s="2">
        <v>21</v>
      </c>
    </row>
    <row r="2985" spans="1:6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  <c r="F2985" s="2">
        <v>37</v>
      </c>
    </row>
    <row r="2986" spans="1:6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  <c r="F2986" s="2">
        <v>66</v>
      </c>
    </row>
    <row r="2987" spans="1:6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  <c r="F2987" s="2">
        <v>450</v>
      </c>
    </row>
    <row r="2988" spans="1:6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  <c r="F2988" s="2">
        <v>273</v>
      </c>
    </row>
    <row r="2989" spans="1:6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  <c r="F2989" s="2">
        <v>1440</v>
      </c>
    </row>
    <row r="2990" spans="1:6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  <c r="F2990" s="2">
        <v>6132</v>
      </c>
    </row>
    <row r="2991" spans="1:6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  <c r="F2991" s="2">
        <v>30960</v>
      </c>
    </row>
    <row r="2992" spans="1:6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  <c r="F2992" s="2">
        <v>118800</v>
      </c>
    </row>
    <row r="2993" spans="1:6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  <c r="F2993" s="2">
        <v>40754880</v>
      </c>
    </row>
    <row r="2994" spans="1:6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  <c r="F2994" s="2">
        <v>1768608</v>
      </c>
    </row>
    <row r="2995" spans="1:6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  <c r="F2995" s="2">
        <v>23820480</v>
      </c>
    </row>
    <row r="2996" spans="1:6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  <c r="F2996" s="2">
        <v>3438719.9999999902</v>
      </c>
    </row>
    <row r="2997" spans="1:6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  <c r="F2997" s="2">
        <v>1524</v>
      </c>
    </row>
    <row r="2998" spans="1:6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  <c r="F2998" s="2">
        <v>665280</v>
      </c>
    </row>
    <row r="2999" spans="1:6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  <c r="F2999" s="2">
        <v>7.2999999999999996E-4</v>
      </c>
    </row>
    <row r="3000" spans="1:6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  <c r="F3000" s="2">
        <v>0.23100000000000001</v>
      </c>
    </row>
    <row r="3001" spans="1:6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  <c r="F3001" s="2">
        <v>3.1199999999999999E-3</v>
      </c>
    </row>
    <row r="3002" spans="1:6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  <c r="F3002" s="2">
        <v>4.2</v>
      </c>
    </row>
    <row r="3003" spans="1:6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  <c r="F3003" s="2">
        <v>1.54</v>
      </c>
    </row>
    <row r="3004" spans="1:6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  <c r="F3004" s="2">
        <v>31</v>
      </c>
    </row>
    <row r="3005" spans="1:6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  <c r="F3005" s="2">
        <v>34.5</v>
      </c>
    </row>
    <row r="3006" spans="1:6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  <c r="F3006" s="2">
        <v>156</v>
      </c>
    </row>
    <row r="3007" spans="1:6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  <c r="F3007" s="2">
        <v>1800</v>
      </c>
    </row>
    <row r="3008" spans="1:6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  <c r="F3008" s="2">
        <v>19080</v>
      </c>
    </row>
    <row r="3009" spans="1:6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  <c r="F3009" s="2">
        <v>91404</v>
      </c>
    </row>
    <row r="3010" spans="1:6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  <c r="F3010" s="2">
        <v>259200</v>
      </c>
    </row>
    <row r="3011" spans="1:6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  <c r="F3011" s="2">
        <v>11664</v>
      </c>
    </row>
    <row r="3012" spans="1:6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  <c r="F3012" s="2">
        <v>72252</v>
      </c>
    </row>
    <row r="3013" spans="1:6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  <c r="F3013" s="2">
        <v>9456</v>
      </c>
    </row>
    <row r="3014" spans="1:6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  <c r="F3014" s="2">
        <v>8683200</v>
      </c>
    </row>
    <row r="3015" spans="1:6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  <c r="F3015" s="2">
        <v>3.6999999999999999E-4</v>
      </c>
    </row>
    <row r="3016" spans="1:6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  <c r="F3016" s="2">
        <v>1.5</v>
      </c>
    </row>
    <row r="3017" spans="1:6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  <c r="F3017" s="2">
        <v>4.0000000000000001E-3</v>
      </c>
    </row>
    <row r="3018" spans="1:6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  <c r="F3018" s="2">
        <v>8.9999999999999998E-4</v>
      </c>
    </row>
    <row r="3019" spans="1:6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  <c r="F3019" s="2">
        <v>0.9</v>
      </c>
    </row>
    <row r="3020" spans="1:6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  <c r="F3020" s="2">
        <v>1.2</v>
      </c>
    </row>
    <row r="3021" spans="1:6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  <c r="F3021" s="2">
        <v>13</v>
      </c>
    </row>
    <row r="3022" spans="1:6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  <c r="F3022" s="2">
        <v>21.7</v>
      </c>
    </row>
    <row r="3023" spans="1:6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  <c r="F3023" s="2">
        <v>25</v>
      </c>
    </row>
    <row r="3024" spans="1:6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  <c r="F3024" s="2">
        <v>256.2</v>
      </c>
    </row>
    <row r="3025" spans="1:6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  <c r="F3025" s="2">
        <v>138</v>
      </c>
    </row>
    <row r="3026" spans="1:6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  <c r="F3026" s="2">
        <v>360</v>
      </c>
    </row>
    <row r="3027" spans="1:6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  <c r="F3027" s="2">
        <v>1680</v>
      </c>
    </row>
    <row r="3028" spans="1:6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  <c r="F3028" s="2">
        <v>1620</v>
      </c>
    </row>
    <row r="3029" spans="1:6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  <c r="F3029" s="2">
        <v>4620</v>
      </c>
    </row>
    <row r="3030" spans="1:6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  <c r="F3030" s="2">
        <v>19872</v>
      </c>
    </row>
    <row r="3031" spans="1:6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  <c r="F3031" s="2">
        <v>4449600</v>
      </c>
    </row>
    <row r="3032" spans="1:6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  <c r="F3032" s="2">
        <v>5760</v>
      </c>
    </row>
    <row r="3033" spans="1:6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  <c r="F3033" s="2">
        <v>2747520</v>
      </c>
    </row>
    <row r="3034" spans="1:6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  <c r="F3034" s="2">
        <v>4.1999999999999996E-6</v>
      </c>
    </row>
    <row r="3035" spans="1:6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  <c r="F3035" s="2">
        <v>0.8</v>
      </c>
    </row>
    <row r="3036" spans="1:6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  <c r="F3036" s="2">
        <v>2.44</v>
      </c>
    </row>
    <row r="3037" spans="1:6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  <c r="F3037" s="2">
        <v>97.2</v>
      </c>
    </row>
    <row r="3038" spans="1:6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  <c r="F3038" s="2">
        <v>51</v>
      </c>
    </row>
    <row r="3039" spans="1:6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  <c r="F3039" s="2">
        <v>211.2</v>
      </c>
    </row>
    <row r="3040" spans="1:6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  <c r="F3040" s="2">
        <v>2.91</v>
      </c>
    </row>
    <row r="3041" spans="1:6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  <c r="F3041" s="2">
        <v>24.5</v>
      </c>
    </row>
    <row r="3042" spans="1:6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  <c r="F3042" s="2">
        <v>1.1999999999999999E-3</v>
      </c>
    </row>
    <row r="3043" spans="1:6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  <c r="F3043" s="2">
        <v>3480</v>
      </c>
    </row>
    <row r="3044" spans="1:6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  <c r="F3044" s="2">
        <v>0.106</v>
      </c>
    </row>
    <row r="3045" spans="1:6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  <c r="F3045" s="2">
        <v>5.0000000000000001E-3</v>
      </c>
    </row>
    <row r="3046" spans="1:6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  <c r="F3046" s="2">
        <v>0.36</v>
      </c>
    </row>
    <row r="3047" spans="1:6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  <c r="F3047" s="2">
        <v>0.56999999999999995</v>
      </c>
    </row>
    <row r="3048" spans="1:6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  <c r="F3048" s="2">
        <v>18.399999999999999</v>
      </c>
    </row>
    <row r="3049" spans="1:6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  <c r="F3049" s="2">
        <v>31.1</v>
      </c>
    </row>
    <row r="3050" spans="1:6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  <c r="F3050" s="2">
        <v>27</v>
      </c>
    </row>
    <row r="3051" spans="1:6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  <c r="F3051" s="2">
        <v>4</v>
      </c>
    </row>
    <row r="3052" spans="1:6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  <c r="F3052" s="2">
        <v>4.0999999999999996</v>
      </c>
    </row>
    <row r="3053" spans="1:6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  <c r="F3053" s="2">
        <v>6.2</v>
      </c>
    </row>
    <row r="3054" spans="1:6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  <c r="F3054" s="2">
        <v>180</v>
      </c>
    </row>
    <row r="3055" spans="1:6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  <c r="F3055" s="2">
        <v>2340</v>
      </c>
    </row>
    <row r="3056" spans="1:6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  <c r="F3056" s="2">
        <v>14400</v>
      </c>
    </row>
    <row r="3057" spans="1:6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  <c r="F3057" s="2">
        <v>39600</v>
      </c>
    </row>
    <row r="3058" spans="1:6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  <c r="F3058" s="2">
        <v>4.8000000000000001E-5</v>
      </c>
    </row>
    <row r="3059" spans="1:6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  <c r="F3059" s="2">
        <v>2.3E-5</v>
      </c>
    </row>
    <row r="3060" spans="1:6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  <c r="F3060" s="2">
        <v>1.68</v>
      </c>
    </row>
    <row r="3061" spans="1:6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  <c r="F3061" s="2">
        <v>6.6699999999999997E-3</v>
      </c>
    </row>
    <row r="3062" spans="1:6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  <c r="F3062" s="2">
        <v>4.4000000000000004</v>
      </c>
    </row>
    <row r="3063" spans="1:6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  <c r="F3063" s="2">
        <v>1.47E-2</v>
      </c>
    </row>
    <row r="3064" spans="1:6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  <c r="F3064" s="2">
        <v>2.4</v>
      </c>
    </row>
    <row r="3065" spans="1:6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  <c r="F3065" s="2">
        <v>2.1000000000000001E-2</v>
      </c>
    </row>
    <row r="3066" spans="1:6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  <c r="F3066" s="2">
        <v>68</v>
      </c>
    </row>
    <row r="3067" spans="1:6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  <c r="F3067" s="2">
        <v>2.2999999999999998</v>
      </c>
    </row>
    <row r="3068" spans="1:6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  <c r="F3068" s="2">
        <v>600</v>
      </c>
    </row>
    <row r="3069" spans="1:6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  <c r="F3069" s="2">
        <v>60</v>
      </c>
    </row>
    <row r="3070" spans="1:6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  <c r="F3070" s="2">
        <v>1.6</v>
      </c>
    </row>
    <row r="3071" spans="1:6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  <c r="F3071" s="2">
        <v>1.6</v>
      </c>
    </row>
    <row r="3072" spans="1:6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  <c r="F3072" s="2">
        <v>2.2999999999999998</v>
      </c>
    </row>
    <row r="3073" spans="1:6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  <c r="F3073" s="2">
        <v>4.2</v>
      </c>
    </row>
    <row r="3074" spans="1:6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  <c r="F3074" s="2">
        <v>0.51</v>
      </c>
    </row>
    <row r="3075" spans="1:6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  <c r="F3075" s="2">
        <v>1.52</v>
      </c>
    </row>
    <row r="3076" spans="1:6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  <c r="F3076" s="2">
        <v>1.8</v>
      </c>
    </row>
    <row r="3077" spans="1:6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  <c r="F3077" s="2">
        <v>35</v>
      </c>
    </row>
    <row r="3078" spans="1:6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  <c r="F3078" s="2">
        <v>27</v>
      </c>
    </row>
    <row r="3079" spans="1:6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  <c r="F3079" s="2">
        <v>4380</v>
      </c>
    </row>
    <row r="3080" spans="1:6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  <c r="F3080" s="2">
        <v>115200</v>
      </c>
    </row>
    <row r="3081" spans="1:6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  <c r="F3081" s="2">
        <v>3600</v>
      </c>
    </row>
    <row r="3082" spans="1:6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  <c r="F3082" s="2">
        <v>2.8999999999999998E-3</v>
      </c>
    </row>
    <row r="3083" spans="1:6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  <c r="F3083" s="2">
        <v>0.28999999999999998</v>
      </c>
    </row>
    <row r="3084" spans="1:6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  <c r="F3084" s="2">
        <v>4.9500000000000004E-3</v>
      </c>
    </row>
    <row r="3085" spans="1:6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  <c r="F3085" s="2">
        <v>0.17799999999999999</v>
      </c>
    </row>
    <row r="3086" spans="1:6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  <c r="F3086" s="2">
        <v>6.8999999999999999E-3</v>
      </c>
    </row>
    <row r="3087" spans="1:6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  <c r="F3087" s="2">
        <v>1</v>
      </c>
    </row>
    <row r="3088" spans="1:6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  <c r="F3088" s="2">
        <v>3.6999999999999998E-2</v>
      </c>
    </row>
    <row r="3089" spans="1:6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  <c r="F3089" s="2">
        <v>14.4</v>
      </c>
    </row>
    <row r="3090" spans="1:6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  <c r="F3090" s="2">
        <v>21</v>
      </c>
    </row>
    <row r="3091" spans="1:6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  <c r="F3091" s="2">
        <v>186</v>
      </c>
    </row>
    <row r="3092" spans="1:6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  <c r="F3092" s="2">
        <v>144</v>
      </c>
    </row>
    <row r="3093" spans="1:6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  <c r="F3093" s="2">
        <v>3.5000000000000003E-2</v>
      </c>
    </row>
    <row r="3094" spans="1:6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  <c r="F3094" s="2">
        <v>1.18E-2</v>
      </c>
    </row>
    <row r="3095" spans="1:6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  <c r="F3095" s="2">
        <v>2.1999999999999999E-2</v>
      </c>
    </row>
    <row r="3096" spans="1:6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  <c r="F3096" s="2">
        <v>0.44</v>
      </c>
    </row>
    <row r="3097" spans="1:6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  <c r="F3097" s="2">
        <v>0.9</v>
      </c>
    </row>
    <row r="3098" spans="1:6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  <c r="F3098" s="2">
        <v>1.7</v>
      </c>
    </row>
    <row r="3099" spans="1:6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  <c r="F3099" s="2">
        <v>17</v>
      </c>
    </row>
    <row r="3100" spans="1:6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  <c r="F3100" s="2">
        <v>60</v>
      </c>
    </row>
    <row r="3101" spans="1:6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  <c r="F3101" s="2">
        <v>10</v>
      </c>
    </row>
    <row r="3102" spans="1:6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  <c r="F3102" s="2">
        <v>54</v>
      </c>
    </row>
    <row r="3103" spans="1:6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  <c r="F3103" s="2">
        <v>7.3999999999999999E-4</v>
      </c>
    </row>
    <row r="3104" spans="1:6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  <c r="F3104" s="2">
        <v>8.0000000000000004E-4</v>
      </c>
    </row>
    <row r="3105" spans="1:6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  <c r="F3105" s="2">
        <v>1.9E-3</v>
      </c>
    </row>
    <row r="3106" spans="1:6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  <c r="F3106" s="2">
        <v>2.3E-3</v>
      </c>
    </row>
    <row r="3107" spans="1:6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  <c r="F3107" s="2">
        <v>5.1999999999999998E-2</v>
      </c>
    </row>
    <row r="3108" spans="1:6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  <c r="F3108" s="2">
        <v>0.4</v>
      </c>
    </row>
    <row r="3109" spans="1:6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  <c r="F3109" s="2">
        <v>9.6999999999999993</v>
      </c>
    </row>
    <row r="3110" spans="1:6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  <c r="F3110" s="2">
        <v>22</v>
      </c>
    </row>
    <row r="3111" spans="1:6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  <c r="F3111" s="2">
        <v>0.76</v>
      </c>
    </row>
    <row r="3112" spans="1:6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  <c r="F3112" s="2">
        <v>0.15</v>
      </c>
    </row>
    <row r="3113" spans="1:6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  <c r="F3113" s="2">
        <v>3.0000000000000001E-3</v>
      </c>
    </row>
    <row r="3114" spans="1:6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  <c r="F3114" s="2">
        <v>1.6999999999999999E-3</v>
      </c>
    </row>
    <row r="3115" spans="1:6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  <c r="F3115" s="2">
        <v>2.1000000000000001E-2</v>
      </c>
    </row>
    <row r="3116" spans="1:6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  <c r="F3116" s="2">
        <v>5.0000000000000001E-3</v>
      </c>
    </row>
    <row r="3117" spans="1:6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  <c r="F3117" s="2">
        <v>0.44</v>
      </c>
    </row>
    <row r="3118" spans="1:6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  <c r="F3118" s="2">
        <v>9.7000000000000003E-3</v>
      </c>
    </row>
    <row r="3119" spans="1:6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  <c r="F3119" s="2">
        <v>0.72</v>
      </c>
    </row>
    <row r="3120" spans="1:6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  <c r="F3120" s="2">
        <v>5</v>
      </c>
    </row>
    <row r="3121" spans="1:6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  <c r="F3121" s="2">
        <v>8</v>
      </c>
    </row>
    <row r="3122" spans="1:6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  <c r="F3122" s="2">
        <v>2.7999999999999999E-6</v>
      </c>
    </row>
    <row r="3123" spans="1:6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  <c r="F3123" s="2">
        <v>1.7899999999999999E-4</v>
      </c>
    </row>
    <row r="3124" spans="1:6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  <c r="F3124" s="2">
        <v>1E-4</v>
      </c>
    </row>
    <row r="3125" spans="1:6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  <c r="F3125" s="2">
        <v>1.6299999999999999E-3</v>
      </c>
    </row>
    <row r="3126" spans="1:6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  <c r="F3126" s="2">
        <v>1.7000000000000001E-4</v>
      </c>
    </row>
    <row r="3127" spans="1:6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  <c r="F3127" s="2">
        <v>4.0999999999999899E-3</v>
      </c>
    </row>
    <row r="3128" spans="1:6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  <c r="F3128" s="2">
        <v>0.18</v>
      </c>
    </row>
    <row r="3129" spans="1:6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  <c r="F3129" s="2">
        <v>13</v>
      </c>
    </row>
    <row r="3130" spans="1:6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  <c r="F3130" s="2">
        <v>3.8E-3</v>
      </c>
    </row>
    <row r="3131" spans="1:6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  <c r="F3131" s="2">
        <v>6.4000000000000003E-3</v>
      </c>
    </row>
    <row r="3132" spans="1:6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  <c r="F3132" s="2">
        <v>4.1999999999999997E-3</v>
      </c>
    </row>
    <row r="3133" spans="1:6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  <c r="F3133" s="2">
        <v>0.17</v>
      </c>
    </row>
    <row r="3134" spans="1:6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  <c r="F3134" s="2">
        <v>3.6</v>
      </c>
    </row>
    <row r="3135" spans="1:6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  <c r="F3135" s="2">
        <v>17</v>
      </c>
    </row>
    <row r="3136" spans="1:6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  <c r="F3136" s="2">
        <v>0.5</v>
      </c>
    </row>
    <row r="3137" spans="1:6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  <c r="F3137" s="2">
        <v>0.13</v>
      </c>
    </row>
    <row r="3138" spans="1:6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  <c r="F3138" s="2">
        <v>5.0000000000000001E-4</v>
      </c>
    </row>
    <row r="3139" spans="1:6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  <c r="F3139" s="2">
        <v>4</v>
      </c>
    </row>
    <row r="3140" spans="1:6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  <c r="F3140" s="2">
        <v>0.10100000000000001</v>
      </c>
    </row>
    <row r="3141" spans="1:6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  <c r="F3141" s="2">
        <v>30</v>
      </c>
    </row>
    <row r="3142" spans="1:6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  <c r="F3142" s="2">
        <v>2.4000000000000001E-4</v>
      </c>
    </row>
    <row r="3143" spans="1:6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  <c r="F3143" s="2">
        <v>7.0000000000000007E-2</v>
      </c>
    </row>
    <row r="3144" spans="1:6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  <c r="F3144" s="2">
        <v>0.1</v>
      </c>
    </row>
    <row r="3145" spans="1:6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  <c r="F3145" s="2">
        <v>0.48</v>
      </c>
    </row>
    <row r="3146" spans="1:6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  <c r="F3146" s="2">
        <v>5.5</v>
      </c>
    </row>
    <row r="3147" spans="1:6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  <c r="F3147" s="2">
        <v>20</v>
      </c>
    </row>
    <row r="3148" spans="1:6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  <c r="F3148" s="2">
        <v>2.5000000000000001E-3</v>
      </c>
    </row>
    <row r="3149" spans="1:6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  <c r="F3149" s="2">
        <v>0.15</v>
      </c>
    </row>
    <row r="3150" spans="1:6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  <c r="F3150" s="2">
        <v>0.16</v>
      </c>
    </row>
    <row r="3151" spans="1:6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  <c r="F3151" s="2">
        <v>0.51</v>
      </c>
    </row>
    <row r="3152" spans="1:6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  <c r="F3152" s="2">
        <v>0.52</v>
      </c>
    </row>
    <row r="3153" spans="1:6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  <c r="F3153" s="2">
        <v>0.97</v>
      </c>
    </row>
    <row r="3154" spans="1:6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  <c r="F3154" s="2">
        <v>3.2000000000000001E-2</v>
      </c>
    </row>
    <row r="3155" spans="1:6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  <c r="F3155" s="2">
        <v>8.6999999999999994E-2</v>
      </c>
    </row>
    <row r="3156" spans="1:6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  <c r="F3156" s="2">
        <v>0.22</v>
      </c>
    </row>
    <row r="3157" spans="1:6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  <c r="F3157" s="2">
        <v>1.6E-2</v>
      </c>
    </row>
    <row r="3158" spans="1:6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  <c r="F3158" s="2">
        <v>1.4999999999999999E-2</v>
      </c>
    </row>
    <row r="3159" spans="1:6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  <c r="F3159" s="2">
        <v>6.3E-3</v>
      </c>
    </row>
    <row r="3160" spans="1:6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  <c r="F3160" s="2">
        <v>1.7999999999999999E-2</v>
      </c>
    </row>
    <row r="3161" spans="1:6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  <c r="F3161" s="2">
        <v>5.2999999999999999E-2</v>
      </c>
    </row>
    <row r="3162" spans="1:6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  <c r="F3162" s="2">
        <v>1.4E-2</v>
      </c>
    </row>
    <row r="3163" spans="1:6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  <c r="F3163" s="2">
        <v>0.08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2F77-8EA7-43FB-88FD-7EE34EAE8B58}">
  <sheetPr filterMode="1"/>
  <dimension ref="B4:N2209"/>
  <sheetViews>
    <sheetView workbookViewId="0">
      <selection activeCell="N306" sqref="N306:N339"/>
    </sheetView>
  </sheetViews>
  <sheetFormatPr defaultRowHeight="14.25" x14ac:dyDescent="0.2"/>
  <sheetData>
    <row r="4" spans="2:14" x14ac:dyDescent="0.2">
      <c r="C4">
        <v>1001</v>
      </c>
      <c r="D4">
        <v>1002</v>
      </c>
      <c r="E4">
        <v>1003</v>
      </c>
      <c r="F4">
        <v>1004</v>
      </c>
      <c r="G4">
        <v>1102</v>
      </c>
      <c r="H4">
        <v>1103</v>
      </c>
      <c r="I4">
        <v>1104</v>
      </c>
      <c r="J4">
        <v>1105</v>
      </c>
      <c r="K4">
        <v>1106</v>
      </c>
      <c r="L4">
        <v>1107</v>
      </c>
      <c r="M4">
        <v>1108</v>
      </c>
    </row>
    <row r="5" spans="2:14" hidden="1" x14ac:dyDescent="0.2">
      <c r="B5" s="3">
        <v>1001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f>SUM(C5:M5)</f>
        <v>0</v>
      </c>
    </row>
    <row r="6" spans="2:14" hidden="1" x14ac:dyDescent="0.2">
      <c r="B6" s="3">
        <v>1002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f t="shared" ref="N6:N69" si="0">SUM(C6:M6)</f>
        <v>0</v>
      </c>
    </row>
    <row r="7" spans="2:14" hidden="1" x14ac:dyDescent="0.2">
      <c r="B7" s="3">
        <v>1003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pans="2:14" hidden="1" x14ac:dyDescent="0.2">
      <c r="B8" s="3">
        <v>2003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f t="shared" si="0"/>
        <v>0</v>
      </c>
    </row>
    <row r="9" spans="2:14" hidden="1" x14ac:dyDescent="0.2">
      <c r="B9" s="3">
        <v>2004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f t="shared" si="0"/>
        <v>0</v>
      </c>
    </row>
    <row r="10" spans="2:14" hidden="1" x14ac:dyDescent="0.2">
      <c r="B10" s="3">
        <v>2005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 t="shared" si="0"/>
        <v>0</v>
      </c>
    </row>
    <row r="11" spans="2:14" hidden="1" x14ac:dyDescent="0.2">
      <c r="B11" s="3">
        <v>2006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f t="shared" si="0"/>
        <v>0</v>
      </c>
    </row>
    <row r="12" spans="2:14" hidden="1" x14ac:dyDescent="0.2">
      <c r="B12" s="3">
        <v>2007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f t="shared" si="0"/>
        <v>0</v>
      </c>
    </row>
    <row r="13" spans="2:14" hidden="1" x14ac:dyDescent="0.2">
      <c r="B13" s="3">
        <v>2008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f t="shared" si="0"/>
        <v>0</v>
      </c>
    </row>
    <row r="14" spans="2:14" hidden="1" x14ac:dyDescent="0.2">
      <c r="B14" s="3">
        <v>3005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f t="shared" si="0"/>
        <v>0</v>
      </c>
    </row>
    <row r="15" spans="2:14" hidden="1" x14ac:dyDescent="0.2">
      <c r="B15" s="3">
        <v>3006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f t="shared" si="0"/>
        <v>0</v>
      </c>
    </row>
    <row r="16" spans="2:14" hidden="1" x14ac:dyDescent="0.2">
      <c r="B16" s="3">
        <v>3007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f t="shared" si="0"/>
        <v>0</v>
      </c>
    </row>
    <row r="17" spans="2:14" hidden="1" x14ac:dyDescent="0.2">
      <c r="B17" s="3">
        <v>3008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f t="shared" si="0"/>
        <v>0</v>
      </c>
    </row>
    <row r="18" spans="2:14" hidden="1" x14ac:dyDescent="0.2">
      <c r="B18" s="3">
        <v>3009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f t="shared" si="0"/>
        <v>0</v>
      </c>
    </row>
    <row r="19" spans="2:14" hidden="1" x14ac:dyDescent="0.2">
      <c r="B19" s="3">
        <v>3010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f t="shared" si="0"/>
        <v>0</v>
      </c>
    </row>
    <row r="20" spans="2:14" hidden="1" x14ac:dyDescent="0.2">
      <c r="B20" s="3">
        <v>3011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f t="shared" si="0"/>
        <v>0</v>
      </c>
    </row>
    <row r="21" spans="2:14" hidden="1" x14ac:dyDescent="0.2">
      <c r="B21" s="3">
        <v>4006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f t="shared" si="0"/>
        <v>0</v>
      </c>
    </row>
    <row r="22" spans="2:14" hidden="1" x14ac:dyDescent="0.2">
      <c r="B22" s="3">
        <v>4007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f t="shared" si="0"/>
        <v>0</v>
      </c>
    </row>
    <row r="23" spans="2:14" hidden="1" x14ac:dyDescent="0.2">
      <c r="B23" s="3">
        <v>4008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f t="shared" si="0"/>
        <v>0</v>
      </c>
    </row>
    <row r="24" spans="2:14" hidden="1" x14ac:dyDescent="0.2">
      <c r="B24" s="3">
        <v>4009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f t="shared" si="0"/>
        <v>0</v>
      </c>
    </row>
    <row r="25" spans="2:14" hidden="1" x14ac:dyDescent="0.2">
      <c r="B25" s="3">
        <v>4010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f t="shared" si="0"/>
        <v>0</v>
      </c>
    </row>
    <row r="26" spans="2:14" hidden="1" x14ac:dyDescent="0.2">
      <c r="B26" s="3">
        <v>4011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f t="shared" si="0"/>
        <v>0</v>
      </c>
    </row>
    <row r="27" spans="2:14" hidden="1" x14ac:dyDescent="0.2">
      <c r="B27" s="3">
        <v>4012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f t="shared" si="0"/>
        <v>0</v>
      </c>
    </row>
    <row r="28" spans="2:14" hidden="1" x14ac:dyDescent="0.2">
      <c r="B28" s="3">
        <v>4013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f t="shared" si="0"/>
        <v>0</v>
      </c>
    </row>
    <row r="29" spans="2:14" hidden="1" x14ac:dyDescent="0.2">
      <c r="B29" s="3">
        <v>4014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f t="shared" si="0"/>
        <v>0</v>
      </c>
    </row>
    <row r="30" spans="2:14" hidden="1" x14ac:dyDescent="0.2">
      <c r="B30" s="3">
        <v>5008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f t="shared" si="0"/>
        <v>0</v>
      </c>
    </row>
    <row r="31" spans="2:14" hidden="1" x14ac:dyDescent="0.2">
      <c r="B31" s="3">
        <v>5009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f t="shared" si="0"/>
        <v>0</v>
      </c>
    </row>
    <row r="32" spans="2:14" hidden="1" x14ac:dyDescent="0.2">
      <c r="B32" s="3">
        <v>5010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f t="shared" si="0"/>
        <v>0</v>
      </c>
    </row>
    <row r="33" spans="2:14" hidden="1" x14ac:dyDescent="0.2">
      <c r="B33" s="3">
        <v>5011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f t="shared" si="0"/>
        <v>0</v>
      </c>
    </row>
    <row r="34" spans="2:14" hidden="1" x14ac:dyDescent="0.2">
      <c r="B34" s="3">
        <v>5012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f t="shared" si="0"/>
        <v>0</v>
      </c>
    </row>
    <row r="35" spans="2:14" hidden="1" x14ac:dyDescent="0.2">
      <c r="B35" s="3">
        <v>5013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f t="shared" si="0"/>
        <v>0</v>
      </c>
    </row>
    <row r="36" spans="2:14" hidden="1" x14ac:dyDescent="0.2">
      <c r="B36" s="3">
        <v>5014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f t="shared" si="0"/>
        <v>0</v>
      </c>
    </row>
    <row r="37" spans="2:14" hidden="1" x14ac:dyDescent="0.2">
      <c r="B37" s="3">
        <v>5015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f t="shared" si="0"/>
        <v>0</v>
      </c>
    </row>
    <row r="38" spans="2:14" hidden="1" x14ac:dyDescent="0.2">
      <c r="B38" s="3">
        <v>5016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f t="shared" si="0"/>
        <v>0</v>
      </c>
    </row>
    <row r="39" spans="2:14" hidden="1" x14ac:dyDescent="0.2">
      <c r="B39" s="3">
        <v>5017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f t="shared" si="0"/>
        <v>0</v>
      </c>
    </row>
    <row r="40" spans="2:14" hidden="1" x14ac:dyDescent="0.2">
      <c r="B40" s="3">
        <v>6008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f t="shared" si="0"/>
        <v>0</v>
      </c>
    </row>
    <row r="41" spans="2:14" hidden="1" x14ac:dyDescent="0.2">
      <c r="B41" s="3">
        <v>6009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f t="shared" si="0"/>
        <v>0</v>
      </c>
    </row>
    <row r="42" spans="2:14" hidden="1" x14ac:dyDescent="0.2">
      <c r="B42" s="3">
        <v>6010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f t="shared" si="0"/>
        <v>0</v>
      </c>
    </row>
    <row r="43" spans="2:14" hidden="1" x14ac:dyDescent="0.2">
      <c r="B43" s="3">
        <v>6011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f t="shared" si="0"/>
        <v>0</v>
      </c>
    </row>
    <row r="44" spans="2:14" hidden="1" x14ac:dyDescent="0.2">
      <c r="B44" s="3">
        <v>6012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f t="shared" si="0"/>
        <v>0</v>
      </c>
    </row>
    <row r="45" spans="2:14" hidden="1" x14ac:dyDescent="0.2">
      <c r="B45" s="3">
        <v>6013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f t="shared" si="0"/>
        <v>0</v>
      </c>
    </row>
    <row r="46" spans="2:14" hidden="1" x14ac:dyDescent="0.2">
      <c r="B46" s="3">
        <v>6014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f t="shared" si="0"/>
        <v>0</v>
      </c>
    </row>
    <row r="47" spans="2:14" hidden="1" x14ac:dyDescent="0.2">
      <c r="B47" s="3">
        <v>6015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f t="shared" si="0"/>
        <v>0</v>
      </c>
    </row>
    <row r="48" spans="2:14" hidden="1" x14ac:dyDescent="0.2">
      <c r="B48" s="3">
        <v>6016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f t="shared" si="0"/>
        <v>0</v>
      </c>
    </row>
    <row r="49" spans="2:14" hidden="1" x14ac:dyDescent="0.2">
      <c r="B49" s="3">
        <v>6017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f t="shared" si="0"/>
        <v>0</v>
      </c>
    </row>
    <row r="50" spans="2:14" hidden="1" x14ac:dyDescent="0.2">
      <c r="B50" s="3">
        <v>6018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f t="shared" si="0"/>
        <v>0</v>
      </c>
    </row>
    <row r="51" spans="2:14" hidden="1" x14ac:dyDescent="0.2">
      <c r="B51" s="3">
        <v>6019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f t="shared" si="0"/>
        <v>0</v>
      </c>
    </row>
    <row r="52" spans="2:14" hidden="1" x14ac:dyDescent="0.2">
      <c r="B52" s="3">
        <v>6020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f t="shared" si="0"/>
        <v>0</v>
      </c>
    </row>
    <row r="53" spans="2:14" hidden="1" x14ac:dyDescent="0.2">
      <c r="B53" s="3">
        <v>7011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f t="shared" si="0"/>
        <v>0</v>
      </c>
    </row>
    <row r="54" spans="2:14" hidden="1" x14ac:dyDescent="0.2">
      <c r="B54" s="3">
        <v>7012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f t="shared" si="0"/>
        <v>0</v>
      </c>
    </row>
    <row r="55" spans="2:14" hidden="1" x14ac:dyDescent="0.2">
      <c r="B55" s="3">
        <v>7013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f t="shared" si="0"/>
        <v>0</v>
      </c>
    </row>
    <row r="56" spans="2:14" hidden="1" x14ac:dyDescent="0.2">
      <c r="B56" s="3">
        <v>7014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f t="shared" si="0"/>
        <v>0</v>
      </c>
    </row>
    <row r="57" spans="2:14" hidden="1" x14ac:dyDescent="0.2">
      <c r="B57" s="3">
        <v>7015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f t="shared" si="0"/>
        <v>0</v>
      </c>
    </row>
    <row r="58" spans="2:14" hidden="1" x14ac:dyDescent="0.2">
      <c r="B58" s="3">
        <v>7016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f t="shared" si="0"/>
        <v>0</v>
      </c>
    </row>
    <row r="59" spans="2:14" hidden="1" x14ac:dyDescent="0.2">
      <c r="B59" s="3">
        <v>7017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f t="shared" si="0"/>
        <v>0</v>
      </c>
    </row>
    <row r="60" spans="2:14" hidden="1" x14ac:dyDescent="0.2">
      <c r="B60" s="3">
        <v>7018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f t="shared" si="0"/>
        <v>0</v>
      </c>
    </row>
    <row r="61" spans="2:14" hidden="1" x14ac:dyDescent="0.2">
      <c r="B61" s="3">
        <v>7019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f t="shared" si="0"/>
        <v>0</v>
      </c>
    </row>
    <row r="62" spans="2:14" hidden="1" x14ac:dyDescent="0.2">
      <c r="B62" s="3">
        <v>7020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f t="shared" si="0"/>
        <v>0</v>
      </c>
    </row>
    <row r="63" spans="2:14" hidden="1" x14ac:dyDescent="0.2">
      <c r="B63" s="3">
        <v>7021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f t="shared" si="0"/>
        <v>0</v>
      </c>
    </row>
    <row r="64" spans="2:14" hidden="1" x14ac:dyDescent="0.2">
      <c r="B64" s="3">
        <v>7022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f t="shared" si="0"/>
        <v>0</v>
      </c>
    </row>
    <row r="65" spans="2:14" hidden="1" x14ac:dyDescent="0.2">
      <c r="B65" s="3">
        <v>7023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f t="shared" si="0"/>
        <v>0</v>
      </c>
    </row>
    <row r="66" spans="2:14" hidden="1" x14ac:dyDescent="0.2">
      <c r="B66" s="3">
        <v>8013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f t="shared" si="0"/>
        <v>0</v>
      </c>
    </row>
    <row r="67" spans="2:14" hidden="1" x14ac:dyDescent="0.2">
      <c r="B67" s="3">
        <v>8014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f t="shared" si="0"/>
        <v>0</v>
      </c>
    </row>
    <row r="68" spans="2:14" hidden="1" x14ac:dyDescent="0.2">
      <c r="B68" s="3">
        <v>8015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f t="shared" si="0"/>
        <v>0</v>
      </c>
    </row>
    <row r="69" spans="2:14" hidden="1" x14ac:dyDescent="0.2">
      <c r="B69" s="3">
        <v>8016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f t="shared" si="0"/>
        <v>0</v>
      </c>
    </row>
    <row r="70" spans="2:14" hidden="1" x14ac:dyDescent="0.2">
      <c r="B70" s="3">
        <v>8017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f t="shared" ref="N70:N133" si="1">SUM(C70:M70)</f>
        <v>0</v>
      </c>
    </row>
    <row r="71" spans="2:14" hidden="1" x14ac:dyDescent="0.2">
      <c r="B71" s="3">
        <v>8018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f t="shared" si="1"/>
        <v>0</v>
      </c>
    </row>
    <row r="72" spans="2:14" hidden="1" x14ac:dyDescent="0.2">
      <c r="B72" s="3">
        <v>8019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f t="shared" si="1"/>
        <v>0</v>
      </c>
    </row>
    <row r="73" spans="2:14" hidden="1" x14ac:dyDescent="0.2">
      <c r="B73" s="3">
        <v>8020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f t="shared" si="1"/>
        <v>0</v>
      </c>
    </row>
    <row r="74" spans="2:14" hidden="1" x14ac:dyDescent="0.2">
      <c r="B74" s="3">
        <v>8021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f t="shared" si="1"/>
        <v>0</v>
      </c>
    </row>
    <row r="75" spans="2:14" hidden="1" x14ac:dyDescent="0.2">
      <c r="B75" s="3">
        <v>8022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f t="shared" si="1"/>
        <v>0</v>
      </c>
    </row>
    <row r="76" spans="2:14" hidden="1" x14ac:dyDescent="0.2">
      <c r="B76" s="3">
        <v>8023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f t="shared" si="1"/>
        <v>0</v>
      </c>
    </row>
    <row r="77" spans="2:14" hidden="1" x14ac:dyDescent="0.2">
      <c r="B77" s="3">
        <v>8024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f t="shared" si="1"/>
        <v>0</v>
      </c>
    </row>
    <row r="78" spans="2:14" hidden="1" x14ac:dyDescent="0.2">
      <c r="B78" s="3">
        <v>9015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f t="shared" si="1"/>
        <v>0</v>
      </c>
    </row>
    <row r="79" spans="2:14" hidden="1" x14ac:dyDescent="0.2">
      <c r="B79" s="3">
        <v>9016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f t="shared" si="1"/>
        <v>0</v>
      </c>
    </row>
    <row r="80" spans="2:14" hidden="1" x14ac:dyDescent="0.2">
      <c r="B80" s="3">
        <v>9017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f t="shared" si="1"/>
        <v>0</v>
      </c>
    </row>
    <row r="81" spans="2:14" hidden="1" x14ac:dyDescent="0.2">
      <c r="B81" s="3">
        <v>9018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f t="shared" si="1"/>
        <v>0</v>
      </c>
    </row>
    <row r="82" spans="2:14" hidden="1" x14ac:dyDescent="0.2">
      <c r="B82" s="3">
        <v>9019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f t="shared" si="1"/>
        <v>0</v>
      </c>
    </row>
    <row r="83" spans="2:14" hidden="1" x14ac:dyDescent="0.2">
      <c r="B83" s="3">
        <v>9020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f t="shared" si="1"/>
        <v>0</v>
      </c>
    </row>
    <row r="84" spans="2:14" hidden="1" x14ac:dyDescent="0.2">
      <c r="B84" s="3">
        <v>9021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f t="shared" si="1"/>
        <v>0</v>
      </c>
    </row>
    <row r="85" spans="2:14" hidden="1" x14ac:dyDescent="0.2">
      <c r="B85" s="3">
        <v>9022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f t="shared" si="1"/>
        <v>0</v>
      </c>
    </row>
    <row r="86" spans="2:14" hidden="1" x14ac:dyDescent="0.2">
      <c r="B86" s="3">
        <v>9023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f t="shared" si="1"/>
        <v>0</v>
      </c>
    </row>
    <row r="87" spans="2:14" hidden="1" x14ac:dyDescent="0.2">
      <c r="B87" s="3">
        <v>9024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f t="shared" si="1"/>
        <v>0</v>
      </c>
    </row>
    <row r="88" spans="2:14" hidden="1" x14ac:dyDescent="0.2">
      <c r="B88" s="3">
        <v>9025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f t="shared" si="1"/>
        <v>0</v>
      </c>
    </row>
    <row r="89" spans="2:14" hidden="1" x14ac:dyDescent="0.2">
      <c r="B89" s="3">
        <v>9026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f t="shared" si="1"/>
        <v>0</v>
      </c>
    </row>
    <row r="90" spans="2:14" hidden="1" x14ac:dyDescent="0.2">
      <c r="B90" s="3">
        <v>9027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f t="shared" si="1"/>
        <v>0</v>
      </c>
    </row>
    <row r="91" spans="2:14" hidden="1" x14ac:dyDescent="0.2">
      <c r="B91" s="3">
        <v>10017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f t="shared" si="1"/>
        <v>0</v>
      </c>
    </row>
    <row r="92" spans="2:14" hidden="1" x14ac:dyDescent="0.2">
      <c r="B92" s="3">
        <v>10018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f t="shared" si="1"/>
        <v>0</v>
      </c>
    </row>
    <row r="93" spans="2:14" hidden="1" x14ac:dyDescent="0.2">
      <c r="B93" s="3">
        <v>10019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f t="shared" si="1"/>
        <v>0</v>
      </c>
    </row>
    <row r="94" spans="2:14" hidden="1" x14ac:dyDescent="0.2">
      <c r="B94" s="3">
        <v>10020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f t="shared" si="1"/>
        <v>0</v>
      </c>
    </row>
    <row r="95" spans="2:14" hidden="1" x14ac:dyDescent="0.2">
      <c r="B95" s="3">
        <v>10021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f t="shared" si="1"/>
        <v>0</v>
      </c>
    </row>
    <row r="96" spans="2:14" hidden="1" x14ac:dyDescent="0.2">
      <c r="B96" s="3">
        <v>10022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f t="shared" si="1"/>
        <v>0</v>
      </c>
    </row>
    <row r="97" spans="2:14" hidden="1" x14ac:dyDescent="0.2">
      <c r="B97" s="3">
        <v>10023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f t="shared" si="1"/>
        <v>0</v>
      </c>
    </row>
    <row r="98" spans="2:14" hidden="1" x14ac:dyDescent="0.2">
      <c r="B98" s="3">
        <v>10024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f t="shared" si="1"/>
        <v>0</v>
      </c>
    </row>
    <row r="99" spans="2:14" hidden="1" x14ac:dyDescent="0.2">
      <c r="B99" s="3">
        <v>10025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f t="shared" si="1"/>
        <v>0</v>
      </c>
    </row>
    <row r="100" spans="2:14" hidden="1" x14ac:dyDescent="0.2">
      <c r="B100" s="3">
        <v>10026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f t="shared" si="1"/>
        <v>0</v>
      </c>
    </row>
    <row r="101" spans="2:14" hidden="1" x14ac:dyDescent="0.2">
      <c r="B101" s="3">
        <v>10027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f t="shared" si="1"/>
        <v>0</v>
      </c>
    </row>
    <row r="102" spans="2:14" hidden="1" x14ac:dyDescent="0.2">
      <c r="B102" s="3">
        <v>10028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f t="shared" si="1"/>
        <v>0</v>
      </c>
    </row>
    <row r="103" spans="2:14" hidden="1" x14ac:dyDescent="0.2">
      <c r="B103" s="3">
        <v>11019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f t="shared" si="1"/>
        <v>0</v>
      </c>
    </row>
    <row r="104" spans="2:14" hidden="1" x14ac:dyDescent="0.2">
      <c r="B104" s="3">
        <v>11020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f t="shared" si="1"/>
        <v>0</v>
      </c>
    </row>
    <row r="105" spans="2:14" hidden="1" x14ac:dyDescent="0.2">
      <c r="B105" s="3">
        <v>11021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f t="shared" si="1"/>
        <v>0</v>
      </c>
    </row>
    <row r="106" spans="2:14" hidden="1" x14ac:dyDescent="0.2">
      <c r="B106" s="3">
        <v>11022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f t="shared" si="1"/>
        <v>0</v>
      </c>
    </row>
    <row r="107" spans="2:14" hidden="1" x14ac:dyDescent="0.2">
      <c r="B107" s="3">
        <v>11023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f t="shared" si="1"/>
        <v>0</v>
      </c>
    </row>
    <row r="108" spans="2:14" hidden="1" x14ac:dyDescent="0.2">
      <c r="B108" s="3">
        <v>11024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f t="shared" si="1"/>
        <v>0</v>
      </c>
    </row>
    <row r="109" spans="2:14" hidden="1" x14ac:dyDescent="0.2">
      <c r="B109" s="3">
        <v>11025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f t="shared" si="1"/>
        <v>0</v>
      </c>
    </row>
    <row r="110" spans="2:14" hidden="1" x14ac:dyDescent="0.2">
      <c r="B110" s="3">
        <v>11026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f t="shared" si="1"/>
        <v>0</v>
      </c>
    </row>
    <row r="111" spans="2:14" hidden="1" x14ac:dyDescent="0.2">
      <c r="B111" s="3">
        <v>11027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f t="shared" si="1"/>
        <v>0</v>
      </c>
    </row>
    <row r="112" spans="2:14" hidden="1" x14ac:dyDescent="0.2">
      <c r="B112" s="3">
        <v>11028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f t="shared" si="1"/>
        <v>0</v>
      </c>
    </row>
    <row r="113" spans="2:14" hidden="1" x14ac:dyDescent="0.2">
      <c r="B113" s="3">
        <v>11029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f t="shared" si="1"/>
        <v>0</v>
      </c>
    </row>
    <row r="114" spans="2:14" hidden="1" x14ac:dyDescent="0.2">
      <c r="B114" s="3">
        <v>11030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f t="shared" si="1"/>
        <v>0</v>
      </c>
    </row>
    <row r="115" spans="2:14" hidden="1" x14ac:dyDescent="0.2">
      <c r="B115" s="3">
        <v>11031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f t="shared" si="1"/>
        <v>0</v>
      </c>
    </row>
    <row r="116" spans="2:14" hidden="1" x14ac:dyDescent="0.2">
      <c r="B116" s="3">
        <v>11032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f t="shared" si="1"/>
        <v>0</v>
      </c>
    </row>
    <row r="117" spans="2:14" hidden="1" x14ac:dyDescent="0.2">
      <c r="B117" s="3">
        <v>11033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f t="shared" si="1"/>
        <v>0</v>
      </c>
    </row>
    <row r="118" spans="2:14" hidden="1" x14ac:dyDescent="0.2">
      <c r="B118" s="3">
        <v>11034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f t="shared" si="1"/>
        <v>0</v>
      </c>
    </row>
    <row r="119" spans="2:14" hidden="1" x14ac:dyDescent="0.2">
      <c r="B119" s="3">
        <v>11035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f t="shared" si="1"/>
        <v>0</v>
      </c>
    </row>
    <row r="120" spans="2:14" hidden="1" x14ac:dyDescent="0.2">
      <c r="B120" s="3">
        <v>12020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f t="shared" si="1"/>
        <v>0</v>
      </c>
    </row>
    <row r="121" spans="2:14" hidden="1" x14ac:dyDescent="0.2">
      <c r="B121" s="3">
        <v>12021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f t="shared" si="1"/>
        <v>0</v>
      </c>
    </row>
    <row r="122" spans="2:14" hidden="1" x14ac:dyDescent="0.2">
      <c r="B122" s="3">
        <v>12022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f t="shared" si="1"/>
        <v>0</v>
      </c>
    </row>
    <row r="123" spans="2:14" hidden="1" x14ac:dyDescent="0.2">
      <c r="B123" s="3">
        <v>12023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f t="shared" si="1"/>
        <v>0</v>
      </c>
    </row>
    <row r="124" spans="2:14" hidden="1" x14ac:dyDescent="0.2">
      <c r="B124" s="3">
        <v>12024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f t="shared" si="1"/>
        <v>0</v>
      </c>
    </row>
    <row r="125" spans="2:14" hidden="1" x14ac:dyDescent="0.2">
      <c r="B125" s="3">
        <v>12025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f t="shared" si="1"/>
        <v>0</v>
      </c>
    </row>
    <row r="126" spans="2:14" hidden="1" x14ac:dyDescent="0.2">
      <c r="B126" s="3">
        <v>12026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f t="shared" si="1"/>
        <v>0</v>
      </c>
    </row>
    <row r="127" spans="2:14" hidden="1" x14ac:dyDescent="0.2">
      <c r="B127" s="3">
        <v>12027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f t="shared" si="1"/>
        <v>0</v>
      </c>
    </row>
    <row r="128" spans="2:14" hidden="1" x14ac:dyDescent="0.2">
      <c r="B128" s="3">
        <v>12028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f t="shared" si="1"/>
        <v>0</v>
      </c>
    </row>
    <row r="129" spans="2:14" hidden="1" x14ac:dyDescent="0.2">
      <c r="B129" s="3">
        <v>12029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f t="shared" si="1"/>
        <v>0</v>
      </c>
    </row>
    <row r="130" spans="2:14" hidden="1" x14ac:dyDescent="0.2">
      <c r="B130" s="3">
        <v>12030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f t="shared" si="1"/>
        <v>0</v>
      </c>
    </row>
    <row r="131" spans="2:14" hidden="1" x14ac:dyDescent="0.2">
      <c r="B131" s="3">
        <v>12031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f t="shared" si="1"/>
        <v>0</v>
      </c>
    </row>
    <row r="132" spans="2:14" hidden="1" x14ac:dyDescent="0.2">
      <c r="B132" s="3">
        <v>12032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f t="shared" si="1"/>
        <v>0</v>
      </c>
    </row>
    <row r="133" spans="2:14" hidden="1" x14ac:dyDescent="0.2">
      <c r="B133" s="3">
        <v>12033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f t="shared" si="1"/>
        <v>0</v>
      </c>
    </row>
    <row r="134" spans="2:14" hidden="1" x14ac:dyDescent="0.2">
      <c r="B134" s="3">
        <v>12034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f t="shared" ref="N134:N197" si="2">SUM(C134:M134)</f>
        <v>0</v>
      </c>
    </row>
    <row r="135" spans="2:14" hidden="1" x14ac:dyDescent="0.2">
      <c r="B135" s="3">
        <v>13022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f t="shared" si="2"/>
        <v>0</v>
      </c>
    </row>
    <row r="136" spans="2:14" hidden="1" x14ac:dyDescent="0.2">
      <c r="B136" s="3">
        <v>13023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f t="shared" si="2"/>
        <v>0</v>
      </c>
    </row>
    <row r="137" spans="2:14" hidden="1" x14ac:dyDescent="0.2">
      <c r="B137" s="3">
        <v>13024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f t="shared" si="2"/>
        <v>0</v>
      </c>
    </row>
    <row r="138" spans="2:14" hidden="1" x14ac:dyDescent="0.2">
      <c r="B138" s="3">
        <v>13025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f t="shared" si="2"/>
        <v>0</v>
      </c>
    </row>
    <row r="139" spans="2:14" hidden="1" x14ac:dyDescent="0.2">
      <c r="B139" s="3">
        <v>13026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f t="shared" si="2"/>
        <v>0</v>
      </c>
    </row>
    <row r="140" spans="2:14" hidden="1" x14ac:dyDescent="0.2">
      <c r="B140" s="3">
        <v>13027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f t="shared" si="2"/>
        <v>0</v>
      </c>
    </row>
    <row r="141" spans="2:14" hidden="1" x14ac:dyDescent="0.2">
      <c r="B141" s="3">
        <v>13028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f t="shared" si="2"/>
        <v>0</v>
      </c>
    </row>
    <row r="142" spans="2:14" hidden="1" x14ac:dyDescent="0.2">
      <c r="B142" s="3">
        <v>13029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f t="shared" si="2"/>
        <v>0</v>
      </c>
    </row>
    <row r="143" spans="2:14" hidden="1" x14ac:dyDescent="0.2">
      <c r="B143" s="3">
        <v>13030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f t="shared" si="2"/>
        <v>0</v>
      </c>
    </row>
    <row r="144" spans="2:14" hidden="1" x14ac:dyDescent="0.2">
      <c r="B144" s="3">
        <v>13031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f t="shared" si="2"/>
        <v>0</v>
      </c>
    </row>
    <row r="145" spans="2:14" hidden="1" x14ac:dyDescent="0.2">
      <c r="B145" s="3">
        <v>13032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f t="shared" si="2"/>
        <v>0</v>
      </c>
    </row>
    <row r="146" spans="2:14" hidden="1" x14ac:dyDescent="0.2">
      <c r="B146" s="3">
        <v>13033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f t="shared" si="2"/>
        <v>0</v>
      </c>
    </row>
    <row r="147" spans="2:14" hidden="1" x14ac:dyDescent="0.2">
      <c r="B147" s="3">
        <v>13034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f t="shared" si="2"/>
        <v>0</v>
      </c>
    </row>
    <row r="148" spans="2:14" hidden="1" x14ac:dyDescent="0.2">
      <c r="B148" s="3">
        <v>13035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f t="shared" si="2"/>
        <v>0</v>
      </c>
    </row>
    <row r="149" spans="2:14" hidden="1" x14ac:dyDescent="0.2">
      <c r="B149" s="3">
        <v>14024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f t="shared" si="2"/>
        <v>0</v>
      </c>
    </row>
    <row r="150" spans="2:14" hidden="1" x14ac:dyDescent="0.2">
      <c r="B150" s="3">
        <v>14025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f t="shared" si="2"/>
        <v>0</v>
      </c>
    </row>
    <row r="151" spans="2:14" hidden="1" x14ac:dyDescent="0.2">
      <c r="B151" s="3">
        <v>14026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f t="shared" si="2"/>
        <v>0</v>
      </c>
    </row>
    <row r="152" spans="2:14" hidden="1" x14ac:dyDescent="0.2">
      <c r="B152" s="3">
        <v>14027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f t="shared" si="2"/>
        <v>0</v>
      </c>
    </row>
    <row r="153" spans="2:14" hidden="1" x14ac:dyDescent="0.2">
      <c r="B153" s="3">
        <v>14028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f t="shared" si="2"/>
        <v>0</v>
      </c>
    </row>
    <row r="154" spans="2:14" hidden="1" x14ac:dyDescent="0.2">
      <c r="B154" s="3">
        <v>14029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f t="shared" si="2"/>
        <v>0</v>
      </c>
    </row>
    <row r="155" spans="2:14" hidden="1" x14ac:dyDescent="0.2">
      <c r="B155" s="3">
        <v>14030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f t="shared" si="2"/>
        <v>0</v>
      </c>
    </row>
    <row r="156" spans="2:14" hidden="1" x14ac:dyDescent="0.2">
      <c r="B156" s="3">
        <v>14031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f t="shared" si="2"/>
        <v>0</v>
      </c>
    </row>
    <row r="157" spans="2:14" hidden="1" x14ac:dyDescent="0.2">
      <c r="B157" s="3">
        <v>14032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f t="shared" si="2"/>
        <v>0</v>
      </c>
    </row>
    <row r="158" spans="2:14" hidden="1" x14ac:dyDescent="0.2">
      <c r="B158" s="3">
        <v>14033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f t="shared" si="2"/>
        <v>0</v>
      </c>
    </row>
    <row r="159" spans="2:14" hidden="1" x14ac:dyDescent="0.2">
      <c r="B159" s="3">
        <v>14034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f t="shared" si="2"/>
        <v>0</v>
      </c>
    </row>
    <row r="160" spans="2:14" hidden="1" x14ac:dyDescent="0.2">
      <c r="B160" s="3">
        <v>14035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f t="shared" si="2"/>
        <v>0</v>
      </c>
    </row>
    <row r="161" spans="2:14" hidden="1" x14ac:dyDescent="0.2">
      <c r="B161" s="3">
        <v>14036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f t="shared" si="2"/>
        <v>0</v>
      </c>
    </row>
    <row r="162" spans="2:14" hidden="1" x14ac:dyDescent="0.2">
      <c r="B162" s="3">
        <v>14037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f t="shared" si="2"/>
        <v>0</v>
      </c>
    </row>
    <row r="163" spans="2:14" hidden="1" x14ac:dyDescent="0.2">
      <c r="B163" s="3">
        <v>14038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f t="shared" si="2"/>
        <v>0</v>
      </c>
    </row>
    <row r="164" spans="2:14" hidden="1" x14ac:dyDescent="0.2">
      <c r="B164" s="3">
        <v>14039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f t="shared" si="2"/>
        <v>0</v>
      </c>
    </row>
    <row r="165" spans="2:14" hidden="1" x14ac:dyDescent="0.2">
      <c r="B165" s="3">
        <v>15026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f t="shared" si="2"/>
        <v>0</v>
      </c>
    </row>
    <row r="166" spans="2:14" hidden="1" x14ac:dyDescent="0.2">
      <c r="B166" s="3">
        <v>15027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f t="shared" si="2"/>
        <v>0</v>
      </c>
    </row>
    <row r="167" spans="2:14" hidden="1" x14ac:dyDescent="0.2">
      <c r="B167" s="3">
        <v>15028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f t="shared" si="2"/>
        <v>0</v>
      </c>
    </row>
    <row r="168" spans="2:14" hidden="1" x14ac:dyDescent="0.2">
      <c r="B168" s="3">
        <v>15029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f t="shared" si="2"/>
        <v>0</v>
      </c>
    </row>
    <row r="169" spans="2:14" hidden="1" x14ac:dyDescent="0.2">
      <c r="B169" s="3">
        <v>15030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f t="shared" si="2"/>
        <v>0</v>
      </c>
    </row>
    <row r="170" spans="2:14" hidden="1" x14ac:dyDescent="0.2">
      <c r="B170" s="3">
        <v>15031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f t="shared" si="2"/>
        <v>0</v>
      </c>
    </row>
    <row r="171" spans="2:14" hidden="1" x14ac:dyDescent="0.2">
      <c r="B171" s="3">
        <v>15032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f t="shared" si="2"/>
        <v>0</v>
      </c>
    </row>
    <row r="172" spans="2:14" hidden="1" x14ac:dyDescent="0.2">
      <c r="B172" s="3">
        <v>15033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f t="shared" si="2"/>
        <v>0</v>
      </c>
    </row>
    <row r="173" spans="2:14" hidden="1" x14ac:dyDescent="0.2">
      <c r="B173" s="3">
        <v>15034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f t="shared" si="2"/>
        <v>0</v>
      </c>
    </row>
    <row r="174" spans="2:14" hidden="1" x14ac:dyDescent="0.2">
      <c r="B174" s="3">
        <v>15035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f t="shared" si="2"/>
        <v>0</v>
      </c>
    </row>
    <row r="175" spans="2:14" hidden="1" x14ac:dyDescent="0.2">
      <c r="B175" s="3">
        <v>15036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f t="shared" si="2"/>
        <v>0</v>
      </c>
    </row>
    <row r="176" spans="2:14" hidden="1" x14ac:dyDescent="0.2">
      <c r="B176" s="3">
        <v>15037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f t="shared" si="2"/>
        <v>0</v>
      </c>
    </row>
    <row r="177" spans="2:14" hidden="1" x14ac:dyDescent="0.2">
      <c r="B177" s="3">
        <v>15038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f t="shared" si="2"/>
        <v>0</v>
      </c>
    </row>
    <row r="178" spans="2:14" hidden="1" x14ac:dyDescent="0.2">
      <c r="B178" s="3">
        <v>15039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f t="shared" si="2"/>
        <v>0</v>
      </c>
    </row>
    <row r="179" spans="2:14" hidden="1" x14ac:dyDescent="0.2">
      <c r="B179" s="3">
        <v>15040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f t="shared" si="2"/>
        <v>0</v>
      </c>
    </row>
    <row r="180" spans="2:14" hidden="1" x14ac:dyDescent="0.2">
      <c r="B180" s="3">
        <v>15041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f t="shared" si="2"/>
        <v>0</v>
      </c>
    </row>
    <row r="181" spans="2:14" hidden="1" x14ac:dyDescent="0.2">
      <c r="B181" s="3">
        <v>15042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f t="shared" si="2"/>
        <v>0</v>
      </c>
    </row>
    <row r="182" spans="2:14" hidden="1" x14ac:dyDescent="0.2">
      <c r="B182" s="3">
        <v>16029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f t="shared" si="2"/>
        <v>0</v>
      </c>
    </row>
    <row r="183" spans="2:14" hidden="1" x14ac:dyDescent="0.2">
      <c r="B183" s="3">
        <v>16030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f t="shared" si="2"/>
        <v>0</v>
      </c>
    </row>
    <row r="184" spans="2:14" hidden="1" x14ac:dyDescent="0.2">
      <c r="B184" s="3">
        <v>16031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f t="shared" si="2"/>
        <v>0</v>
      </c>
    </row>
    <row r="185" spans="2:14" hidden="1" x14ac:dyDescent="0.2">
      <c r="B185" s="3">
        <v>16032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f t="shared" si="2"/>
        <v>0</v>
      </c>
    </row>
    <row r="186" spans="2:14" hidden="1" x14ac:dyDescent="0.2">
      <c r="B186" s="3">
        <v>16033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f t="shared" si="2"/>
        <v>0</v>
      </c>
    </row>
    <row r="187" spans="2:14" hidden="1" x14ac:dyDescent="0.2">
      <c r="B187" s="3">
        <v>16034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f t="shared" si="2"/>
        <v>0</v>
      </c>
    </row>
    <row r="188" spans="2:14" hidden="1" x14ac:dyDescent="0.2">
      <c r="B188" s="3">
        <v>16035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f t="shared" si="2"/>
        <v>0</v>
      </c>
    </row>
    <row r="189" spans="2:14" hidden="1" x14ac:dyDescent="0.2">
      <c r="B189" s="3">
        <v>16036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f t="shared" si="2"/>
        <v>0</v>
      </c>
    </row>
    <row r="190" spans="2:14" hidden="1" x14ac:dyDescent="0.2">
      <c r="B190" s="3">
        <v>16037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f t="shared" si="2"/>
        <v>0</v>
      </c>
    </row>
    <row r="191" spans="2:14" hidden="1" x14ac:dyDescent="0.2">
      <c r="B191" s="3">
        <v>16038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f t="shared" si="2"/>
        <v>0</v>
      </c>
    </row>
    <row r="192" spans="2:14" hidden="1" x14ac:dyDescent="0.2">
      <c r="B192" s="3">
        <v>16039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f t="shared" si="2"/>
        <v>0</v>
      </c>
    </row>
    <row r="193" spans="2:14" hidden="1" x14ac:dyDescent="0.2">
      <c r="B193" s="3">
        <v>16040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f t="shared" si="2"/>
        <v>0</v>
      </c>
    </row>
    <row r="194" spans="2:14" hidden="1" x14ac:dyDescent="0.2">
      <c r="B194" s="3">
        <v>16041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f t="shared" si="2"/>
        <v>0</v>
      </c>
    </row>
    <row r="195" spans="2:14" hidden="1" x14ac:dyDescent="0.2">
      <c r="B195" s="3">
        <v>16042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f t="shared" si="2"/>
        <v>0</v>
      </c>
    </row>
    <row r="196" spans="2:14" hidden="1" x14ac:dyDescent="0.2">
      <c r="B196" s="3">
        <v>16043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f t="shared" si="2"/>
        <v>0</v>
      </c>
    </row>
    <row r="197" spans="2:14" hidden="1" x14ac:dyDescent="0.2">
      <c r="B197" s="3">
        <v>16044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f t="shared" si="2"/>
        <v>0</v>
      </c>
    </row>
    <row r="198" spans="2:14" hidden="1" x14ac:dyDescent="0.2">
      <c r="B198" s="3">
        <v>17031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f t="shared" ref="N198:N261" si="3">SUM(C198:M198)</f>
        <v>0</v>
      </c>
    </row>
    <row r="199" spans="2:14" hidden="1" x14ac:dyDescent="0.2">
      <c r="B199" s="3">
        <v>17032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f t="shared" si="3"/>
        <v>0</v>
      </c>
    </row>
    <row r="200" spans="2:14" hidden="1" x14ac:dyDescent="0.2">
      <c r="B200" s="3">
        <v>17033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f t="shared" si="3"/>
        <v>0</v>
      </c>
    </row>
    <row r="201" spans="2:14" hidden="1" x14ac:dyDescent="0.2">
      <c r="B201" s="3">
        <v>17034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f t="shared" si="3"/>
        <v>0</v>
      </c>
    </row>
    <row r="202" spans="2:14" hidden="1" x14ac:dyDescent="0.2">
      <c r="B202" s="3">
        <v>17035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f t="shared" si="3"/>
        <v>0</v>
      </c>
    </row>
    <row r="203" spans="2:14" hidden="1" x14ac:dyDescent="0.2">
      <c r="B203" s="3">
        <v>17036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f t="shared" si="3"/>
        <v>0</v>
      </c>
    </row>
    <row r="204" spans="2:14" hidden="1" x14ac:dyDescent="0.2">
      <c r="B204" s="3">
        <v>17037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f t="shared" si="3"/>
        <v>0</v>
      </c>
    </row>
    <row r="205" spans="2:14" hidden="1" x14ac:dyDescent="0.2">
      <c r="B205" s="3">
        <v>17038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f t="shared" si="3"/>
        <v>0</v>
      </c>
    </row>
    <row r="206" spans="2:14" hidden="1" x14ac:dyDescent="0.2">
      <c r="B206" s="3">
        <v>17039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f t="shared" si="3"/>
        <v>0</v>
      </c>
    </row>
    <row r="207" spans="2:14" hidden="1" x14ac:dyDescent="0.2">
      <c r="B207" s="3">
        <v>17040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f t="shared" si="3"/>
        <v>0</v>
      </c>
    </row>
    <row r="208" spans="2:14" hidden="1" x14ac:dyDescent="0.2">
      <c r="B208" s="3">
        <v>17041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f t="shared" si="3"/>
        <v>0</v>
      </c>
    </row>
    <row r="209" spans="2:14" hidden="1" x14ac:dyDescent="0.2">
      <c r="B209" s="3">
        <v>17042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f t="shared" si="3"/>
        <v>0</v>
      </c>
    </row>
    <row r="210" spans="2:14" hidden="1" x14ac:dyDescent="0.2">
      <c r="B210" s="3">
        <v>17043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f t="shared" si="3"/>
        <v>0</v>
      </c>
    </row>
    <row r="211" spans="2:14" hidden="1" x14ac:dyDescent="0.2">
      <c r="B211" s="3">
        <v>17044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f t="shared" si="3"/>
        <v>0</v>
      </c>
    </row>
    <row r="212" spans="2:14" hidden="1" x14ac:dyDescent="0.2">
      <c r="B212" s="3">
        <v>17045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f t="shared" si="3"/>
        <v>0</v>
      </c>
    </row>
    <row r="213" spans="2:14" hidden="1" x14ac:dyDescent="0.2">
      <c r="B213" s="3">
        <v>18032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f t="shared" si="3"/>
        <v>0</v>
      </c>
    </row>
    <row r="214" spans="2:14" hidden="1" x14ac:dyDescent="0.2">
      <c r="B214" s="3">
        <v>18033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f t="shared" si="3"/>
        <v>0</v>
      </c>
    </row>
    <row r="215" spans="2:14" hidden="1" x14ac:dyDescent="0.2">
      <c r="B215" s="3">
        <v>18034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f t="shared" si="3"/>
        <v>0</v>
      </c>
    </row>
    <row r="216" spans="2:14" hidden="1" x14ac:dyDescent="0.2">
      <c r="B216" s="3">
        <v>18035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f t="shared" si="3"/>
        <v>0</v>
      </c>
    </row>
    <row r="217" spans="2:14" hidden="1" x14ac:dyDescent="0.2">
      <c r="B217" s="3">
        <v>18036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f t="shared" si="3"/>
        <v>0</v>
      </c>
    </row>
    <row r="218" spans="2:14" hidden="1" x14ac:dyDescent="0.2">
      <c r="B218" s="3">
        <v>18037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f t="shared" si="3"/>
        <v>0</v>
      </c>
    </row>
    <row r="219" spans="2:14" hidden="1" x14ac:dyDescent="0.2">
      <c r="B219" s="3">
        <v>18038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f t="shared" si="3"/>
        <v>0</v>
      </c>
    </row>
    <row r="220" spans="2:14" hidden="1" x14ac:dyDescent="0.2">
      <c r="B220" s="3">
        <v>18039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f t="shared" si="3"/>
        <v>0</v>
      </c>
    </row>
    <row r="221" spans="2:14" hidden="1" x14ac:dyDescent="0.2">
      <c r="B221" s="3">
        <v>18040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f t="shared" si="3"/>
        <v>0</v>
      </c>
    </row>
    <row r="222" spans="2:14" hidden="1" x14ac:dyDescent="0.2">
      <c r="B222" s="3">
        <v>18041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f t="shared" si="3"/>
        <v>0</v>
      </c>
    </row>
    <row r="223" spans="2:14" hidden="1" x14ac:dyDescent="0.2">
      <c r="B223" s="3">
        <v>18042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f t="shared" si="3"/>
        <v>0</v>
      </c>
    </row>
    <row r="224" spans="2:14" hidden="1" x14ac:dyDescent="0.2">
      <c r="B224" s="3">
        <v>18043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f t="shared" si="3"/>
        <v>0</v>
      </c>
    </row>
    <row r="225" spans="2:14" hidden="1" x14ac:dyDescent="0.2">
      <c r="B225" s="3">
        <v>18044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f t="shared" si="3"/>
        <v>0</v>
      </c>
    </row>
    <row r="226" spans="2:14" hidden="1" x14ac:dyDescent="0.2">
      <c r="B226" s="3">
        <v>18045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f t="shared" si="3"/>
        <v>0</v>
      </c>
    </row>
    <row r="227" spans="2:14" hidden="1" x14ac:dyDescent="0.2">
      <c r="B227" s="3">
        <v>18046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f t="shared" si="3"/>
        <v>0</v>
      </c>
    </row>
    <row r="228" spans="2:14" hidden="1" x14ac:dyDescent="0.2">
      <c r="B228" s="3">
        <v>19035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f t="shared" si="3"/>
        <v>0</v>
      </c>
    </row>
    <row r="229" spans="2:14" hidden="1" x14ac:dyDescent="0.2">
      <c r="B229" s="3">
        <v>19036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f t="shared" si="3"/>
        <v>0</v>
      </c>
    </row>
    <row r="230" spans="2:14" hidden="1" x14ac:dyDescent="0.2">
      <c r="B230" s="3">
        <v>19037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f t="shared" si="3"/>
        <v>0</v>
      </c>
    </row>
    <row r="231" spans="2:14" hidden="1" x14ac:dyDescent="0.2">
      <c r="B231" s="3">
        <v>19038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f t="shared" si="3"/>
        <v>0</v>
      </c>
    </row>
    <row r="232" spans="2:14" hidden="1" x14ac:dyDescent="0.2">
      <c r="B232" s="3">
        <v>19039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f t="shared" si="3"/>
        <v>0</v>
      </c>
    </row>
    <row r="233" spans="2:14" hidden="1" x14ac:dyDescent="0.2">
      <c r="B233" s="3">
        <v>19040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f t="shared" si="3"/>
        <v>0</v>
      </c>
    </row>
    <row r="234" spans="2:14" hidden="1" x14ac:dyDescent="0.2">
      <c r="B234" s="3">
        <v>19041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f t="shared" si="3"/>
        <v>0</v>
      </c>
    </row>
    <row r="235" spans="2:14" hidden="1" x14ac:dyDescent="0.2">
      <c r="B235" s="3">
        <v>19042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f t="shared" si="3"/>
        <v>0</v>
      </c>
    </row>
    <row r="236" spans="2:14" hidden="1" x14ac:dyDescent="0.2">
      <c r="B236" s="3">
        <v>19043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f t="shared" si="3"/>
        <v>0</v>
      </c>
    </row>
    <row r="237" spans="2:14" hidden="1" x14ac:dyDescent="0.2">
      <c r="B237" s="3">
        <v>19044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f t="shared" si="3"/>
        <v>0</v>
      </c>
    </row>
    <row r="238" spans="2:14" hidden="1" x14ac:dyDescent="0.2">
      <c r="B238" s="3">
        <v>19045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f t="shared" si="3"/>
        <v>0</v>
      </c>
    </row>
    <row r="239" spans="2:14" hidden="1" x14ac:dyDescent="0.2">
      <c r="B239" s="3">
        <v>19046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f t="shared" si="3"/>
        <v>0</v>
      </c>
    </row>
    <row r="240" spans="2:14" hidden="1" x14ac:dyDescent="0.2">
      <c r="B240" s="3">
        <v>19047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f t="shared" si="3"/>
        <v>0</v>
      </c>
    </row>
    <row r="241" spans="2:14" hidden="1" x14ac:dyDescent="0.2">
      <c r="B241" s="3">
        <v>19048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f t="shared" si="3"/>
        <v>0</v>
      </c>
    </row>
    <row r="242" spans="2:14" hidden="1" x14ac:dyDescent="0.2">
      <c r="B242" s="3">
        <v>19049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f t="shared" si="3"/>
        <v>0</v>
      </c>
    </row>
    <row r="243" spans="2:14" hidden="1" x14ac:dyDescent="0.2">
      <c r="B243" s="3">
        <v>19050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f t="shared" si="3"/>
        <v>0</v>
      </c>
    </row>
    <row r="244" spans="2:14" hidden="1" x14ac:dyDescent="0.2">
      <c r="B244" s="3">
        <v>19051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f t="shared" si="3"/>
        <v>0</v>
      </c>
    </row>
    <row r="245" spans="2:14" hidden="1" x14ac:dyDescent="0.2">
      <c r="B245" s="3">
        <v>20036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f t="shared" si="3"/>
        <v>0</v>
      </c>
    </row>
    <row r="246" spans="2:14" hidden="1" x14ac:dyDescent="0.2">
      <c r="B246" s="3">
        <v>20037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f t="shared" si="3"/>
        <v>0</v>
      </c>
    </row>
    <row r="247" spans="2:14" hidden="1" x14ac:dyDescent="0.2">
      <c r="B247" s="3">
        <v>20038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f t="shared" si="3"/>
        <v>0</v>
      </c>
    </row>
    <row r="248" spans="2:14" hidden="1" x14ac:dyDescent="0.2">
      <c r="B248" s="3">
        <v>20039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f t="shared" si="3"/>
        <v>0</v>
      </c>
    </row>
    <row r="249" spans="2:14" hidden="1" x14ac:dyDescent="0.2">
      <c r="B249" s="3">
        <v>20040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f t="shared" si="3"/>
        <v>0</v>
      </c>
    </row>
    <row r="250" spans="2:14" hidden="1" x14ac:dyDescent="0.2">
      <c r="B250" s="3">
        <v>20041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f t="shared" si="3"/>
        <v>0</v>
      </c>
    </row>
    <row r="251" spans="2:14" hidden="1" x14ac:dyDescent="0.2">
      <c r="B251" s="3">
        <v>20042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f t="shared" si="3"/>
        <v>0</v>
      </c>
    </row>
    <row r="252" spans="2:14" hidden="1" x14ac:dyDescent="0.2">
      <c r="B252" s="3">
        <v>20043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f t="shared" si="3"/>
        <v>0</v>
      </c>
    </row>
    <row r="253" spans="2:14" hidden="1" x14ac:dyDescent="0.2">
      <c r="B253" s="3">
        <v>20044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f t="shared" si="3"/>
        <v>0</v>
      </c>
    </row>
    <row r="254" spans="2:14" hidden="1" x14ac:dyDescent="0.2">
      <c r="B254" s="3">
        <v>20045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f t="shared" si="3"/>
        <v>0</v>
      </c>
    </row>
    <row r="255" spans="2:14" hidden="1" x14ac:dyDescent="0.2">
      <c r="B255" s="3">
        <v>20046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f t="shared" si="3"/>
        <v>0</v>
      </c>
    </row>
    <row r="256" spans="2:14" hidden="1" x14ac:dyDescent="0.2">
      <c r="B256" s="3">
        <v>20047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f t="shared" si="3"/>
        <v>0</v>
      </c>
    </row>
    <row r="257" spans="2:14" hidden="1" x14ac:dyDescent="0.2">
      <c r="B257" s="3">
        <v>20048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f t="shared" si="3"/>
        <v>0</v>
      </c>
    </row>
    <row r="258" spans="2:14" hidden="1" x14ac:dyDescent="0.2">
      <c r="B258" s="3">
        <v>20049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f t="shared" si="3"/>
        <v>0</v>
      </c>
    </row>
    <row r="259" spans="2:14" hidden="1" x14ac:dyDescent="0.2">
      <c r="B259" s="3">
        <v>20050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f t="shared" si="3"/>
        <v>0</v>
      </c>
    </row>
    <row r="260" spans="2:14" hidden="1" x14ac:dyDescent="0.2">
      <c r="B260" s="3">
        <v>20051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f t="shared" si="3"/>
        <v>0</v>
      </c>
    </row>
    <row r="261" spans="2:14" hidden="1" x14ac:dyDescent="0.2">
      <c r="B261" s="3">
        <v>21040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f t="shared" si="3"/>
        <v>0</v>
      </c>
    </row>
    <row r="262" spans="2:14" hidden="1" x14ac:dyDescent="0.2">
      <c r="B262" s="3">
        <v>21041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f t="shared" ref="N262:N325" si="4">SUM(C262:M262)</f>
        <v>0</v>
      </c>
    </row>
    <row r="263" spans="2:14" hidden="1" x14ac:dyDescent="0.2">
      <c r="B263" s="3">
        <v>21042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f t="shared" si="4"/>
        <v>0</v>
      </c>
    </row>
    <row r="264" spans="2:14" hidden="1" x14ac:dyDescent="0.2">
      <c r="B264" s="3">
        <v>21043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f t="shared" si="4"/>
        <v>0</v>
      </c>
    </row>
    <row r="265" spans="2:14" hidden="1" x14ac:dyDescent="0.2">
      <c r="B265" s="3">
        <v>21044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f t="shared" si="4"/>
        <v>0</v>
      </c>
    </row>
    <row r="266" spans="2:14" hidden="1" x14ac:dyDescent="0.2">
      <c r="B266" s="3">
        <v>21045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f t="shared" si="4"/>
        <v>0</v>
      </c>
    </row>
    <row r="267" spans="2:14" hidden="1" x14ac:dyDescent="0.2">
      <c r="B267" s="3">
        <v>21046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f t="shared" si="4"/>
        <v>0</v>
      </c>
    </row>
    <row r="268" spans="2:14" hidden="1" x14ac:dyDescent="0.2">
      <c r="B268" s="3">
        <v>21047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f t="shared" si="4"/>
        <v>0</v>
      </c>
    </row>
    <row r="269" spans="2:14" hidden="1" x14ac:dyDescent="0.2">
      <c r="B269" s="3">
        <v>21048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f t="shared" si="4"/>
        <v>0</v>
      </c>
    </row>
    <row r="270" spans="2:14" hidden="1" x14ac:dyDescent="0.2">
      <c r="B270" s="3">
        <v>21049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f t="shared" si="4"/>
        <v>0</v>
      </c>
    </row>
    <row r="271" spans="2:14" hidden="1" x14ac:dyDescent="0.2">
      <c r="B271" s="3">
        <v>21050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f t="shared" si="4"/>
        <v>0</v>
      </c>
    </row>
    <row r="272" spans="2:14" hidden="1" x14ac:dyDescent="0.2">
      <c r="B272" s="3">
        <v>21051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f t="shared" si="4"/>
        <v>0</v>
      </c>
    </row>
    <row r="273" spans="2:14" hidden="1" x14ac:dyDescent="0.2">
      <c r="B273" s="3">
        <v>22041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f t="shared" si="4"/>
        <v>0</v>
      </c>
    </row>
    <row r="274" spans="2:14" hidden="1" x14ac:dyDescent="0.2">
      <c r="B274" s="3">
        <v>22042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f t="shared" si="4"/>
        <v>0</v>
      </c>
    </row>
    <row r="275" spans="2:14" hidden="1" x14ac:dyDescent="0.2">
      <c r="B275" s="3">
        <v>22043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f t="shared" si="4"/>
        <v>0</v>
      </c>
    </row>
    <row r="276" spans="2:14" hidden="1" x14ac:dyDescent="0.2">
      <c r="B276" s="3">
        <v>22044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f t="shared" si="4"/>
        <v>0</v>
      </c>
    </row>
    <row r="277" spans="2:14" hidden="1" x14ac:dyDescent="0.2">
      <c r="B277" s="3">
        <v>22045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f t="shared" si="4"/>
        <v>0</v>
      </c>
    </row>
    <row r="278" spans="2:14" hidden="1" x14ac:dyDescent="0.2">
      <c r="B278" s="3">
        <v>22046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f t="shared" si="4"/>
        <v>0</v>
      </c>
    </row>
    <row r="279" spans="2:14" hidden="1" x14ac:dyDescent="0.2">
      <c r="B279" s="3">
        <v>22047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f t="shared" si="4"/>
        <v>0</v>
      </c>
    </row>
    <row r="280" spans="2:14" hidden="1" x14ac:dyDescent="0.2">
      <c r="B280" s="3">
        <v>22048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f t="shared" si="4"/>
        <v>0</v>
      </c>
    </row>
    <row r="281" spans="2:14" hidden="1" x14ac:dyDescent="0.2">
      <c r="B281" s="3">
        <v>22049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f t="shared" si="4"/>
        <v>0</v>
      </c>
    </row>
    <row r="282" spans="2:14" hidden="1" x14ac:dyDescent="0.2">
      <c r="B282" s="3">
        <v>22050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f t="shared" si="4"/>
        <v>0</v>
      </c>
    </row>
    <row r="283" spans="2:14" hidden="1" x14ac:dyDescent="0.2">
      <c r="B283" s="3">
        <v>22051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f t="shared" si="4"/>
        <v>0</v>
      </c>
    </row>
    <row r="284" spans="2:14" hidden="1" x14ac:dyDescent="0.2">
      <c r="B284" s="3">
        <v>22052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f t="shared" si="4"/>
        <v>0</v>
      </c>
    </row>
    <row r="285" spans="2:14" hidden="1" x14ac:dyDescent="0.2">
      <c r="B285" s="3">
        <v>22053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f t="shared" si="4"/>
        <v>0</v>
      </c>
    </row>
    <row r="286" spans="2:14" hidden="1" x14ac:dyDescent="0.2">
      <c r="B286" s="3">
        <v>22054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f t="shared" si="4"/>
        <v>0</v>
      </c>
    </row>
    <row r="287" spans="2:14" hidden="1" x14ac:dyDescent="0.2">
      <c r="B287" s="3">
        <v>23044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f t="shared" si="4"/>
        <v>0</v>
      </c>
    </row>
    <row r="288" spans="2:14" hidden="1" x14ac:dyDescent="0.2">
      <c r="B288" s="3">
        <v>23045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f t="shared" si="4"/>
        <v>0</v>
      </c>
    </row>
    <row r="289" spans="2:14" hidden="1" x14ac:dyDescent="0.2">
      <c r="B289" s="3">
        <v>23046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f t="shared" si="4"/>
        <v>0</v>
      </c>
    </row>
    <row r="290" spans="2:14" hidden="1" x14ac:dyDescent="0.2">
      <c r="B290" s="3">
        <v>23047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f t="shared" si="4"/>
        <v>0</v>
      </c>
    </row>
    <row r="291" spans="2:14" hidden="1" x14ac:dyDescent="0.2">
      <c r="B291" s="3">
        <v>23048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f t="shared" si="4"/>
        <v>0</v>
      </c>
    </row>
    <row r="292" spans="2:14" hidden="1" x14ac:dyDescent="0.2">
      <c r="B292" s="3">
        <v>23049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f t="shared" si="4"/>
        <v>0</v>
      </c>
    </row>
    <row r="293" spans="2:14" hidden="1" x14ac:dyDescent="0.2">
      <c r="B293" s="3">
        <v>23050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f t="shared" si="4"/>
        <v>0</v>
      </c>
    </row>
    <row r="294" spans="2:14" hidden="1" x14ac:dyDescent="0.2">
      <c r="B294" s="3">
        <v>23051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f t="shared" si="4"/>
        <v>0</v>
      </c>
    </row>
    <row r="295" spans="2:14" hidden="1" x14ac:dyDescent="0.2">
      <c r="B295" s="3">
        <v>23052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f t="shared" si="4"/>
        <v>0</v>
      </c>
    </row>
    <row r="296" spans="2:14" hidden="1" x14ac:dyDescent="0.2">
      <c r="B296" s="3">
        <v>23053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f t="shared" si="4"/>
        <v>0</v>
      </c>
    </row>
    <row r="297" spans="2:14" hidden="1" x14ac:dyDescent="0.2">
      <c r="B297" s="3">
        <v>23054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f t="shared" si="4"/>
        <v>0</v>
      </c>
    </row>
    <row r="298" spans="2:14" hidden="1" x14ac:dyDescent="0.2">
      <c r="B298" s="3">
        <v>23055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f t="shared" si="4"/>
        <v>0</v>
      </c>
    </row>
    <row r="299" spans="2:14" hidden="1" x14ac:dyDescent="0.2">
      <c r="B299" s="3">
        <v>23056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f t="shared" si="4"/>
        <v>0</v>
      </c>
    </row>
    <row r="300" spans="2:14" hidden="1" x14ac:dyDescent="0.2">
      <c r="B300" s="3">
        <v>24045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f t="shared" si="4"/>
        <v>0</v>
      </c>
    </row>
    <row r="301" spans="2:14" hidden="1" x14ac:dyDescent="0.2">
      <c r="B301" s="3">
        <v>24046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f t="shared" si="4"/>
        <v>0</v>
      </c>
    </row>
    <row r="302" spans="2:14" hidden="1" x14ac:dyDescent="0.2">
      <c r="B302" s="3">
        <v>24047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f t="shared" si="4"/>
        <v>0</v>
      </c>
    </row>
    <row r="303" spans="2:14" hidden="1" x14ac:dyDescent="0.2">
      <c r="B303" s="3">
        <v>24048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f t="shared" si="4"/>
        <v>0</v>
      </c>
    </row>
    <row r="304" spans="2:14" hidden="1" x14ac:dyDescent="0.2">
      <c r="B304" s="3">
        <v>24049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f t="shared" si="4"/>
        <v>0</v>
      </c>
    </row>
    <row r="305" spans="2:14" hidden="1" x14ac:dyDescent="0.2">
      <c r="B305" s="3">
        <v>24050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f t="shared" si="4"/>
        <v>0</v>
      </c>
    </row>
    <row r="306" spans="2:14" x14ac:dyDescent="0.2">
      <c r="B306" s="3">
        <v>24051</v>
      </c>
      <c r="C306" s="3">
        <v>4.2999999999999996E-9</v>
      </c>
      <c r="D306" s="3">
        <v>3.1E-9</v>
      </c>
      <c r="E306" s="3">
        <v>4.1297600000000002E-8</v>
      </c>
      <c r="F306" s="3">
        <v>5.9999599999999996E-10</v>
      </c>
      <c r="G306" s="3">
        <v>5.0000000000000003E-10</v>
      </c>
      <c r="H306" s="3">
        <v>1.9197700000000001E-8</v>
      </c>
      <c r="I306" s="3">
        <v>4.0991900000000002E-9</v>
      </c>
      <c r="J306" s="3">
        <v>4.9959200000000005E-10</v>
      </c>
      <c r="K306" s="3">
        <v>4.0000000000000001E-10</v>
      </c>
      <c r="L306" s="3">
        <v>1.9099800000000001E-8</v>
      </c>
      <c r="M306" s="3">
        <v>4.1000000000000003E-9</v>
      </c>
      <c r="N306" s="3">
        <f t="shared" si="4"/>
        <v>9.7193878000000011E-8</v>
      </c>
    </row>
    <row r="307" spans="2:14" hidden="1" x14ac:dyDescent="0.2">
      <c r="B307" s="3">
        <v>24052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f t="shared" si="4"/>
        <v>0</v>
      </c>
    </row>
    <row r="308" spans="2:14" x14ac:dyDescent="0.2">
      <c r="B308" s="3">
        <v>24053</v>
      </c>
      <c r="C308" s="3">
        <v>9.9967200000000002E-9</v>
      </c>
      <c r="D308" s="3">
        <v>1.10989E-8</v>
      </c>
      <c r="E308" s="3">
        <v>9.6965400000000003E-8</v>
      </c>
      <c r="F308" s="3">
        <v>1.39994E-9</v>
      </c>
      <c r="G308" s="3">
        <v>1.5987000000000001E-9</v>
      </c>
      <c r="H308" s="3">
        <v>5.8394300000000003E-8</v>
      </c>
      <c r="I308" s="3">
        <v>9.7983500000000002E-9</v>
      </c>
      <c r="J308" s="3">
        <v>1.6999999999999999E-9</v>
      </c>
      <c r="K308" s="3">
        <v>1.0999999999999999E-9</v>
      </c>
      <c r="L308" s="3">
        <v>6.0368199999999999E-8</v>
      </c>
      <c r="M308" s="3">
        <v>9.0912899999999999E-9</v>
      </c>
      <c r="N308" s="3">
        <f t="shared" si="4"/>
        <v>2.6151179999999998E-7</v>
      </c>
    </row>
    <row r="309" spans="2:14" x14ac:dyDescent="0.2">
      <c r="B309" s="3">
        <v>24054</v>
      </c>
      <c r="C309" s="3">
        <v>4.0000000000000001E-10</v>
      </c>
      <c r="D309" s="3">
        <v>4.0000000000000001E-10</v>
      </c>
      <c r="E309" s="3">
        <v>6.1999100000000004E-9</v>
      </c>
      <c r="F309" s="3">
        <v>3E-10</v>
      </c>
      <c r="G309" s="3">
        <v>1E-10</v>
      </c>
      <c r="H309" s="3">
        <v>3.1E-9</v>
      </c>
      <c r="I309" s="3">
        <v>1.0000000000000001E-9</v>
      </c>
      <c r="J309" s="3">
        <v>0</v>
      </c>
      <c r="K309" s="3">
        <v>2.0000000000000001E-10</v>
      </c>
      <c r="L309" s="3">
        <v>2.6000000000000001E-9</v>
      </c>
      <c r="M309" s="3">
        <v>1.0997799999999999E-9</v>
      </c>
      <c r="N309" s="3">
        <f t="shared" si="4"/>
        <v>1.5399690000000003E-8</v>
      </c>
    </row>
    <row r="310" spans="2:14" x14ac:dyDescent="0.2">
      <c r="B310" s="3">
        <v>24055</v>
      </c>
      <c r="C310" s="3">
        <v>0</v>
      </c>
      <c r="D310" s="3">
        <v>1E-10</v>
      </c>
      <c r="E310" s="3">
        <v>0</v>
      </c>
      <c r="F310" s="3">
        <v>0</v>
      </c>
      <c r="G310" s="3">
        <v>0</v>
      </c>
      <c r="H310" s="3">
        <v>1E-10</v>
      </c>
      <c r="I310" s="3">
        <v>0</v>
      </c>
      <c r="J310" s="3">
        <v>0</v>
      </c>
      <c r="K310" s="3">
        <v>0</v>
      </c>
      <c r="L310" s="3">
        <v>1E-10</v>
      </c>
      <c r="M310" s="3">
        <v>1E-10</v>
      </c>
      <c r="N310" s="3">
        <f t="shared" si="4"/>
        <v>4.0000000000000001E-10</v>
      </c>
    </row>
    <row r="311" spans="2:14" hidden="1" x14ac:dyDescent="0.2">
      <c r="B311" s="3">
        <v>24056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f t="shared" si="4"/>
        <v>0</v>
      </c>
    </row>
    <row r="312" spans="2:14" hidden="1" x14ac:dyDescent="0.2">
      <c r="B312" s="3">
        <v>24057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f t="shared" si="4"/>
        <v>0</v>
      </c>
    </row>
    <row r="313" spans="2:14" hidden="1" x14ac:dyDescent="0.2">
      <c r="B313" s="3">
        <v>24058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f t="shared" si="4"/>
        <v>0</v>
      </c>
    </row>
    <row r="314" spans="2:14" hidden="1" x14ac:dyDescent="0.2">
      <c r="B314" s="3">
        <v>24059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f t="shared" si="4"/>
        <v>0</v>
      </c>
    </row>
    <row r="315" spans="2:14" hidden="1" x14ac:dyDescent="0.2">
      <c r="B315" s="3">
        <v>25049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f t="shared" si="4"/>
        <v>0</v>
      </c>
    </row>
    <row r="316" spans="2:14" hidden="1" x14ac:dyDescent="0.2">
      <c r="B316" s="3">
        <v>25050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f t="shared" si="4"/>
        <v>0</v>
      </c>
    </row>
    <row r="317" spans="2:14" hidden="1" x14ac:dyDescent="0.2">
      <c r="B317" s="3">
        <v>25051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f t="shared" si="4"/>
        <v>0</v>
      </c>
    </row>
    <row r="318" spans="2:14" hidden="1" x14ac:dyDescent="0.2">
      <c r="B318" s="3">
        <v>25052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f t="shared" si="4"/>
        <v>0</v>
      </c>
    </row>
    <row r="319" spans="2:14" x14ac:dyDescent="0.2">
      <c r="B319" s="3">
        <v>25053</v>
      </c>
      <c r="C319" s="3">
        <v>3E-10</v>
      </c>
      <c r="D319" s="3">
        <v>2.0000000000000001E-10</v>
      </c>
      <c r="E319" s="3">
        <v>3.4976399999999999E-9</v>
      </c>
      <c r="F319" s="3">
        <v>3E-10</v>
      </c>
      <c r="G319" s="3">
        <v>3E-10</v>
      </c>
      <c r="H319" s="3">
        <v>5.3000000000000003E-9</v>
      </c>
      <c r="I319" s="3">
        <v>4.0000000000000001E-10</v>
      </c>
      <c r="J319" s="3">
        <v>1E-10</v>
      </c>
      <c r="K319" s="3">
        <v>2.0000000000000001E-10</v>
      </c>
      <c r="L319" s="3">
        <v>5.8999999999999999E-9</v>
      </c>
      <c r="M319" s="3">
        <v>2.0000000000000001E-10</v>
      </c>
      <c r="N319" s="3">
        <f t="shared" si="4"/>
        <v>1.6697639999999999E-8</v>
      </c>
    </row>
    <row r="320" spans="2:14" x14ac:dyDescent="0.2">
      <c r="B320" s="3">
        <v>25054</v>
      </c>
      <c r="C320" s="3">
        <v>4.3508E-7</v>
      </c>
      <c r="D320" s="3">
        <v>4.30686E-7</v>
      </c>
      <c r="E320" s="3">
        <v>4.5752099999999997E-6</v>
      </c>
      <c r="F320" s="3">
        <v>4.5897200000000002E-8</v>
      </c>
      <c r="G320" s="3">
        <v>2.5698599999999999E-8</v>
      </c>
      <c r="H320" s="3">
        <v>9.1846599999999999E-7</v>
      </c>
      <c r="I320" s="3">
        <v>4.08182E-7</v>
      </c>
      <c r="J320" s="3">
        <v>4.3797800000000002E-8</v>
      </c>
      <c r="K320" s="3">
        <v>2.6298300000000001E-8</v>
      </c>
      <c r="L320" s="3">
        <v>9.3395399999999997E-7</v>
      </c>
      <c r="M320" s="3">
        <v>3.9917500000000003E-7</v>
      </c>
      <c r="N320" s="3">
        <f t="shared" si="4"/>
        <v>8.242444899999999E-6</v>
      </c>
    </row>
    <row r="321" spans="2:14" x14ac:dyDescent="0.2">
      <c r="B321" s="3">
        <v>25055</v>
      </c>
      <c r="C321" s="3">
        <v>0</v>
      </c>
      <c r="D321" s="3">
        <v>0</v>
      </c>
      <c r="E321" s="3">
        <v>1E-10</v>
      </c>
      <c r="F321" s="3">
        <v>0</v>
      </c>
      <c r="G321" s="3">
        <v>0</v>
      </c>
      <c r="H321" s="3">
        <v>1.0000000000000001E-9</v>
      </c>
      <c r="I321" s="3">
        <v>0</v>
      </c>
      <c r="J321" s="3">
        <v>0</v>
      </c>
      <c r="K321" s="3">
        <v>0</v>
      </c>
      <c r="L321" s="3">
        <v>8.0000000000000003E-10</v>
      </c>
      <c r="M321" s="3">
        <v>0</v>
      </c>
      <c r="N321" s="3">
        <f t="shared" si="4"/>
        <v>1.9000000000000001E-9</v>
      </c>
    </row>
    <row r="322" spans="2:14" x14ac:dyDescent="0.2">
      <c r="B322" s="3">
        <v>25056</v>
      </c>
      <c r="C322" s="3">
        <v>7.9683800000000003E-8</v>
      </c>
      <c r="D322" s="3">
        <v>8.3473299999999999E-8</v>
      </c>
      <c r="E322" s="3">
        <v>8.3168699999999997E-7</v>
      </c>
      <c r="F322" s="3">
        <v>1.0099199999999999E-8</v>
      </c>
      <c r="G322" s="3">
        <v>8.89907E-9</v>
      </c>
      <c r="H322" s="3">
        <v>4.27138E-7</v>
      </c>
      <c r="I322" s="3">
        <v>8.05891E-8</v>
      </c>
      <c r="J322" s="3">
        <v>1.1898599999999999E-8</v>
      </c>
      <c r="K322" s="3">
        <v>1.04E-8</v>
      </c>
      <c r="L322" s="3">
        <v>4.1073999999999998E-7</v>
      </c>
      <c r="M322" s="3">
        <v>7.5885499999999995E-8</v>
      </c>
      <c r="N322" s="3">
        <f t="shared" si="4"/>
        <v>2.0304935699999996E-6</v>
      </c>
    </row>
    <row r="323" spans="2:14" x14ac:dyDescent="0.2">
      <c r="B323" s="3">
        <v>25057</v>
      </c>
      <c r="C323" s="3">
        <v>4.0000000000000001E-10</v>
      </c>
      <c r="D323" s="3">
        <v>8.9999999999999999E-10</v>
      </c>
      <c r="E323" s="3">
        <v>5.2993200000000003E-9</v>
      </c>
      <c r="F323" s="3">
        <v>2.0000000000000001E-10</v>
      </c>
      <c r="G323" s="3">
        <v>0</v>
      </c>
      <c r="H323" s="3">
        <v>4.0987000000000003E-9</v>
      </c>
      <c r="I323" s="3">
        <v>3E-10</v>
      </c>
      <c r="J323" s="3">
        <v>2.0000000000000001E-10</v>
      </c>
      <c r="K323" s="3">
        <v>0</v>
      </c>
      <c r="L323" s="3">
        <v>3.4991799999999999E-9</v>
      </c>
      <c r="M323" s="3">
        <v>3E-10</v>
      </c>
      <c r="N323" s="3">
        <f t="shared" si="4"/>
        <v>1.5197200000000001E-8</v>
      </c>
    </row>
    <row r="324" spans="2:14" x14ac:dyDescent="0.2">
      <c r="B324" s="3">
        <v>25058</v>
      </c>
      <c r="C324" s="3">
        <v>0</v>
      </c>
      <c r="D324" s="3">
        <v>0</v>
      </c>
      <c r="E324" s="3">
        <v>1E-10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f t="shared" si="4"/>
        <v>1E-10</v>
      </c>
    </row>
    <row r="325" spans="2:14" hidden="1" x14ac:dyDescent="0.2">
      <c r="B325" s="3">
        <v>25059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f t="shared" si="4"/>
        <v>0</v>
      </c>
    </row>
    <row r="326" spans="2:14" hidden="1" x14ac:dyDescent="0.2">
      <c r="B326" s="3">
        <v>25060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f t="shared" ref="N326:N389" si="5">SUM(C326:M326)</f>
        <v>0</v>
      </c>
    </row>
    <row r="327" spans="2:14" hidden="1" x14ac:dyDescent="0.2">
      <c r="B327" s="3">
        <v>25061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f t="shared" si="5"/>
        <v>0</v>
      </c>
    </row>
    <row r="328" spans="2:14" hidden="1" x14ac:dyDescent="0.2">
      <c r="B328" s="3">
        <v>25062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f t="shared" si="5"/>
        <v>0</v>
      </c>
    </row>
    <row r="329" spans="2:14" hidden="1" x14ac:dyDescent="0.2">
      <c r="B329" s="3">
        <v>26049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f t="shared" si="5"/>
        <v>0</v>
      </c>
    </row>
    <row r="330" spans="2:14" hidden="1" x14ac:dyDescent="0.2">
      <c r="B330" s="3">
        <v>26050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f t="shared" si="5"/>
        <v>0</v>
      </c>
    </row>
    <row r="331" spans="2:14" hidden="1" x14ac:dyDescent="0.2">
      <c r="B331" s="3">
        <v>26051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f t="shared" si="5"/>
        <v>0</v>
      </c>
    </row>
    <row r="332" spans="2:14" hidden="1" x14ac:dyDescent="0.2">
      <c r="B332" s="3">
        <v>26052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f t="shared" si="5"/>
        <v>0</v>
      </c>
    </row>
    <row r="333" spans="2:14" hidden="1" x14ac:dyDescent="0.2">
      <c r="B333" s="3">
        <v>26053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f t="shared" si="5"/>
        <v>0</v>
      </c>
    </row>
    <row r="334" spans="2:14" hidden="1" x14ac:dyDescent="0.2">
      <c r="B334" s="3">
        <v>26054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f t="shared" si="5"/>
        <v>0</v>
      </c>
    </row>
    <row r="335" spans="2:14" x14ac:dyDescent="0.2">
      <c r="B335" s="3">
        <v>26055</v>
      </c>
      <c r="C335" s="3">
        <v>1.2324099999999999E-5</v>
      </c>
      <c r="D335" s="3">
        <v>1.7384499999999999E-5</v>
      </c>
      <c r="E335" s="3">
        <v>1.81047E-5</v>
      </c>
      <c r="F335" s="3">
        <v>5.1209699999999996E-7</v>
      </c>
      <c r="G335" s="3">
        <v>5.9529299999999996E-7</v>
      </c>
      <c r="H335" s="3">
        <v>2.6286499999999998E-6</v>
      </c>
      <c r="I335" s="3">
        <v>1.88745E-6</v>
      </c>
      <c r="J335" s="3">
        <v>5.4159399999999997E-7</v>
      </c>
      <c r="K335" s="3">
        <v>6.1888999999999995E-7</v>
      </c>
      <c r="L335" s="3">
        <v>2.6414400000000001E-6</v>
      </c>
      <c r="M335" s="3">
        <v>1.93578E-6</v>
      </c>
      <c r="N335" s="3">
        <f t="shared" si="5"/>
        <v>5.9174494000000004E-5</v>
      </c>
    </row>
    <row r="336" spans="2:14" x14ac:dyDescent="0.2">
      <c r="B336" s="3">
        <v>26056</v>
      </c>
      <c r="C336" s="3">
        <v>2.1000000000000002E-9</v>
      </c>
      <c r="D336" s="3">
        <v>3.6972600000000001E-9</v>
      </c>
      <c r="E336" s="3">
        <v>2.9592800000000001E-8</v>
      </c>
      <c r="F336" s="3">
        <v>7.9879799999999995E-10</v>
      </c>
      <c r="G336" s="3">
        <v>5.0000000000000003E-10</v>
      </c>
      <c r="H336" s="3">
        <v>2.8098300000000001E-8</v>
      </c>
      <c r="I336" s="3">
        <v>1.5E-9</v>
      </c>
      <c r="J336" s="3">
        <v>6E-10</v>
      </c>
      <c r="K336" s="3">
        <v>7.9864900000000002E-10</v>
      </c>
      <c r="L336" s="3">
        <v>2.66976E-8</v>
      </c>
      <c r="M336" s="3">
        <v>2.2814200000000002E-9</v>
      </c>
      <c r="N336" s="3">
        <f t="shared" si="5"/>
        <v>9.6664826999999994E-8</v>
      </c>
    </row>
    <row r="337" spans="2:14" x14ac:dyDescent="0.2">
      <c r="B337" s="3">
        <v>26057</v>
      </c>
      <c r="C337" s="3">
        <v>1.7500299999999999E-4</v>
      </c>
      <c r="D337" s="3">
        <v>2.5621500000000001E-4</v>
      </c>
      <c r="E337" s="3">
        <v>2.3794500000000001E-4</v>
      </c>
      <c r="F337" s="3">
        <v>6.2202000000000002E-6</v>
      </c>
      <c r="G337" s="3">
        <v>7.2932800000000004E-6</v>
      </c>
      <c r="H337" s="3">
        <v>3.3359399999999998E-5</v>
      </c>
      <c r="I337" s="3">
        <v>2.38777E-5</v>
      </c>
      <c r="J337" s="3">
        <v>6.5329900000000001E-6</v>
      </c>
      <c r="K337" s="3">
        <v>7.6253100000000004E-6</v>
      </c>
      <c r="L337" s="3">
        <v>3.3899799999999997E-5</v>
      </c>
      <c r="M337" s="3">
        <v>2.45052E-5</v>
      </c>
      <c r="N337" s="3">
        <f t="shared" si="5"/>
        <v>8.1247688000000008E-4</v>
      </c>
    </row>
    <row r="338" spans="2:14" x14ac:dyDescent="0.2">
      <c r="B338" s="3">
        <v>26058</v>
      </c>
      <c r="C338" s="3">
        <v>5.7025299999999996E-6</v>
      </c>
      <c r="D338" s="3">
        <v>7.8581199999999999E-6</v>
      </c>
      <c r="E338" s="3">
        <v>8.0075900000000004E-6</v>
      </c>
      <c r="F338" s="3">
        <v>2.6179600000000002E-7</v>
      </c>
      <c r="G338" s="3">
        <v>2.9808999999999999E-7</v>
      </c>
      <c r="H338" s="3">
        <v>1.1600900000000001E-6</v>
      </c>
      <c r="I338" s="3">
        <v>8.6518699999999995E-7</v>
      </c>
      <c r="J338" s="3">
        <v>2.7139299999999997E-7</v>
      </c>
      <c r="K338" s="3">
        <v>3.0649700000000002E-7</v>
      </c>
      <c r="L338" s="3">
        <v>1.2090800000000001E-6</v>
      </c>
      <c r="M338" s="3">
        <v>8.8249099999999998E-7</v>
      </c>
      <c r="N338" s="3">
        <f t="shared" si="5"/>
        <v>2.6822863999999998E-5</v>
      </c>
    </row>
    <row r="339" spans="2:14" x14ac:dyDescent="0.2">
      <c r="B339" s="3">
        <v>26059</v>
      </c>
      <c r="C339" s="3">
        <v>6.4707899999999997E-7</v>
      </c>
      <c r="D339" s="3">
        <v>8.2739300000000003E-7</v>
      </c>
      <c r="E339" s="3">
        <v>8.8309E-7</v>
      </c>
      <c r="F339" s="3">
        <v>2.4899899999999999E-8</v>
      </c>
      <c r="G339" s="3">
        <v>3.1699499999999999E-8</v>
      </c>
      <c r="H339" s="3">
        <v>1.32099E-7</v>
      </c>
      <c r="I339" s="3">
        <v>1.03098E-7</v>
      </c>
      <c r="J339" s="3">
        <v>3.04996E-8</v>
      </c>
      <c r="K339" s="3">
        <v>3.4399399999999998E-8</v>
      </c>
      <c r="L339" s="3">
        <v>1.32592E-7</v>
      </c>
      <c r="M339" s="3">
        <v>1.01799E-7</v>
      </c>
      <c r="N339" s="3">
        <f t="shared" si="5"/>
        <v>2.9486484000000003E-6</v>
      </c>
    </row>
    <row r="340" spans="2:14" hidden="1" x14ac:dyDescent="0.2">
      <c r="B340" s="3">
        <v>26060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f t="shared" si="5"/>
        <v>0</v>
      </c>
    </row>
    <row r="341" spans="2:14" hidden="1" x14ac:dyDescent="0.2">
      <c r="B341" s="3">
        <v>26061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f t="shared" si="5"/>
        <v>0</v>
      </c>
    </row>
    <row r="342" spans="2:14" hidden="1" x14ac:dyDescent="0.2">
      <c r="B342" s="3">
        <v>26062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f t="shared" si="5"/>
        <v>0</v>
      </c>
    </row>
    <row r="343" spans="2:14" hidden="1" x14ac:dyDescent="0.2">
      <c r="B343" s="3">
        <v>26063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f t="shared" si="5"/>
        <v>0</v>
      </c>
    </row>
    <row r="344" spans="2:14" hidden="1" x14ac:dyDescent="0.2">
      <c r="B344" s="3">
        <v>26064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f t="shared" si="5"/>
        <v>0</v>
      </c>
    </row>
    <row r="345" spans="2:14" hidden="1" x14ac:dyDescent="0.2">
      <c r="B345" s="3">
        <v>27053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f t="shared" si="5"/>
        <v>0</v>
      </c>
    </row>
    <row r="346" spans="2:14" hidden="1" x14ac:dyDescent="0.2">
      <c r="B346" s="3">
        <v>27054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f t="shared" si="5"/>
        <v>0</v>
      </c>
    </row>
    <row r="347" spans="2:14" hidden="1" x14ac:dyDescent="0.2">
      <c r="B347" s="3">
        <v>27055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f t="shared" si="5"/>
        <v>0</v>
      </c>
    </row>
    <row r="348" spans="2:14" hidden="1" x14ac:dyDescent="0.2">
      <c r="B348" s="3">
        <v>27056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f t="shared" si="5"/>
        <v>0</v>
      </c>
    </row>
    <row r="349" spans="2:14" hidden="1" x14ac:dyDescent="0.2">
      <c r="B349" s="3">
        <v>27057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f t="shared" si="5"/>
        <v>0</v>
      </c>
    </row>
    <row r="350" spans="2:14" hidden="1" x14ac:dyDescent="0.2">
      <c r="B350" s="3">
        <v>27058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f t="shared" si="5"/>
        <v>0</v>
      </c>
    </row>
    <row r="351" spans="2:14" hidden="1" x14ac:dyDescent="0.2">
      <c r="B351" s="3">
        <v>27059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f t="shared" si="5"/>
        <v>0</v>
      </c>
    </row>
    <row r="352" spans="2:14" hidden="1" x14ac:dyDescent="0.2">
      <c r="B352" s="3">
        <v>27060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f t="shared" si="5"/>
        <v>0</v>
      </c>
    </row>
    <row r="353" spans="2:14" hidden="1" x14ac:dyDescent="0.2">
      <c r="B353" s="3">
        <v>27061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f t="shared" si="5"/>
        <v>0</v>
      </c>
    </row>
    <row r="354" spans="2:14" hidden="1" x14ac:dyDescent="0.2">
      <c r="B354" s="3">
        <v>27062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f t="shared" si="5"/>
        <v>0</v>
      </c>
    </row>
    <row r="355" spans="2:14" hidden="1" x14ac:dyDescent="0.2">
      <c r="B355" s="3">
        <v>27063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f t="shared" si="5"/>
        <v>0</v>
      </c>
    </row>
    <row r="356" spans="2:14" hidden="1" x14ac:dyDescent="0.2">
      <c r="B356" s="3">
        <v>27064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f t="shared" si="5"/>
        <v>0</v>
      </c>
    </row>
    <row r="357" spans="2:14" hidden="1" x14ac:dyDescent="0.2">
      <c r="B357" s="3">
        <v>28053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f t="shared" si="5"/>
        <v>0</v>
      </c>
    </row>
    <row r="358" spans="2:14" hidden="1" x14ac:dyDescent="0.2">
      <c r="B358" s="3">
        <v>28054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f t="shared" si="5"/>
        <v>0</v>
      </c>
    </row>
    <row r="359" spans="2:14" hidden="1" x14ac:dyDescent="0.2">
      <c r="B359" s="3">
        <v>28055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f t="shared" si="5"/>
        <v>0</v>
      </c>
    </row>
    <row r="360" spans="2:14" hidden="1" x14ac:dyDescent="0.2">
      <c r="B360" s="3">
        <v>28056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f t="shared" si="5"/>
        <v>0</v>
      </c>
    </row>
    <row r="361" spans="2:14" hidden="1" x14ac:dyDescent="0.2">
      <c r="B361" s="3">
        <v>28057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f t="shared" si="5"/>
        <v>0</v>
      </c>
    </row>
    <row r="362" spans="2:14" hidden="1" x14ac:dyDescent="0.2">
      <c r="B362" s="3">
        <v>28058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f t="shared" si="5"/>
        <v>0</v>
      </c>
    </row>
    <row r="363" spans="2:14" hidden="1" x14ac:dyDescent="0.2">
      <c r="B363" s="3">
        <v>28059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f t="shared" si="5"/>
        <v>0</v>
      </c>
    </row>
    <row r="364" spans="2:14" hidden="1" x14ac:dyDescent="0.2">
      <c r="B364" s="3">
        <v>28060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f t="shared" si="5"/>
        <v>0</v>
      </c>
    </row>
    <row r="365" spans="2:14" hidden="1" x14ac:dyDescent="0.2">
      <c r="B365" s="3">
        <v>28061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f t="shared" si="5"/>
        <v>0</v>
      </c>
    </row>
    <row r="366" spans="2:14" hidden="1" x14ac:dyDescent="0.2">
      <c r="B366" s="3">
        <v>28062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f t="shared" si="5"/>
        <v>0</v>
      </c>
    </row>
    <row r="367" spans="2:14" hidden="1" x14ac:dyDescent="0.2">
      <c r="B367" s="3">
        <v>28063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f t="shared" si="5"/>
        <v>0</v>
      </c>
    </row>
    <row r="368" spans="2:14" hidden="1" x14ac:dyDescent="0.2">
      <c r="B368" s="3">
        <v>28064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f t="shared" si="5"/>
        <v>0</v>
      </c>
    </row>
    <row r="369" spans="2:14" hidden="1" x14ac:dyDescent="0.2">
      <c r="B369" s="3">
        <v>28065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f t="shared" si="5"/>
        <v>0</v>
      </c>
    </row>
    <row r="370" spans="2:14" hidden="1" x14ac:dyDescent="0.2">
      <c r="B370" s="3">
        <v>28066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f t="shared" si="5"/>
        <v>0</v>
      </c>
    </row>
    <row r="371" spans="2:14" hidden="1" x14ac:dyDescent="0.2">
      <c r="B371" s="3">
        <v>28067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f t="shared" si="5"/>
        <v>0</v>
      </c>
    </row>
    <row r="372" spans="2:14" hidden="1" x14ac:dyDescent="0.2">
      <c r="B372" s="3">
        <v>28068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f t="shared" si="5"/>
        <v>0</v>
      </c>
    </row>
    <row r="373" spans="2:14" hidden="1" x14ac:dyDescent="0.2">
      <c r="B373" s="3">
        <v>29057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f t="shared" si="5"/>
        <v>0</v>
      </c>
    </row>
    <row r="374" spans="2:14" hidden="1" x14ac:dyDescent="0.2">
      <c r="B374" s="3">
        <v>29058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f t="shared" si="5"/>
        <v>0</v>
      </c>
    </row>
    <row r="375" spans="2:14" hidden="1" x14ac:dyDescent="0.2">
      <c r="B375" s="3">
        <v>29059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f t="shared" si="5"/>
        <v>0</v>
      </c>
    </row>
    <row r="376" spans="2:14" hidden="1" x14ac:dyDescent="0.2">
      <c r="B376" s="3">
        <v>29060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f t="shared" si="5"/>
        <v>0</v>
      </c>
    </row>
    <row r="377" spans="2:14" hidden="1" x14ac:dyDescent="0.2">
      <c r="B377" s="3">
        <v>29061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f t="shared" si="5"/>
        <v>0</v>
      </c>
    </row>
    <row r="378" spans="2:14" hidden="1" x14ac:dyDescent="0.2">
      <c r="B378" s="3">
        <v>29062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f t="shared" si="5"/>
        <v>0</v>
      </c>
    </row>
    <row r="379" spans="2:14" hidden="1" x14ac:dyDescent="0.2">
      <c r="B379" s="3">
        <v>29063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f t="shared" si="5"/>
        <v>0</v>
      </c>
    </row>
    <row r="380" spans="2:14" hidden="1" x14ac:dyDescent="0.2">
      <c r="B380" s="3">
        <v>29064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f t="shared" si="5"/>
        <v>0</v>
      </c>
    </row>
    <row r="381" spans="2:14" hidden="1" x14ac:dyDescent="0.2">
      <c r="B381" s="3">
        <v>29065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f t="shared" si="5"/>
        <v>0</v>
      </c>
    </row>
    <row r="382" spans="2:14" hidden="1" x14ac:dyDescent="0.2">
      <c r="B382" s="3">
        <v>29066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f t="shared" si="5"/>
        <v>0</v>
      </c>
    </row>
    <row r="383" spans="2:14" hidden="1" x14ac:dyDescent="0.2">
      <c r="B383" s="3">
        <v>29067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f t="shared" si="5"/>
        <v>0</v>
      </c>
    </row>
    <row r="384" spans="2:14" hidden="1" x14ac:dyDescent="0.2">
      <c r="B384" s="3">
        <v>29068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f t="shared" si="5"/>
        <v>0</v>
      </c>
    </row>
    <row r="385" spans="2:14" hidden="1" x14ac:dyDescent="0.2">
      <c r="B385" s="3">
        <v>29069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f t="shared" si="5"/>
        <v>0</v>
      </c>
    </row>
    <row r="386" spans="2:14" hidden="1" x14ac:dyDescent="0.2">
      <c r="B386" s="3">
        <v>29070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f t="shared" si="5"/>
        <v>0</v>
      </c>
    </row>
    <row r="387" spans="2:14" hidden="1" x14ac:dyDescent="0.2">
      <c r="B387" s="3">
        <v>29071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f t="shared" si="5"/>
        <v>0</v>
      </c>
    </row>
    <row r="388" spans="2:14" hidden="1" x14ac:dyDescent="0.2">
      <c r="B388" s="3">
        <v>29072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f t="shared" si="5"/>
        <v>0</v>
      </c>
    </row>
    <row r="389" spans="2:14" hidden="1" x14ac:dyDescent="0.2">
      <c r="B389" s="3">
        <v>29073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f t="shared" si="5"/>
        <v>0</v>
      </c>
    </row>
    <row r="390" spans="2:14" hidden="1" x14ac:dyDescent="0.2">
      <c r="B390" s="3">
        <v>30057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f t="shared" ref="N390:N453" si="6">SUM(C390:M390)</f>
        <v>0</v>
      </c>
    </row>
    <row r="391" spans="2:14" hidden="1" x14ac:dyDescent="0.2">
      <c r="B391" s="3">
        <v>30058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f t="shared" si="6"/>
        <v>0</v>
      </c>
    </row>
    <row r="392" spans="2:14" hidden="1" x14ac:dyDescent="0.2">
      <c r="B392" s="3">
        <v>30059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f t="shared" si="6"/>
        <v>0</v>
      </c>
    </row>
    <row r="393" spans="2:14" hidden="1" x14ac:dyDescent="0.2">
      <c r="B393" s="3">
        <v>30060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f t="shared" si="6"/>
        <v>0</v>
      </c>
    </row>
    <row r="394" spans="2:14" hidden="1" x14ac:dyDescent="0.2">
      <c r="B394" s="3">
        <v>30061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f t="shared" si="6"/>
        <v>0</v>
      </c>
    </row>
    <row r="395" spans="2:14" hidden="1" x14ac:dyDescent="0.2">
      <c r="B395" s="3">
        <v>30062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f t="shared" si="6"/>
        <v>0</v>
      </c>
    </row>
    <row r="396" spans="2:14" hidden="1" x14ac:dyDescent="0.2">
      <c r="B396" s="3">
        <v>30063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f t="shared" si="6"/>
        <v>0</v>
      </c>
    </row>
    <row r="397" spans="2:14" hidden="1" x14ac:dyDescent="0.2">
      <c r="B397" s="3">
        <v>30064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f t="shared" si="6"/>
        <v>0</v>
      </c>
    </row>
    <row r="398" spans="2:14" hidden="1" x14ac:dyDescent="0.2">
      <c r="B398" s="3">
        <v>30065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f t="shared" si="6"/>
        <v>0</v>
      </c>
    </row>
    <row r="399" spans="2:14" hidden="1" x14ac:dyDescent="0.2">
      <c r="B399" s="3">
        <v>30066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f t="shared" si="6"/>
        <v>0</v>
      </c>
    </row>
    <row r="400" spans="2:14" hidden="1" x14ac:dyDescent="0.2">
      <c r="B400" s="3">
        <v>30067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f t="shared" si="6"/>
        <v>0</v>
      </c>
    </row>
    <row r="401" spans="2:14" hidden="1" x14ac:dyDescent="0.2">
      <c r="B401" s="3">
        <v>30068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f t="shared" si="6"/>
        <v>0</v>
      </c>
    </row>
    <row r="402" spans="2:14" hidden="1" x14ac:dyDescent="0.2">
      <c r="B402" s="3">
        <v>30069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f t="shared" si="6"/>
        <v>0</v>
      </c>
    </row>
    <row r="403" spans="2:14" hidden="1" x14ac:dyDescent="0.2">
      <c r="B403" s="3">
        <v>30070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f t="shared" si="6"/>
        <v>0</v>
      </c>
    </row>
    <row r="404" spans="2:14" hidden="1" x14ac:dyDescent="0.2">
      <c r="B404" s="3">
        <v>30071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f t="shared" si="6"/>
        <v>0</v>
      </c>
    </row>
    <row r="405" spans="2:14" hidden="1" x14ac:dyDescent="0.2">
      <c r="B405" s="3">
        <v>30072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f t="shared" si="6"/>
        <v>0</v>
      </c>
    </row>
    <row r="406" spans="2:14" hidden="1" x14ac:dyDescent="0.2">
      <c r="B406" s="3">
        <v>30073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f t="shared" si="6"/>
        <v>0</v>
      </c>
    </row>
    <row r="407" spans="2:14" hidden="1" x14ac:dyDescent="0.2">
      <c r="B407" s="3">
        <v>30074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f t="shared" si="6"/>
        <v>0</v>
      </c>
    </row>
    <row r="408" spans="2:14" hidden="1" x14ac:dyDescent="0.2">
      <c r="B408" s="3">
        <v>30075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f t="shared" si="6"/>
        <v>0</v>
      </c>
    </row>
    <row r="409" spans="2:14" hidden="1" x14ac:dyDescent="0.2">
      <c r="B409" s="3">
        <v>30076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f t="shared" si="6"/>
        <v>0</v>
      </c>
    </row>
    <row r="410" spans="2:14" hidden="1" x14ac:dyDescent="0.2">
      <c r="B410" s="3">
        <v>30077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f t="shared" si="6"/>
        <v>0</v>
      </c>
    </row>
    <row r="411" spans="2:14" hidden="1" x14ac:dyDescent="0.2">
      <c r="B411" s="3">
        <v>30078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f t="shared" si="6"/>
        <v>0</v>
      </c>
    </row>
    <row r="412" spans="2:14" hidden="1" x14ac:dyDescent="0.2">
      <c r="B412" s="3">
        <v>31062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f t="shared" si="6"/>
        <v>0</v>
      </c>
    </row>
    <row r="413" spans="2:14" hidden="1" x14ac:dyDescent="0.2">
      <c r="B413" s="3">
        <v>31063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f t="shared" si="6"/>
        <v>0</v>
      </c>
    </row>
    <row r="414" spans="2:14" hidden="1" x14ac:dyDescent="0.2">
      <c r="B414" s="3">
        <v>31064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f t="shared" si="6"/>
        <v>0</v>
      </c>
    </row>
    <row r="415" spans="2:14" hidden="1" x14ac:dyDescent="0.2">
      <c r="B415" s="3">
        <v>31065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f t="shared" si="6"/>
        <v>0</v>
      </c>
    </row>
    <row r="416" spans="2:14" hidden="1" x14ac:dyDescent="0.2">
      <c r="B416" s="3">
        <v>31066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f t="shared" si="6"/>
        <v>0</v>
      </c>
    </row>
    <row r="417" spans="2:14" hidden="1" x14ac:dyDescent="0.2">
      <c r="B417" s="3">
        <v>31067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f t="shared" si="6"/>
        <v>0</v>
      </c>
    </row>
    <row r="418" spans="2:14" hidden="1" x14ac:dyDescent="0.2">
      <c r="B418" s="3">
        <v>31068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f t="shared" si="6"/>
        <v>0</v>
      </c>
    </row>
    <row r="419" spans="2:14" hidden="1" x14ac:dyDescent="0.2">
      <c r="B419" s="3">
        <v>31069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f t="shared" si="6"/>
        <v>0</v>
      </c>
    </row>
    <row r="420" spans="2:14" hidden="1" x14ac:dyDescent="0.2">
      <c r="B420" s="3">
        <v>31070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f t="shared" si="6"/>
        <v>0</v>
      </c>
    </row>
    <row r="421" spans="2:14" hidden="1" x14ac:dyDescent="0.2">
      <c r="B421" s="3">
        <v>31071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f t="shared" si="6"/>
        <v>0</v>
      </c>
    </row>
    <row r="422" spans="2:14" hidden="1" x14ac:dyDescent="0.2">
      <c r="B422" s="3">
        <v>31072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f t="shared" si="6"/>
        <v>0</v>
      </c>
    </row>
    <row r="423" spans="2:14" hidden="1" x14ac:dyDescent="0.2">
      <c r="B423" s="3">
        <v>31073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f t="shared" si="6"/>
        <v>0</v>
      </c>
    </row>
    <row r="424" spans="2:14" hidden="1" x14ac:dyDescent="0.2">
      <c r="B424" s="3">
        <v>31074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f t="shared" si="6"/>
        <v>0</v>
      </c>
    </row>
    <row r="425" spans="2:14" hidden="1" x14ac:dyDescent="0.2">
      <c r="B425" s="3">
        <v>31075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f t="shared" si="6"/>
        <v>0</v>
      </c>
    </row>
    <row r="426" spans="2:14" hidden="1" x14ac:dyDescent="0.2">
      <c r="B426" s="3">
        <v>31076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f t="shared" si="6"/>
        <v>0</v>
      </c>
    </row>
    <row r="427" spans="2:14" hidden="1" x14ac:dyDescent="0.2">
      <c r="B427" s="3">
        <v>31077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f t="shared" si="6"/>
        <v>0</v>
      </c>
    </row>
    <row r="428" spans="2:14" hidden="1" x14ac:dyDescent="0.2">
      <c r="B428" s="3">
        <v>31078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f t="shared" si="6"/>
        <v>0</v>
      </c>
    </row>
    <row r="429" spans="2:14" hidden="1" x14ac:dyDescent="0.2">
      <c r="B429" s="3">
        <v>31079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f t="shared" si="6"/>
        <v>0</v>
      </c>
    </row>
    <row r="430" spans="2:14" hidden="1" x14ac:dyDescent="0.2">
      <c r="B430" s="3">
        <v>31080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f t="shared" si="6"/>
        <v>0</v>
      </c>
    </row>
    <row r="431" spans="2:14" hidden="1" x14ac:dyDescent="0.2">
      <c r="B431" s="3">
        <v>31081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f t="shared" si="6"/>
        <v>0</v>
      </c>
    </row>
    <row r="432" spans="2:14" hidden="1" x14ac:dyDescent="0.2">
      <c r="B432" s="3">
        <v>31082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f t="shared" si="6"/>
        <v>0</v>
      </c>
    </row>
    <row r="433" spans="2:14" hidden="1" x14ac:dyDescent="0.2">
      <c r="B433" s="3">
        <v>31083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f t="shared" si="6"/>
        <v>0</v>
      </c>
    </row>
    <row r="434" spans="2:14" hidden="1" x14ac:dyDescent="0.2">
      <c r="B434" s="3">
        <v>32061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f t="shared" si="6"/>
        <v>0</v>
      </c>
    </row>
    <row r="435" spans="2:14" hidden="1" x14ac:dyDescent="0.2">
      <c r="B435" s="3">
        <v>32062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f t="shared" si="6"/>
        <v>0</v>
      </c>
    </row>
    <row r="436" spans="2:14" hidden="1" x14ac:dyDescent="0.2">
      <c r="B436" s="3">
        <v>32063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f t="shared" si="6"/>
        <v>0</v>
      </c>
    </row>
    <row r="437" spans="2:14" hidden="1" x14ac:dyDescent="0.2">
      <c r="B437" s="3">
        <v>32064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f t="shared" si="6"/>
        <v>0</v>
      </c>
    </row>
    <row r="438" spans="2:14" hidden="1" x14ac:dyDescent="0.2">
      <c r="B438" s="3">
        <v>32065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f t="shared" si="6"/>
        <v>0</v>
      </c>
    </row>
    <row r="439" spans="2:14" hidden="1" x14ac:dyDescent="0.2">
      <c r="B439" s="3">
        <v>32066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f t="shared" si="6"/>
        <v>0</v>
      </c>
    </row>
    <row r="440" spans="2:14" hidden="1" x14ac:dyDescent="0.2">
      <c r="B440" s="3">
        <v>32067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f t="shared" si="6"/>
        <v>0</v>
      </c>
    </row>
    <row r="441" spans="2:14" hidden="1" x14ac:dyDescent="0.2">
      <c r="B441" s="3">
        <v>32068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f t="shared" si="6"/>
        <v>0</v>
      </c>
    </row>
    <row r="442" spans="2:14" hidden="1" x14ac:dyDescent="0.2">
      <c r="B442" s="3">
        <v>32069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f t="shared" si="6"/>
        <v>0</v>
      </c>
    </row>
    <row r="443" spans="2:14" hidden="1" x14ac:dyDescent="0.2">
      <c r="B443" s="3">
        <v>32070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f t="shared" si="6"/>
        <v>0</v>
      </c>
    </row>
    <row r="444" spans="2:14" hidden="1" x14ac:dyDescent="0.2">
      <c r="B444" s="3">
        <v>32071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f t="shared" si="6"/>
        <v>0</v>
      </c>
    </row>
    <row r="445" spans="2:14" hidden="1" x14ac:dyDescent="0.2">
      <c r="B445" s="3">
        <v>32072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f t="shared" si="6"/>
        <v>0</v>
      </c>
    </row>
    <row r="446" spans="2:14" hidden="1" x14ac:dyDescent="0.2">
      <c r="B446" s="3">
        <v>32073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f t="shared" si="6"/>
        <v>0</v>
      </c>
    </row>
    <row r="447" spans="2:14" hidden="1" x14ac:dyDescent="0.2">
      <c r="B447" s="3">
        <v>32074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f t="shared" si="6"/>
        <v>0</v>
      </c>
    </row>
    <row r="448" spans="2:14" hidden="1" x14ac:dyDescent="0.2">
      <c r="B448" s="3">
        <v>32075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f t="shared" si="6"/>
        <v>0</v>
      </c>
    </row>
    <row r="449" spans="2:14" hidden="1" x14ac:dyDescent="0.2">
      <c r="B449" s="3">
        <v>32076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f t="shared" si="6"/>
        <v>0</v>
      </c>
    </row>
    <row r="450" spans="2:14" hidden="1" x14ac:dyDescent="0.2">
      <c r="B450" s="3">
        <v>32077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f t="shared" si="6"/>
        <v>0</v>
      </c>
    </row>
    <row r="451" spans="2:14" hidden="1" x14ac:dyDescent="0.2">
      <c r="B451" s="3">
        <v>32078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f t="shared" si="6"/>
        <v>0</v>
      </c>
    </row>
    <row r="452" spans="2:14" hidden="1" x14ac:dyDescent="0.2">
      <c r="B452" s="3">
        <v>32079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f t="shared" si="6"/>
        <v>0</v>
      </c>
    </row>
    <row r="453" spans="2:14" hidden="1" x14ac:dyDescent="0.2">
      <c r="B453" s="3">
        <v>32080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f t="shared" si="6"/>
        <v>0</v>
      </c>
    </row>
    <row r="454" spans="2:14" hidden="1" x14ac:dyDescent="0.2">
      <c r="B454" s="3">
        <v>32081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f t="shared" ref="N454:N517" si="7">SUM(C454:M454)</f>
        <v>0</v>
      </c>
    </row>
    <row r="455" spans="2:14" hidden="1" x14ac:dyDescent="0.2">
      <c r="B455" s="3">
        <v>32082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f t="shared" si="7"/>
        <v>0</v>
      </c>
    </row>
    <row r="456" spans="2:14" hidden="1" x14ac:dyDescent="0.2">
      <c r="B456" s="3">
        <v>32083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f t="shared" si="7"/>
        <v>0</v>
      </c>
    </row>
    <row r="457" spans="2:14" hidden="1" x14ac:dyDescent="0.2">
      <c r="B457" s="3">
        <v>32084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f t="shared" si="7"/>
        <v>0</v>
      </c>
    </row>
    <row r="458" spans="2:14" hidden="1" x14ac:dyDescent="0.2">
      <c r="B458" s="3">
        <v>33066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f t="shared" si="7"/>
        <v>0</v>
      </c>
    </row>
    <row r="459" spans="2:14" hidden="1" x14ac:dyDescent="0.2">
      <c r="B459" s="3">
        <v>33067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f t="shared" si="7"/>
        <v>0</v>
      </c>
    </row>
    <row r="460" spans="2:14" hidden="1" x14ac:dyDescent="0.2">
      <c r="B460" s="3">
        <v>33068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f t="shared" si="7"/>
        <v>0</v>
      </c>
    </row>
    <row r="461" spans="2:14" hidden="1" x14ac:dyDescent="0.2">
      <c r="B461" s="3">
        <v>33069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f t="shared" si="7"/>
        <v>0</v>
      </c>
    </row>
    <row r="462" spans="2:14" hidden="1" x14ac:dyDescent="0.2">
      <c r="B462" s="3">
        <v>33070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f t="shared" si="7"/>
        <v>0</v>
      </c>
    </row>
    <row r="463" spans="2:14" hidden="1" x14ac:dyDescent="0.2">
      <c r="B463" s="3">
        <v>33071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f t="shared" si="7"/>
        <v>0</v>
      </c>
    </row>
    <row r="464" spans="2:14" hidden="1" x14ac:dyDescent="0.2">
      <c r="B464" s="3">
        <v>33072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f t="shared" si="7"/>
        <v>0</v>
      </c>
    </row>
    <row r="465" spans="2:14" hidden="1" x14ac:dyDescent="0.2">
      <c r="B465" s="3">
        <v>33073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f t="shared" si="7"/>
        <v>0</v>
      </c>
    </row>
    <row r="466" spans="2:14" hidden="1" x14ac:dyDescent="0.2">
      <c r="B466" s="3">
        <v>33074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f t="shared" si="7"/>
        <v>0</v>
      </c>
    </row>
    <row r="467" spans="2:14" hidden="1" x14ac:dyDescent="0.2">
      <c r="B467" s="3">
        <v>33075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f t="shared" si="7"/>
        <v>0</v>
      </c>
    </row>
    <row r="468" spans="2:14" hidden="1" x14ac:dyDescent="0.2">
      <c r="B468" s="3">
        <v>33076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f t="shared" si="7"/>
        <v>0</v>
      </c>
    </row>
    <row r="469" spans="2:14" hidden="1" x14ac:dyDescent="0.2">
      <c r="B469" s="3">
        <v>33077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f t="shared" si="7"/>
        <v>0</v>
      </c>
    </row>
    <row r="470" spans="2:14" hidden="1" x14ac:dyDescent="0.2">
      <c r="B470" s="3">
        <v>33078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f t="shared" si="7"/>
        <v>0</v>
      </c>
    </row>
    <row r="471" spans="2:14" hidden="1" x14ac:dyDescent="0.2">
      <c r="B471" s="3">
        <v>33079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f t="shared" si="7"/>
        <v>0</v>
      </c>
    </row>
    <row r="472" spans="2:14" hidden="1" x14ac:dyDescent="0.2">
      <c r="B472" s="3">
        <v>33080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f t="shared" si="7"/>
        <v>0</v>
      </c>
    </row>
    <row r="473" spans="2:14" hidden="1" x14ac:dyDescent="0.2">
      <c r="B473" s="3">
        <v>33081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f t="shared" si="7"/>
        <v>0</v>
      </c>
    </row>
    <row r="474" spans="2:14" hidden="1" x14ac:dyDescent="0.2">
      <c r="B474" s="3">
        <v>33082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f t="shared" si="7"/>
        <v>0</v>
      </c>
    </row>
    <row r="475" spans="2:14" hidden="1" x14ac:dyDescent="0.2">
      <c r="B475" s="3">
        <v>33083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f t="shared" si="7"/>
        <v>0</v>
      </c>
    </row>
    <row r="476" spans="2:14" hidden="1" x14ac:dyDescent="0.2">
      <c r="B476" s="3">
        <v>33084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f t="shared" si="7"/>
        <v>0</v>
      </c>
    </row>
    <row r="477" spans="2:14" hidden="1" x14ac:dyDescent="0.2">
      <c r="B477" s="3">
        <v>33085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f t="shared" si="7"/>
        <v>0</v>
      </c>
    </row>
    <row r="478" spans="2:14" hidden="1" x14ac:dyDescent="0.2">
      <c r="B478" s="3">
        <v>33086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f t="shared" si="7"/>
        <v>0</v>
      </c>
    </row>
    <row r="479" spans="2:14" hidden="1" x14ac:dyDescent="0.2">
      <c r="B479" s="3">
        <v>33087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f t="shared" si="7"/>
        <v>0</v>
      </c>
    </row>
    <row r="480" spans="2:14" hidden="1" x14ac:dyDescent="0.2">
      <c r="B480" s="3">
        <v>34068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f t="shared" si="7"/>
        <v>0</v>
      </c>
    </row>
    <row r="481" spans="2:14" hidden="1" x14ac:dyDescent="0.2">
      <c r="B481" s="3">
        <v>34069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f t="shared" si="7"/>
        <v>0</v>
      </c>
    </row>
    <row r="482" spans="2:14" hidden="1" x14ac:dyDescent="0.2">
      <c r="B482" s="3">
        <v>34070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f t="shared" si="7"/>
        <v>0</v>
      </c>
    </row>
    <row r="483" spans="2:14" hidden="1" x14ac:dyDescent="0.2">
      <c r="B483" s="3">
        <v>34071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f t="shared" si="7"/>
        <v>0</v>
      </c>
    </row>
    <row r="484" spans="2:14" hidden="1" x14ac:dyDescent="0.2">
      <c r="B484" s="3">
        <v>34072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f t="shared" si="7"/>
        <v>0</v>
      </c>
    </row>
    <row r="485" spans="2:14" hidden="1" x14ac:dyDescent="0.2">
      <c r="B485" s="3">
        <v>34073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f t="shared" si="7"/>
        <v>0</v>
      </c>
    </row>
    <row r="486" spans="2:14" hidden="1" x14ac:dyDescent="0.2">
      <c r="B486" s="3">
        <v>34074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f t="shared" si="7"/>
        <v>0</v>
      </c>
    </row>
    <row r="487" spans="2:14" hidden="1" x14ac:dyDescent="0.2">
      <c r="B487" s="3">
        <v>34075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f t="shared" si="7"/>
        <v>0</v>
      </c>
    </row>
    <row r="488" spans="2:14" hidden="1" x14ac:dyDescent="0.2">
      <c r="B488" s="3">
        <v>34076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f t="shared" si="7"/>
        <v>0</v>
      </c>
    </row>
    <row r="489" spans="2:14" hidden="1" x14ac:dyDescent="0.2">
      <c r="B489" s="3">
        <v>34077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f t="shared" si="7"/>
        <v>0</v>
      </c>
    </row>
    <row r="490" spans="2:14" hidden="1" x14ac:dyDescent="0.2">
      <c r="B490" s="3">
        <v>34078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f t="shared" si="7"/>
        <v>0</v>
      </c>
    </row>
    <row r="491" spans="2:14" hidden="1" x14ac:dyDescent="0.2">
      <c r="B491" s="3">
        <v>34079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f t="shared" si="7"/>
        <v>0</v>
      </c>
    </row>
    <row r="492" spans="2:14" hidden="1" x14ac:dyDescent="0.2">
      <c r="B492" s="3">
        <v>34080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f t="shared" si="7"/>
        <v>0</v>
      </c>
    </row>
    <row r="493" spans="2:14" hidden="1" x14ac:dyDescent="0.2">
      <c r="B493" s="3">
        <v>34081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f t="shared" si="7"/>
        <v>0</v>
      </c>
    </row>
    <row r="494" spans="2:14" hidden="1" x14ac:dyDescent="0.2">
      <c r="B494" s="3">
        <v>34082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f t="shared" si="7"/>
        <v>0</v>
      </c>
    </row>
    <row r="495" spans="2:14" hidden="1" x14ac:dyDescent="0.2">
      <c r="B495" s="3">
        <v>34083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f t="shared" si="7"/>
        <v>0</v>
      </c>
    </row>
    <row r="496" spans="2:14" hidden="1" x14ac:dyDescent="0.2">
      <c r="B496" s="3">
        <v>34084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f t="shared" si="7"/>
        <v>0</v>
      </c>
    </row>
    <row r="497" spans="2:14" hidden="1" x14ac:dyDescent="0.2">
      <c r="B497" s="3">
        <v>34085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f t="shared" si="7"/>
        <v>0</v>
      </c>
    </row>
    <row r="498" spans="2:14" hidden="1" x14ac:dyDescent="0.2">
      <c r="B498" s="3">
        <v>34086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f t="shared" si="7"/>
        <v>0</v>
      </c>
    </row>
    <row r="499" spans="2:14" hidden="1" x14ac:dyDescent="0.2">
      <c r="B499" s="3">
        <v>34087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f t="shared" si="7"/>
        <v>0</v>
      </c>
    </row>
    <row r="500" spans="2:14" hidden="1" x14ac:dyDescent="0.2">
      <c r="B500" s="3">
        <v>34088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f t="shared" si="7"/>
        <v>0</v>
      </c>
    </row>
    <row r="501" spans="2:14" hidden="1" x14ac:dyDescent="0.2">
      <c r="B501" s="3">
        <v>34089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f t="shared" si="7"/>
        <v>0</v>
      </c>
    </row>
    <row r="502" spans="2:14" hidden="1" x14ac:dyDescent="0.2">
      <c r="B502" s="3">
        <v>34090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f t="shared" si="7"/>
        <v>0</v>
      </c>
    </row>
    <row r="503" spans="2:14" hidden="1" x14ac:dyDescent="0.2">
      <c r="B503" s="3">
        <v>34091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f t="shared" si="7"/>
        <v>0</v>
      </c>
    </row>
    <row r="504" spans="2:14" hidden="1" x14ac:dyDescent="0.2">
      <c r="B504" s="3">
        <v>35070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f t="shared" si="7"/>
        <v>0</v>
      </c>
    </row>
    <row r="505" spans="2:14" hidden="1" x14ac:dyDescent="0.2">
      <c r="B505" s="3">
        <v>35071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f t="shared" si="7"/>
        <v>0</v>
      </c>
    </row>
    <row r="506" spans="2:14" hidden="1" x14ac:dyDescent="0.2">
      <c r="B506" s="3">
        <v>35072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f t="shared" si="7"/>
        <v>0</v>
      </c>
    </row>
    <row r="507" spans="2:14" hidden="1" x14ac:dyDescent="0.2">
      <c r="B507" s="3">
        <v>35073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f t="shared" si="7"/>
        <v>0</v>
      </c>
    </row>
    <row r="508" spans="2:14" hidden="1" x14ac:dyDescent="0.2">
      <c r="B508" s="3">
        <v>35074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f t="shared" si="7"/>
        <v>0</v>
      </c>
    </row>
    <row r="509" spans="2:14" hidden="1" x14ac:dyDescent="0.2">
      <c r="B509" s="3">
        <v>35075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f t="shared" si="7"/>
        <v>0</v>
      </c>
    </row>
    <row r="510" spans="2:14" hidden="1" x14ac:dyDescent="0.2">
      <c r="B510" s="3">
        <v>35076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f t="shared" si="7"/>
        <v>0</v>
      </c>
    </row>
    <row r="511" spans="2:14" hidden="1" x14ac:dyDescent="0.2">
      <c r="B511" s="3">
        <v>35077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f t="shared" si="7"/>
        <v>0</v>
      </c>
    </row>
    <row r="512" spans="2:14" hidden="1" x14ac:dyDescent="0.2">
      <c r="B512" s="3">
        <v>35078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f t="shared" si="7"/>
        <v>0</v>
      </c>
    </row>
    <row r="513" spans="2:14" hidden="1" x14ac:dyDescent="0.2">
      <c r="B513" s="3">
        <v>35079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f t="shared" si="7"/>
        <v>0</v>
      </c>
    </row>
    <row r="514" spans="2:14" hidden="1" x14ac:dyDescent="0.2">
      <c r="B514" s="3">
        <v>35080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f t="shared" si="7"/>
        <v>0</v>
      </c>
    </row>
    <row r="515" spans="2:14" hidden="1" x14ac:dyDescent="0.2">
      <c r="B515" s="3">
        <v>35081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f t="shared" si="7"/>
        <v>0</v>
      </c>
    </row>
    <row r="516" spans="2:14" hidden="1" x14ac:dyDescent="0.2">
      <c r="B516" s="3">
        <v>35082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f t="shared" si="7"/>
        <v>0</v>
      </c>
    </row>
    <row r="517" spans="2:14" hidden="1" x14ac:dyDescent="0.2">
      <c r="B517" s="3">
        <v>35083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f t="shared" si="7"/>
        <v>0</v>
      </c>
    </row>
    <row r="518" spans="2:14" hidden="1" x14ac:dyDescent="0.2">
      <c r="B518" s="3">
        <v>35084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f t="shared" ref="N518:N581" si="8">SUM(C518:M518)</f>
        <v>0</v>
      </c>
    </row>
    <row r="519" spans="2:14" hidden="1" x14ac:dyDescent="0.2">
      <c r="B519" s="3">
        <v>35085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f t="shared" si="8"/>
        <v>0</v>
      </c>
    </row>
    <row r="520" spans="2:14" hidden="1" x14ac:dyDescent="0.2">
      <c r="B520" s="3">
        <v>35086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f t="shared" si="8"/>
        <v>0</v>
      </c>
    </row>
    <row r="521" spans="2:14" hidden="1" x14ac:dyDescent="0.2">
      <c r="B521" s="3">
        <v>35087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f t="shared" si="8"/>
        <v>0</v>
      </c>
    </row>
    <row r="522" spans="2:14" hidden="1" x14ac:dyDescent="0.2">
      <c r="B522" s="3">
        <v>35088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f t="shared" si="8"/>
        <v>0</v>
      </c>
    </row>
    <row r="523" spans="2:14" hidden="1" x14ac:dyDescent="0.2">
      <c r="B523" s="3">
        <v>35089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f t="shared" si="8"/>
        <v>0</v>
      </c>
    </row>
    <row r="524" spans="2:14" hidden="1" x14ac:dyDescent="0.2">
      <c r="B524" s="3">
        <v>35090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f t="shared" si="8"/>
        <v>0</v>
      </c>
    </row>
    <row r="525" spans="2:14" hidden="1" x14ac:dyDescent="0.2">
      <c r="B525" s="3">
        <v>35091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f t="shared" si="8"/>
        <v>0</v>
      </c>
    </row>
    <row r="526" spans="2:14" hidden="1" x14ac:dyDescent="0.2">
      <c r="B526" s="3">
        <v>35092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f t="shared" si="8"/>
        <v>0</v>
      </c>
    </row>
    <row r="527" spans="2:14" hidden="1" x14ac:dyDescent="0.2">
      <c r="B527" s="3">
        <v>36071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f t="shared" si="8"/>
        <v>0</v>
      </c>
    </row>
    <row r="528" spans="2:14" hidden="1" x14ac:dyDescent="0.2">
      <c r="B528" s="3">
        <v>36072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f t="shared" si="8"/>
        <v>0</v>
      </c>
    </row>
    <row r="529" spans="2:14" hidden="1" x14ac:dyDescent="0.2">
      <c r="B529" s="3">
        <v>36073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f t="shared" si="8"/>
        <v>0</v>
      </c>
    </row>
    <row r="530" spans="2:14" hidden="1" x14ac:dyDescent="0.2">
      <c r="B530" s="3">
        <v>36074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f t="shared" si="8"/>
        <v>0</v>
      </c>
    </row>
    <row r="531" spans="2:14" hidden="1" x14ac:dyDescent="0.2">
      <c r="B531" s="3">
        <v>36075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f t="shared" si="8"/>
        <v>0</v>
      </c>
    </row>
    <row r="532" spans="2:14" hidden="1" x14ac:dyDescent="0.2">
      <c r="B532" s="3">
        <v>36076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f t="shared" si="8"/>
        <v>0</v>
      </c>
    </row>
    <row r="533" spans="2:14" hidden="1" x14ac:dyDescent="0.2">
      <c r="B533" s="3">
        <v>36077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f t="shared" si="8"/>
        <v>0</v>
      </c>
    </row>
    <row r="534" spans="2:14" hidden="1" x14ac:dyDescent="0.2">
      <c r="B534" s="3">
        <v>36078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f t="shared" si="8"/>
        <v>0</v>
      </c>
    </row>
    <row r="535" spans="2:14" hidden="1" x14ac:dyDescent="0.2">
      <c r="B535" s="3">
        <v>36079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f t="shared" si="8"/>
        <v>0</v>
      </c>
    </row>
    <row r="536" spans="2:14" hidden="1" x14ac:dyDescent="0.2">
      <c r="B536" s="3">
        <v>36080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f t="shared" si="8"/>
        <v>0</v>
      </c>
    </row>
    <row r="537" spans="2:14" hidden="1" x14ac:dyDescent="0.2">
      <c r="B537" s="3">
        <v>36081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f t="shared" si="8"/>
        <v>0</v>
      </c>
    </row>
    <row r="538" spans="2:14" hidden="1" x14ac:dyDescent="0.2">
      <c r="B538" s="3">
        <v>36082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f t="shared" si="8"/>
        <v>0</v>
      </c>
    </row>
    <row r="539" spans="2:14" hidden="1" x14ac:dyDescent="0.2">
      <c r="B539" s="3">
        <v>36083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f t="shared" si="8"/>
        <v>0</v>
      </c>
    </row>
    <row r="540" spans="2:14" hidden="1" x14ac:dyDescent="0.2">
      <c r="B540" s="3">
        <v>36084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f t="shared" si="8"/>
        <v>0</v>
      </c>
    </row>
    <row r="541" spans="2:14" hidden="1" x14ac:dyDescent="0.2">
      <c r="B541" s="3">
        <v>36085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f t="shared" si="8"/>
        <v>0</v>
      </c>
    </row>
    <row r="542" spans="2:14" hidden="1" x14ac:dyDescent="0.2">
      <c r="B542" s="3">
        <v>36086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f t="shared" si="8"/>
        <v>0</v>
      </c>
    </row>
    <row r="543" spans="2:14" hidden="1" x14ac:dyDescent="0.2">
      <c r="B543" s="3">
        <v>36087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f t="shared" si="8"/>
        <v>0</v>
      </c>
    </row>
    <row r="544" spans="2:14" hidden="1" x14ac:dyDescent="0.2">
      <c r="B544" s="3">
        <v>36088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f t="shared" si="8"/>
        <v>0</v>
      </c>
    </row>
    <row r="545" spans="2:14" hidden="1" x14ac:dyDescent="0.2">
      <c r="B545" s="3">
        <v>36089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f t="shared" si="8"/>
        <v>0</v>
      </c>
    </row>
    <row r="546" spans="2:14" hidden="1" x14ac:dyDescent="0.2">
      <c r="B546" s="3">
        <v>36090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f t="shared" si="8"/>
        <v>0</v>
      </c>
    </row>
    <row r="547" spans="2:14" hidden="1" x14ac:dyDescent="0.2">
      <c r="B547" s="3">
        <v>36091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f t="shared" si="8"/>
        <v>0</v>
      </c>
    </row>
    <row r="548" spans="2:14" hidden="1" x14ac:dyDescent="0.2">
      <c r="B548" s="3">
        <v>36092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f t="shared" si="8"/>
        <v>0</v>
      </c>
    </row>
    <row r="549" spans="2:14" hidden="1" x14ac:dyDescent="0.2">
      <c r="B549" s="3">
        <v>36093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f t="shared" si="8"/>
        <v>0</v>
      </c>
    </row>
    <row r="550" spans="2:14" hidden="1" x14ac:dyDescent="0.2">
      <c r="B550" s="3">
        <v>36094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f t="shared" si="8"/>
        <v>0</v>
      </c>
    </row>
    <row r="551" spans="2:14" hidden="1" x14ac:dyDescent="0.2">
      <c r="B551" s="3">
        <v>36095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f t="shared" si="8"/>
        <v>0</v>
      </c>
    </row>
    <row r="552" spans="2:14" hidden="1" x14ac:dyDescent="0.2">
      <c r="B552" s="3">
        <v>36096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f t="shared" si="8"/>
        <v>0</v>
      </c>
    </row>
    <row r="553" spans="2:14" hidden="1" x14ac:dyDescent="0.2">
      <c r="B553" s="3">
        <v>36097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f t="shared" si="8"/>
        <v>0</v>
      </c>
    </row>
    <row r="554" spans="2:14" hidden="1" x14ac:dyDescent="0.2">
      <c r="B554" s="3">
        <v>37074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f t="shared" si="8"/>
        <v>0</v>
      </c>
    </row>
    <row r="555" spans="2:14" hidden="1" x14ac:dyDescent="0.2">
      <c r="B555" s="3">
        <v>37075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f t="shared" si="8"/>
        <v>0</v>
      </c>
    </row>
    <row r="556" spans="2:14" hidden="1" x14ac:dyDescent="0.2">
      <c r="B556" s="3">
        <v>37076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f t="shared" si="8"/>
        <v>0</v>
      </c>
    </row>
    <row r="557" spans="2:14" hidden="1" x14ac:dyDescent="0.2">
      <c r="B557" s="3">
        <v>37077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f t="shared" si="8"/>
        <v>0</v>
      </c>
    </row>
    <row r="558" spans="2:14" hidden="1" x14ac:dyDescent="0.2">
      <c r="B558" s="3">
        <v>37078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f t="shared" si="8"/>
        <v>0</v>
      </c>
    </row>
    <row r="559" spans="2:14" hidden="1" x14ac:dyDescent="0.2">
      <c r="B559" s="3">
        <v>37079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f t="shared" si="8"/>
        <v>0</v>
      </c>
    </row>
    <row r="560" spans="2:14" hidden="1" x14ac:dyDescent="0.2">
      <c r="B560" s="3">
        <v>37080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f t="shared" si="8"/>
        <v>0</v>
      </c>
    </row>
    <row r="561" spans="2:14" hidden="1" x14ac:dyDescent="0.2">
      <c r="B561" s="3">
        <v>37081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f t="shared" si="8"/>
        <v>0</v>
      </c>
    </row>
    <row r="562" spans="2:14" hidden="1" x14ac:dyDescent="0.2">
      <c r="B562" s="3">
        <v>37082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f t="shared" si="8"/>
        <v>0</v>
      </c>
    </row>
    <row r="563" spans="2:14" hidden="1" x14ac:dyDescent="0.2">
      <c r="B563" s="3">
        <v>37083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f t="shared" si="8"/>
        <v>0</v>
      </c>
    </row>
    <row r="564" spans="2:14" hidden="1" x14ac:dyDescent="0.2">
      <c r="B564" s="3">
        <v>37084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f t="shared" si="8"/>
        <v>0</v>
      </c>
    </row>
    <row r="565" spans="2:14" hidden="1" x14ac:dyDescent="0.2">
      <c r="B565" s="3">
        <v>37085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f t="shared" si="8"/>
        <v>0</v>
      </c>
    </row>
    <row r="566" spans="2:14" hidden="1" x14ac:dyDescent="0.2">
      <c r="B566" s="3">
        <v>37086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f t="shared" si="8"/>
        <v>0</v>
      </c>
    </row>
    <row r="567" spans="2:14" hidden="1" x14ac:dyDescent="0.2">
      <c r="B567" s="3">
        <v>37087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f t="shared" si="8"/>
        <v>0</v>
      </c>
    </row>
    <row r="568" spans="2:14" hidden="1" x14ac:dyDescent="0.2">
      <c r="B568" s="3">
        <v>37088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f t="shared" si="8"/>
        <v>0</v>
      </c>
    </row>
    <row r="569" spans="2:14" hidden="1" x14ac:dyDescent="0.2">
      <c r="B569" s="3">
        <v>37089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f t="shared" si="8"/>
        <v>0</v>
      </c>
    </row>
    <row r="570" spans="2:14" hidden="1" x14ac:dyDescent="0.2">
      <c r="B570" s="3">
        <v>37090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f t="shared" si="8"/>
        <v>0</v>
      </c>
    </row>
    <row r="571" spans="2:14" hidden="1" x14ac:dyDescent="0.2">
      <c r="B571" s="3">
        <v>37091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f t="shared" si="8"/>
        <v>0</v>
      </c>
    </row>
    <row r="572" spans="2:14" hidden="1" x14ac:dyDescent="0.2">
      <c r="B572" s="3">
        <v>37092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f t="shared" si="8"/>
        <v>0</v>
      </c>
    </row>
    <row r="573" spans="2:14" hidden="1" x14ac:dyDescent="0.2">
      <c r="B573" s="3">
        <v>37093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f t="shared" si="8"/>
        <v>0</v>
      </c>
    </row>
    <row r="574" spans="2:14" hidden="1" x14ac:dyDescent="0.2">
      <c r="B574" s="3">
        <v>37094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f t="shared" si="8"/>
        <v>0</v>
      </c>
    </row>
    <row r="575" spans="2:14" hidden="1" x14ac:dyDescent="0.2">
      <c r="B575" s="3">
        <v>37095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f t="shared" si="8"/>
        <v>0</v>
      </c>
    </row>
    <row r="576" spans="2:14" hidden="1" x14ac:dyDescent="0.2">
      <c r="B576" s="3">
        <v>37096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f t="shared" si="8"/>
        <v>0</v>
      </c>
    </row>
    <row r="577" spans="2:14" hidden="1" x14ac:dyDescent="0.2">
      <c r="B577" s="3">
        <v>37097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f t="shared" si="8"/>
        <v>0</v>
      </c>
    </row>
    <row r="578" spans="2:14" hidden="1" x14ac:dyDescent="0.2">
      <c r="B578" s="3">
        <v>37098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f t="shared" si="8"/>
        <v>0</v>
      </c>
    </row>
    <row r="579" spans="2:14" hidden="1" x14ac:dyDescent="0.2">
      <c r="B579" s="3">
        <v>37099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f t="shared" si="8"/>
        <v>0</v>
      </c>
    </row>
    <row r="580" spans="2:14" hidden="1" x14ac:dyDescent="0.2">
      <c r="B580" s="3">
        <v>37100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f t="shared" si="8"/>
        <v>0</v>
      </c>
    </row>
    <row r="581" spans="2:14" hidden="1" x14ac:dyDescent="0.2">
      <c r="B581" s="3">
        <v>38077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f t="shared" si="8"/>
        <v>0</v>
      </c>
    </row>
    <row r="582" spans="2:14" hidden="1" x14ac:dyDescent="0.2">
      <c r="B582" s="3">
        <v>38078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f t="shared" ref="N582:N645" si="9">SUM(C582:M582)</f>
        <v>0</v>
      </c>
    </row>
    <row r="583" spans="2:14" hidden="1" x14ac:dyDescent="0.2">
      <c r="B583" s="3">
        <v>38079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f t="shared" si="9"/>
        <v>0</v>
      </c>
    </row>
    <row r="584" spans="2:14" hidden="1" x14ac:dyDescent="0.2">
      <c r="B584" s="3">
        <v>38080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f t="shared" si="9"/>
        <v>0</v>
      </c>
    </row>
    <row r="585" spans="2:14" hidden="1" x14ac:dyDescent="0.2">
      <c r="B585" s="3">
        <v>38081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f t="shared" si="9"/>
        <v>0</v>
      </c>
    </row>
    <row r="586" spans="2:14" hidden="1" x14ac:dyDescent="0.2">
      <c r="B586" s="3">
        <v>38082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f t="shared" si="9"/>
        <v>0</v>
      </c>
    </row>
    <row r="587" spans="2:14" hidden="1" x14ac:dyDescent="0.2">
      <c r="B587" s="3">
        <v>38083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f t="shared" si="9"/>
        <v>0</v>
      </c>
    </row>
    <row r="588" spans="2:14" hidden="1" x14ac:dyDescent="0.2">
      <c r="B588" s="3">
        <v>38084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f t="shared" si="9"/>
        <v>0</v>
      </c>
    </row>
    <row r="589" spans="2:14" hidden="1" x14ac:dyDescent="0.2">
      <c r="B589" s="3">
        <v>38085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f t="shared" si="9"/>
        <v>0</v>
      </c>
    </row>
    <row r="590" spans="2:14" hidden="1" x14ac:dyDescent="0.2">
      <c r="B590" s="3">
        <v>38086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f t="shared" si="9"/>
        <v>0</v>
      </c>
    </row>
    <row r="591" spans="2:14" hidden="1" x14ac:dyDescent="0.2">
      <c r="B591" s="3">
        <v>38087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f t="shared" si="9"/>
        <v>0</v>
      </c>
    </row>
    <row r="592" spans="2:14" hidden="1" x14ac:dyDescent="0.2">
      <c r="B592" s="3">
        <v>38088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f t="shared" si="9"/>
        <v>0</v>
      </c>
    </row>
    <row r="593" spans="2:14" hidden="1" x14ac:dyDescent="0.2">
      <c r="B593" s="3">
        <v>38089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f t="shared" si="9"/>
        <v>0</v>
      </c>
    </row>
    <row r="594" spans="2:14" hidden="1" x14ac:dyDescent="0.2">
      <c r="B594" s="3">
        <v>38090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f t="shared" si="9"/>
        <v>0</v>
      </c>
    </row>
    <row r="595" spans="2:14" hidden="1" x14ac:dyDescent="0.2">
      <c r="B595" s="3">
        <v>38091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f t="shared" si="9"/>
        <v>0</v>
      </c>
    </row>
    <row r="596" spans="2:14" hidden="1" x14ac:dyDescent="0.2">
      <c r="B596" s="3">
        <v>38092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f t="shared" si="9"/>
        <v>0</v>
      </c>
    </row>
    <row r="597" spans="2:14" hidden="1" x14ac:dyDescent="0.2">
      <c r="B597" s="3">
        <v>38093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f t="shared" si="9"/>
        <v>0</v>
      </c>
    </row>
    <row r="598" spans="2:14" hidden="1" x14ac:dyDescent="0.2">
      <c r="B598" s="3">
        <v>38094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f t="shared" si="9"/>
        <v>0</v>
      </c>
    </row>
    <row r="599" spans="2:14" hidden="1" x14ac:dyDescent="0.2">
      <c r="B599" s="3">
        <v>38095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f t="shared" si="9"/>
        <v>0</v>
      </c>
    </row>
    <row r="600" spans="2:14" hidden="1" x14ac:dyDescent="0.2">
      <c r="B600" s="3">
        <v>38096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f t="shared" si="9"/>
        <v>0</v>
      </c>
    </row>
    <row r="601" spans="2:14" hidden="1" x14ac:dyDescent="0.2">
      <c r="B601" s="3">
        <v>38097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f t="shared" si="9"/>
        <v>0</v>
      </c>
    </row>
    <row r="602" spans="2:14" hidden="1" x14ac:dyDescent="0.2">
      <c r="B602" s="3">
        <v>38098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f t="shared" si="9"/>
        <v>0</v>
      </c>
    </row>
    <row r="603" spans="2:14" hidden="1" x14ac:dyDescent="0.2">
      <c r="B603" s="3">
        <v>38099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f t="shared" si="9"/>
        <v>0</v>
      </c>
    </row>
    <row r="604" spans="2:14" hidden="1" x14ac:dyDescent="0.2">
      <c r="B604" s="3">
        <v>38100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f t="shared" si="9"/>
        <v>0</v>
      </c>
    </row>
    <row r="605" spans="2:14" hidden="1" x14ac:dyDescent="0.2">
      <c r="B605" s="3">
        <v>39080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f t="shared" si="9"/>
        <v>0</v>
      </c>
    </row>
    <row r="606" spans="2:14" hidden="1" x14ac:dyDescent="0.2">
      <c r="B606" s="3">
        <v>39081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f t="shared" si="9"/>
        <v>0</v>
      </c>
    </row>
    <row r="607" spans="2:14" hidden="1" x14ac:dyDescent="0.2">
      <c r="B607" s="3">
        <v>39082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f t="shared" si="9"/>
        <v>0</v>
      </c>
    </row>
    <row r="608" spans="2:14" hidden="1" x14ac:dyDescent="0.2">
      <c r="B608" s="3">
        <v>39083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f t="shared" si="9"/>
        <v>0</v>
      </c>
    </row>
    <row r="609" spans="2:14" hidden="1" x14ac:dyDescent="0.2">
      <c r="B609" s="3">
        <v>39084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f t="shared" si="9"/>
        <v>0</v>
      </c>
    </row>
    <row r="610" spans="2:14" hidden="1" x14ac:dyDescent="0.2">
      <c r="B610" s="3">
        <v>39085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f t="shared" si="9"/>
        <v>0</v>
      </c>
    </row>
    <row r="611" spans="2:14" hidden="1" x14ac:dyDescent="0.2">
      <c r="B611" s="3">
        <v>39086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f t="shared" si="9"/>
        <v>0</v>
      </c>
    </row>
    <row r="612" spans="2:14" hidden="1" x14ac:dyDescent="0.2">
      <c r="B612" s="3">
        <v>39087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f t="shared" si="9"/>
        <v>0</v>
      </c>
    </row>
    <row r="613" spans="2:14" hidden="1" x14ac:dyDescent="0.2">
      <c r="B613" s="3">
        <v>39088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f t="shared" si="9"/>
        <v>0</v>
      </c>
    </row>
    <row r="614" spans="2:14" hidden="1" x14ac:dyDescent="0.2">
      <c r="B614" s="3">
        <v>39089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f t="shared" si="9"/>
        <v>0</v>
      </c>
    </row>
    <row r="615" spans="2:14" hidden="1" x14ac:dyDescent="0.2">
      <c r="B615" s="3">
        <v>39090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f t="shared" si="9"/>
        <v>0</v>
      </c>
    </row>
    <row r="616" spans="2:14" hidden="1" x14ac:dyDescent="0.2">
      <c r="B616" s="3">
        <v>39091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f t="shared" si="9"/>
        <v>0</v>
      </c>
    </row>
    <row r="617" spans="2:14" hidden="1" x14ac:dyDescent="0.2">
      <c r="B617" s="3">
        <v>39092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f t="shared" si="9"/>
        <v>0</v>
      </c>
    </row>
    <row r="618" spans="2:14" hidden="1" x14ac:dyDescent="0.2">
      <c r="B618" s="3">
        <v>39093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f t="shared" si="9"/>
        <v>0</v>
      </c>
    </row>
    <row r="619" spans="2:14" hidden="1" x14ac:dyDescent="0.2">
      <c r="B619" s="3">
        <v>39094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f t="shared" si="9"/>
        <v>0</v>
      </c>
    </row>
    <row r="620" spans="2:14" hidden="1" x14ac:dyDescent="0.2">
      <c r="B620" s="3">
        <v>39095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f t="shared" si="9"/>
        <v>0</v>
      </c>
    </row>
    <row r="621" spans="2:14" hidden="1" x14ac:dyDescent="0.2">
      <c r="B621" s="3">
        <v>39096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f t="shared" si="9"/>
        <v>0</v>
      </c>
    </row>
    <row r="622" spans="2:14" hidden="1" x14ac:dyDescent="0.2">
      <c r="B622" s="3">
        <v>39097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f t="shared" si="9"/>
        <v>0</v>
      </c>
    </row>
    <row r="623" spans="2:14" hidden="1" x14ac:dyDescent="0.2">
      <c r="B623" s="3">
        <v>39098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f t="shared" si="9"/>
        <v>0</v>
      </c>
    </row>
    <row r="624" spans="2:14" hidden="1" x14ac:dyDescent="0.2">
      <c r="B624" s="3">
        <v>39099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f t="shared" si="9"/>
        <v>0</v>
      </c>
    </row>
    <row r="625" spans="2:14" hidden="1" x14ac:dyDescent="0.2">
      <c r="B625" s="3">
        <v>39100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f t="shared" si="9"/>
        <v>0</v>
      </c>
    </row>
    <row r="626" spans="2:14" hidden="1" x14ac:dyDescent="0.2">
      <c r="B626" s="3">
        <v>39101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f t="shared" si="9"/>
        <v>0</v>
      </c>
    </row>
    <row r="627" spans="2:14" hidden="1" x14ac:dyDescent="0.2">
      <c r="B627" s="3">
        <v>39102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f t="shared" si="9"/>
        <v>0</v>
      </c>
    </row>
    <row r="628" spans="2:14" hidden="1" x14ac:dyDescent="0.2">
      <c r="B628" s="3">
        <v>40081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f t="shared" si="9"/>
        <v>0</v>
      </c>
    </row>
    <row r="629" spans="2:14" hidden="1" x14ac:dyDescent="0.2">
      <c r="B629" s="3">
        <v>40082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f t="shared" si="9"/>
        <v>0</v>
      </c>
    </row>
    <row r="630" spans="2:14" hidden="1" x14ac:dyDescent="0.2">
      <c r="B630" s="3">
        <v>40083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f t="shared" si="9"/>
        <v>0</v>
      </c>
    </row>
    <row r="631" spans="2:14" hidden="1" x14ac:dyDescent="0.2">
      <c r="B631" s="3">
        <v>40084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f t="shared" si="9"/>
        <v>0</v>
      </c>
    </row>
    <row r="632" spans="2:14" hidden="1" x14ac:dyDescent="0.2">
      <c r="B632" s="3">
        <v>40085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f t="shared" si="9"/>
        <v>0</v>
      </c>
    </row>
    <row r="633" spans="2:14" hidden="1" x14ac:dyDescent="0.2">
      <c r="B633" s="3">
        <v>40086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f t="shared" si="9"/>
        <v>0</v>
      </c>
    </row>
    <row r="634" spans="2:14" hidden="1" x14ac:dyDescent="0.2">
      <c r="B634" s="3">
        <v>40087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f t="shared" si="9"/>
        <v>0</v>
      </c>
    </row>
    <row r="635" spans="2:14" hidden="1" x14ac:dyDescent="0.2">
      <c r="B635" s="3">
        <v>40088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f t="shared" si="9"/>
        <v>0</v>
      </c>
    </row>
    <row r="636" spans="2:14" hidden="1" x14ac:dyDescent="0.2">
      <c r="B636" s="3">
        <v>40089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f t="shared" si="9"/>
        <v>0</v>
      </c>
    </row>
    <row r="637" spans="2:14" hidden="1" x14ac:dyDescent="0.2">
      <c r="B637" s="3">
        <v>40090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f t="shared" si="9"/>
        <v>0</v>
      </c>
    </row>
    <row r="638" spans="2:14" hidden="1" x14ac:dyDescent="0.2">
      <c r="B638" s="3">
        <v>40091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f t="shared" si="9"/>
        <v>0</v>
      </c>
    </row>
    <row r="639" spans="2:14" hidden="1" x14ac:dyDescent="0.2">
      <c r="B639" s="3">
        <v>40092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f t="shared" si="9"/>
        <v>0</v>
      </c>
    </row>
    <row r="640" spans="2:14" hidden="1" x14ac:dyDescent="0.2">
      <c r="B640" s="3">
        <v>40093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f t="shared" si="9"/>
        <v>0</v>
      </c>
    </row>
    <row r="641" spans="2:14" hidden="1" x14ac:dyDescent="0.2">
      <c r="B641" s="3">
        <v>40094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f t="shared" si="9"/>
        <v>0</v>
      </c>
    </row>
    <row r="642" spans="2:14" hidden="1" x14ac:dyDescent="0.2">
      <c r="B642" s="3">
        <v>40095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f t="shared" si="9"/>
        <v>0</v>
      </c>
    </row>
    <row r="643" spans="2:14" hidden="1" x14ac:dyDescent="0.2">
      <c r="B643" s="3">
        <v>40096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f t="shared" si="9"/>
        <v>0</v>
      </c>
    </row>
    <row r="644" spans="2:14" hidden="1" x14ac:dyDescent="0.2">
      <c r="B644" s="3">
        <v>40097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f t="shared" si="9"/>
        <v>0</v>
      </c>
    </row>
    <row r="645" spans="2:14" hidden="1" x14ac:dyDescent="0.2">
      <c r="B645" s="3">
        <v>40098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f t="shared" si="9"/>
        <v>0</v>
      </c>
    </row>
    <row r="646" spans="2:14" hidden="1" x14ac:dyDescent="0.2">
      <c r="B646" s="3">
        <v>40099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f t="shared" ref="N646:N709" si="10">SUM(C646:M646)</f>
        <v>0</v>
      </c>
    </row>
    <row r="647" spans="2:14" hidden="1" x14ac:dyDescent="0.2">
      <c r="B647" s="3">
        <v>40100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f t="shared" si="10"/>
        <v>0</v>
      </c>
    </row>
    <row r="648" spans="2:14" hidden="1" x14ac:dyDescent="0.2">
      <c r="B648" s="3">
        <v>40101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f t="shared" si="10"/>
        <v>0</v>
      </c>
    </row>
    <row r="649" spans="2:14" hidden="1" x14ac:dyDescent="0.2">
      <c r="B649" s="3">
        <v>40102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f t="shared" si="10"/>
        <v>0</v>
      </c>
    </row>
    <row r="650" spans="2:14" hidden="1" x14ac:dyDescent="0.2">
      <c r="B650" s="3">
        <v>41084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f t="shared" si="10"/>
        <v>0</v>
      </c>
    </row>
    <row r="651" spans="2:14" hidden="1" x14ac:dyDescent="0.2">
      <c r="B651" s="3">
        <v>41085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f t="shared" si="10"/>
        <v>0</v>
      </c>
    </row>
    <row r="652" spans="2:14" hidden="1" x14ac:dyDescent="0.2">
      <c r="B652" s="3">
        <v>41086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f t="shared" si="10"/>
        <v>0</v>
      </c>
    </row>
    <row r="653" spans="2:14" hidden="1" x14ac:dyDescent="0.2">
      <c r="B653" s="3">
        <v>41087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f t="shared" si="10"/>
        <v>0</v>
      </c>
    </row>
    <row r="654" spans="2:14" hidden="1" x14ac:dyDescent="0.2">
      <c r="B654" s="3">
        <v>41088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f t="shared" si="10"/>
        <v>0</v>
      </c>
    </row>
    <row r="655" spans="2:14" hidden="1" x14ac:dyDescent="0.2">
      <c r="B655" s="3">
        <v>41089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f t="shared" si="10"/>
        <v>0</v>
      </c>
    </row>
    <row r="656" spans="2:14" hidden="1" x14ac:dyDescent="0.2">
      <c r="B656" s="3">
        <v>41090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f t="shared" si="10"/>
        <v>0</v>
      </c>
    </row>
    <row r="657" spans="2:14" hidden="1" x14ac:dyDescent="0.2">
      <c r="B657" s="3">
        <v>41091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f t="shared" si="10"/>
        <v>0</v>
      </c>
    </row>
    <row r="658" spans="2:14" hidden="1" x14ac:dyDescent="0.2">
      <c r="B658" s="3">
        <v>41092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f t="shared" si="10"/>
        <v>0</v>
      </c>
    </row>
    <row r="659" spans="2:14" hidden="1" x14ac:dyDescent="0.2">
      <c r="B659" s="3">
        <v>41093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f t="shared" si="10"/>
        <v>0</v>
      </c>
    </row>
    <row r="660" spans="2:14" hidden="1" x14ac:dyDescent="0.2">
      <c r="B660" s="3">
        <v>41094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f t="shared" si="10"/>
        <v>0</v>
      </c>
    </row>
    <row r="661" spans="2:14" hidden="1" x14ac:dyDescent="0.2">
      <c r="B661" s="3">
        <v>41095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f t="shared" si="10"/>
        <v>0</v>
      </c>
    </row>
    <row r="662" spans="2:14" hidden="1" x14ac:dyDescent="0.2">
      <c r="B662" s="3">
        <v>41096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f t="shared" si="10"/>
        <v>0</v>
      </c>
    </row>
    <row r="663" spans="2:14" hidden="1" x14ac:dyDescent="0.2">
      <c r="B663" s="3">
        <v>41097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f t="shared" si="10"/>
        <v>0</v>
      </c>
    </row>
    <row r="664" spans="2:14" hidden="1" x14ac:dyDescent="0.2">
      <c r="B664" s="3">
        <v>41098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f t="shared" si="10"/>
        <v>0</v>
      </c>
    </row>
    <row r="665" spans="2:14" hidden="1" x14ac:dyDescent="0.2">
      <c r="B665" s="3">
        <v>41099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f t="shared" si="10"/>
        <v>0</v>
      </c>
    </row>
    <row r="666" spans="2:14" hidden="1" x14ac:dyDescent="0.2">
      <c r="B666" s="3">
        <v>41100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f t="shared" si="10"/>
        <v>0</v>
      </c>
    </row>
    <row r="667" spans="2:14" hidden="1" x14ac:dyDescent="0.2">
      <c r="B667" s="3">
        <v>41101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f t="shared" si="10"/>
        <v>0</v>
      </c>
    </row>
    <row r="668" spans="2:14" hidden="1" x14ac:dyDescent="0.2">
      <c r="B668" s="3">
        <v>41102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f t="shared" si="10"/>
        <v>0</v>
      </c>
    </row>
    <row r="669" spans="2:14" hidden="1" x14ac:dyDescent="0.2">
      <c r="B669" s="3">
        <v>41103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f t="shared" si="10"/>
        <v>0</v>
      </c>
    </row>
    <row r="670" spans="2:14" hidden="1" x14ac:dyDescent="0.2">
      <c r="B670" s="3">
        <v>41104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f t="shared" si="10"/>
        <v>0</v>
      </c>
    </row>
    <row r="671" spans="2:14" hidden="1" x14ac:dyDescent="0.2">
      <c r="B671" s="3">
        <v>41105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f t="shared" si="10"/>
        <v>0</v>
      </c>
    </row>
    <row r="672" spans="2:14" hidden="1" x14ac:dyDescent="0.2">
      <c r="B672" s="3">
        <v>41106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f t="shared" si="10"/>
        <v>0</v>
      </c>
    </row>
    <row r="673" spans="2:14" hidden="1" x14ac:dyDescent="0.2">
      <c r="B673" s="3">
        <v>42087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f t="shared" si="10"/>
        <v>0</v>
      </c>
    </row>
    <row r="674" spans="2:14" hidden="1" x14ac:dyDescent="0.2">
      <c r="B674" s="3">
        <v>42088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f t="shared" si="10"/>
        <v>0</v>
      </c>
    </row>
    <row r="675" spans="2:14" hidden="1" x14ac:dyDescent="0.2">
      <c r="B675" s="3">
        <v>42089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f t="shared" si="10"/>
        <v>0</v>
      </c>
    </row>
    <row r="676" spans="2:14" hidden="1" x14ac:dyDescent="0.2">
      <c r="B676" s="3">
        <v>42090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f t="shared" si="10"/>
        <v>0</v>
      </c>
    </row>
    <row r="677" spans="2:14" hidden="1" x14ac:dyDescent="0.2">
      <c r="B677" s="3">
        <v>42091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f t="shared" si="10"/>
        <v>0</v>
      </c>
    </row>
    <row r="678" spans="2:14" hidden="1" x14ac:dyDescent="0.2">
      <c r="B678" s="3">
        <v>42092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f t="shared" si="10"/>
        <v>0</v>
      </c>
    </row>
    <row r="679" spans="2:14" hidden="1" x14ac:dyDescent="0.2">
      <c r="B679" s="3">
        <v>42093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f t="shared" si="10"/>
        <v>0</v>
      </c>
    </row>
    <row r="680" spans="2:14" hidden="1" x14ac:dyDescent="0.2">
      <c r="B680" s="3">
        <v>42094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f t="shared" si="10"/>
        <v>0</v>
      </c>
    </row>
    <row r="681" spans="2:14" hidden="1" x14ac:dyDescent="0.2">
      <c r="B681" s="3">
        <v>42095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f t="shared" si="10"/>
        <v>0</v>
      </c>
    </row>
    <row r="682" spans="2:14" hidden="1" x14ac:dyDescent="0.2">
      <c r="B682" s="3">
        <v>42096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f t="shared" si="10"/>
        <v>0</v>
      </c>
    </row>
    <row r="683" spans="2:14" hidden="1" x14ac:dyDescent="0.2">
      <c r="B683" s="3">
        <v>42097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f t="shared" si="10"/>
        <v>0</v>
      </c>
    </row>
    <row r="684" spans="2:14" hidden="1" x14ac:dyDescent="0.2">
      <c r="B684" s="3">
        <v>42098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f t="shared" si="10"/>
        <v>0</v>
      </c>
    </row>
    <row r="685" spans="2:14" hidden="1" x14ac:dyDescent="0.2">
      <c r="B685" s="3">
        <v>42099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f t="shared" si="10"/>
        <v>0</v>
      </c>
    </row>
    <row r="686" spans="2:14" hidden="1" x14ac:dyDescent="0.2">
      <c r="B686" s="3">
        <v>42100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f t="shared" si="10"/>
        <v>0</v>
      </c>
    </row>
    <row r="687" spans="2:14" hidden="1" x14ac:dyDescent="0.2">
      <c r="B687" s="3">
        <v>42101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f t="shared" si="10"/>
        <v>0</v>
      </c>
    </row>
    <row r="688" spans="2:14" hidden="1" x14ac:dyDescent="0.2">
      <c r="B688" s="3">
        <v>42102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f t="shared" si="10"/>
        <v>0</v>
      </c>
    </row>
    <row r="689" spans="2:14" hidden="1" x14ac:dyDescent="0.2">
      <c r="B689" s="3">
        <v>42103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f t="shared" si="10"/>
        <v>0</v>
      </c>
    </row>
    <row r="690" spans="2:14" hidden="1" x14ac:dyDescent="0.2">
      <c r="B690" s="3">
        <v>42104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f t="shared" si="10"/>
        <v>0</v>
      </c>
    </row>
    <row r="691" spans="2:14" hidden="1" x14ac:dyDescent="0.2">
      <c r="B691" s="3">
        <v>42105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f t="shared" si="10"/>
        <v>0</v>
      </c>
    </row>
    <row r="692" spans="2:14" hidden="1" x14ac:dyDescent="0.2">
      <c r="B692" s="3">
        <v>42106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f t="shared" si="10"/>
        <v>0</v>
      </c>
    </row>
    <row r="693" spans="2:14" hidden="1" x14ac:dyDescent="0.2">
      <c r="B693" s="3">
        <v>42107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f t="shared" si="10"/>
        <v>0</v>
      </c>
    </row>
    <row r="694" spans="2:14" hidden="1" x14ac:dyDescent="0.2">
      <c r="B694" s="3">
        <v>42108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f t="shared" si="10"/>
        <v>0</v>
      </c>
    </row>
    <row r="695" spans="2:14" hidden="1" x14ac:dyDescent="0.2">
      <c r="B695" s="3">
        <v>43090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f t="shared" si="10"/>
        <v>0</v>
      </c>
    </row>
    <row r="696" spans="2:14" hidden="1" x14ac:dyDescent="0.2">
      <c r="B696" s="3">
        <v>43091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f t="shared" si="10"/>
        <v>0</v>
      </c>
    </row>
    <row r="697" spans="2:14" hidden="1" x14ac:dyDescent="0.2">
      <c r="B697" s="3">
        <v>43092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f t="shared" si="10"/>
        <v>0</v>
      </c>
    </row>
    <row r="698" spans="2:14" hidden="1" x14ac:dyDescent="0.2">
      <c r="B698" s="3">
        <v>43093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f t="shared" si="10"/>
        <v>0</v>
      </c>
    </row>
    <row r="699" spans="2:14" hidden="1" x14ac:dyDescent="0.2">
      <c r="B699" s="3">
        <v>43094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f t="shared" si="10"/>
        <v>0</v>
      </c>
    </row>
    <row r="700" spans="2:14" hidden="1" x14ac:dyDescent="0.2">
      <c r="B700" s="3">
        <v>43095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f t="shared" si="10"/>
        <v>0</v>
      </c>
    </row>
    <row r="701" spans="2:14" hidden="1" x14ac:dyDescent="0.2">
      <c r="B701" s="3">
        <v>43096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f t="shared" si="10"/>
        <v>0</v>
      </c>
    </row>
    <row r="702" spans="2:14" hidden="1" x14ac:dyDescent="0.2">
      <c r="B702" s="3">
        <v>43097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f t="shared" si="10"/>
        <v>0</v>
      </c>
    </row>
    <row r="703" spans="2:14" hidden="1" x14ac:dyDescent="0.2">
      <c r="B703" s="3">
        <v>43098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f t="shared" si="10"/>
        <v>0</v>
      </c>
    </row>
    <row r="704" spans="2:14" hidden="1" x14ac:dyDescent="0.2">
      <c r="B704" s="3">
        <v>43099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f t="shared" si="10"/>
        <v>0</v>
      </c>
    </row>
    <row r="705" spans="2:14" hidden="1" x14ac:dyDescent="0.2">
      <c r="B705" s="3">
        <v>43100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f t="shared" si="10"/>
        <v>0</v>
      </c>
    </row>
    <row r="706" spans="2:14" hidden="1" x14ac:dyDescent="0.2">
      <c r="B706" s="3">
        <v>43101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f t="shared" si="10"/>
        <v>0</v>
      </c>
    </row>
    <row r="707" spans="2:14" hidden="1" x14ac:dyDescent="0.2">
      <c r="B707" s="3">
        <v>43102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f t="shared" si="10"/>
        <v>0</v>
      </c>
    </row>
    <row r="708" spans="2:14" hidden="1" x14ac:dyDescent="0.2">
      <c r="B708" s="3">
        <v>43103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f t="shared" si="10"/>
        <v>0</v>
      </c>
    </row>
    <row r="709" spans="2:14" hidden="1" x14ac:dyDescent="0.2">
      <c r="B709" s="3">
        <v>43104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f t="shared" si="10"/>
        <v>0</v>
      </c>
    </row>
    <row r="710" spans="2:14" hidden="1" x14ac:dyDescent="0.2">
      <c r="B710" s="3">
        <v>43105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f t="shared" ref="N710:N773" si="11">SUM(C710:M710)</f>
        <v>0</v>
      </c>
    </row>
    <row r="711" spans="2:14" hidden="1" x14ac:dyDescent="0.2">
      <c r="B711" s="3">
        <v>43106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f t="shared" si="11"/>
        <v>0</v>
      </c>
    </row>
    <row r="712" spans="2:14" hidden="1" x14ac:dyDescent="0.2">
      <c r="B712" s="3">
        <v>43107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f t="shared" si="11"/>
        <v>0</v>
      </c>
    </row>
    <row r="713" spans="2:14" hidden="1" x14ac:dyDescent="0.2">
      <c r="B713" s="3">
        <v>43108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f t="shared" si="11"/>
        <v>0</v>
      </c>
    </row>
    <row r="714" spans="2:14" hidden="1" x14ac:dyDescent="0.2">
      <c r="B714" s="3">
        <v>43109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f t="shared" si="11"/>
        <v>0</v>
      </c>
    </row>
    <row r="715" spans="2:14" hidden="1" x14ac:dyDescent="0.2">
      <c r="B715" s="3">
        <v>43110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f t="shared" si="11"/>
        <v>0</v>
      </c>
    </row>
    <row r="716" spans="2:14" hidden="1" x14ac:dyDescent="0.2">
      <c r="B716" s="3">
        <v>44092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f t="shared" si="11"/>
        <v>0</v>
      </c>
    </row>
    <row r="717" spans="2:14" hidden="1" x14ac:dyDescent="0.2">
      <c r="B717" s="3">
        <v>44093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f t="shared" si="11"/>
        <v>0</v>
      </c>
    </row>
    <row r="718" spans="2:14" hidden="1" x14ac:dyDescent="0.2">
      <c r="B718" s="3">
        <v>44094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f t="shared" si="11"/>
        <v>0</v>
      </c>
    </row>
    <row r="719" spans="2:14" hidden="1" x14ac:dyDescent="0.2">
      <c r="B719" s="3">
        <v>44095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f t="shared" si="11"/>
        <v>0</v>
      </c>
    </row>
    <row r="720" spans="2:14" hidden="1" x14ac:dyDescent="0.2">
      <c r="B720" s="3">
        <v>44096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f t="shared" si="11"/>
        <v>0</v>
      </c>
    </row>
    <row r="721" spans="2:14" hidden="1" x14ac:dyDescent="0.2">
      <c r="B721" s="3">
        <v>44097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f t="shared" si="11"/>
        <v>0</v>
      </c>
    </row>
    <row r="722" spans="2:14" hidden="1" x14ac:dyDescent="0.2">
      <c r="B722" s="3">
        <v>44098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f t="shared" si="11"/>
        <v>0</v>
      </c>
    </row>
    <row r="723" spans="2:14" hidden="1" x14ac:dyDescent="0.2">
      <c r="B723" s="3">
        <v>44099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f t="shared" si="11"/>
        <v>0</v>
      </c>
    </row>
    <row r="724" spans="2:14" hidden="1" x14ac:dyDescent="0.2">
      <c r="B724" s="3">
        <v>44100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f t="shared" si="11"/>
        <v>0</v>
      </c>
    </row>
    <row r="725" spans="2:14" hidden="1" x14ac:dyDescent="0.2">
      <c r="B725" s="3">
        <v>44101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f t="shared" si="11"/>
        <v>0</v>
      </c>
    </row>
    <row r="726" spans="2:14" hidden="1" x14ac:dyDescent="0.2">
      <c r="B726" s="3">
        <v>44102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f t="shared" si="11"/>
        <v>0</v>
      </c>
    </row>
    <row r="727" spans="2:14" hidden="1" x14ac:dyDescent="0.2">
      <c r="B727" s="3">
        <v>44103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f t="shared" si="11"/>
        <v>0</v>
      </c>
    </row>
    <row r="728" spans="2:14" hidden="1" x14ac:dyDescent="0.2">
      <c r="B728" s="3">
        <v>44104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f t="shared" si="11"/>
        <v>0</v>
      </c>
    </row>
    <row r="729" spans="2:14" hidden="1" x14ac:dyDescent="0.2">
      <c r="B729" s="3">
        <v>44105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f t="shared" si="11"/>
        <v>0</v>
      </c>
    </row>
    <row r="730" spans="2:14" hidden="1" x14ac:dyDescent="0.2">
      <c r="B730" s="3">
        <v>44106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f t="shared" si="11"/>
        <v>0</v>
      </c>
    </row>
    <row r="731" spans="2:14" hidden="1" x14ac:dyDescent="0.2">
      <c r="B731" s="3">
        <v>44107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f t="shared" si="11"/>
        <v>0</v>
      </c>
    </row>
    <row r="732" spans="2:14" hidden="1" x14ac:dyDescent="0.2">
      <c r="B732" s="3">
        <v>44108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f t="shared" si="11"/>
        <v>0</v>
      </c>
    </row>
    <row r="733" spans="2:14" hidden="1" x14ac:dyDescent="0.2">
      <c r="B733" s="3">
        <v>44109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f t="shared" si="11"/>
        <v>0</v>
      </c>
    </row>
    <row r="734" spans="2:14" hidden="1" x14ac:dyDescent="0.2">
      <c r="B734" s="3">
        <v>44110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f t="shared" si="11"/>
        <v>0</v>
      </c>
    </row>
    <row r="735" spans="2:14" hidden="1" x14ac:dyDescent="0.2">
      <c r="B735" s="3">
        <v>44111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f t="shared" si="11"/>
        <v>0</v>
      </c>
    </row>
    <row r="736" spans="2:14" hidden="1" x14ac:dyDescent="0.2">
      <c r="B736" s="3">
        <v>44112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f t="shared" si="11"/>
        <v>0</v>
      </c>
    </row>
    <row r="737" spans="2:14" hidden="1" x14ac:dyDescent="0.2">
      <c r="B737" s="3">
        <v>44113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f t="shared" si="11"/>
        <v>0</v>
      </c>
    </row>
    <row r="738" spans="2:14" hidden="1" x14ac:dyDescent="0.2">
      <c r="B738" s="3">
        <v>45094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f t="shared" si="11"/>
        <v>0</v>
      </c>
    </row>
    <row r="739" spans="2:14" hidden="1" x14ac:dyDescent="0.2">
      <c r="B739" s="3">
        <v>45095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f t="shared" si="11"/>
        <v>0</v>
      </c>
    </row>
    <row r="740" spans="2:14" hidden="1" x14ac:dyDescent="0.2">
      <c r="B740" s="3">
        <v>45096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f t="shared" si="11"/>
        <v>0</v>
      </c>
    </row>
    <row r="741" spans="2:14" hidden="1" x14ac:dyDescent="0.2">
      <c r="B741" s="3">
        <v>45097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f t="shared" si="11"/>
        <v>0</v>
      </c>
    </row>
    <row r="742" spans="2:14" hidden="1" x14ac:dyDescent="0.2">
      <c r="B742" s="3">
        <v>45098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f t="shared" si="11"/>
        <v>0</v>
      </c>
    </row>
    <row r="743" spans="2:14" hidden="1" x14ac:dyDescent="0.2">
      <c r="B743" s="3">
        <v>45099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f t="shared" si="11"/>
        <v>0</v>
      </c>
    </row>
    <row r="744" spans="2:14" hidden="1" x14ac:dyDescent="0.2">
      <c r="B744" s="3">
        <v>45100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f t="shared" si="11"/>
        <v>0</v>
      </c>
    </row>
    <row r="745" spans="2:14" hidden="1" x14ac:dyDescent="0.2">
      <c r="B745" s="3">
        <v>45101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f t="shared" si="11"/>
        <v>0</v>
      </c>
    </row>
    <row r="746" spans="2:14" hidden="1" x14ac:dyDescent="0.2">
      <c r="B746" s="3">
        <v>45102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f t="shared" si="11"/>
        <v>0</v>
      </c>
    </row>
    <row r="747" spans="2:14" hidden="1" x14ac:dyDescent="0.2">
      <c r="B747" s="3">
        <v>45103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f t="shared" si="11"/>
        <v>0</v>
      </c>
    </row>
    <row r="748" spans="2:14" hidden="1" x14ac:dyDescent="0.2">
      <c r="B748" s="3">
        <v>45104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f t="shared" si="11"/>
        <v>0</v>
      </c>
    </row>
    <row r="749" spans="2:14" hidden="1" x14ac:dyDescent="0.2">
      <c r="B749" s="3">
        <v>45105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f t="shared" si="11"/>
        <v>0</v>
      </c>
    </row>
    <row r="750" spans="2:14" hidden="1" x14ac:dyDescent="0.2">
      <c r="B750" s="3">
        <v>45106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f t="shared" si="11"/>
        <v>0</v>
      </c>
    </row>
    <row r="751" spans="2:14" hidden="1" x14ac:dyDescent="0.2">
      <c r="B751" s="3">
        <v>45107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f t="shared" si="11"/>
        <v>0</v>
      </c>
    </row>
    <row r="752" spans="2:14" hidden="1" x14ac:dyDescent="0.2">
      <c r="B752" s="3">
        <v>45108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f t="shared" si="11"/>
        <v>0</v>
      </c>
    </row>
    <row r="753" spans="2:14" hidden="1" x14ac:dyDescent="0.2">
      <c r="B753" s="3">
        <v>45109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f t="shared" si="11"/>
        <v>0</v>
      </c>
    </row>
    <row r="754" spans="2:14" hidden="1" x14ac:dyDescent="0.2">
      <c r="B754" s="3">
        <v>45110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f t="shared" si="11"/>
        <v>0</v>
      </c>
    </row>
    <row r="755" spans="2:14" hidden="1" x14ac:dyDescent="0.2">
      <c r="B755" s="3">
        <v>45111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f t="shared" si="11"/>
        <v>0</v>
      </c>
    </row>
    <row r="756" spans="2:14" hidden="1" x14ac:dyDescent="0.2">
      <c r="B756" s="3">
        <v>45112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f t="shared" si="11"/>
        <v>0</v>
      </c>
    </row>
    <row r="757" spans="2:14" hidden="1" x14ac:dyDescent="0.2">
      <c r="B757" s="3">
        <v>45113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f t="shared" si="11"/>
        <v>0</v>
      </c>
    </row>
    <row r="758" spans="2:14" hidden="1" x14ac:dyDescent="0.2">
      <c r="B758" s="3">
        <v>45114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f t="shared" si="11"/>
        <v>0</v>
      </c>
    </row>
    <row r="759" spans="2:14" hidden="1" x14ac:dyDescent="0.2">
      <c r="B759" s="3">
        <v>46096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f t="shared" si="11"/>
        <v>0</v>
      </c>
    </row>
    <row r="760" spans="2:14" hidden="1" x14ac:dyDescent="0.2">
      <c r="B760" s="3">
        <v>46097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f t="shared" si="11"/>
        <v>0</v>
      </c>
    </row>
    <row r="761" spans="2:14" hidden="1" x14ac:dyDescent="0.2">
      <c r="B761" s="3">
        <v>46098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f t="shared" si="11"/>
        <v>0</v>
      </c>
    </row>
    <row r="762" spans="2:14" hidden="1" x14ac:dyDescent="0.2">
      <c r="B762" s="3">
        <v>46099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f t="shared" si="11"/>
        <v>0</v>
      </c>
    </row>
    <row r="763" spans="2:14" hidden="1" x14ac:dyDescent="0.2">
      <c r="B763" s="3">
        <v>46100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f t="shared" si="11"/>
        <v>0</v>
      </c>
    </row>
    <row r="764" spans="2:14" hidden="1" x14ac:dyDescent="0.2">
      <c r="B764" s="3">
        <v>46101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f t="shared" si="11"/>
        <v>0</v>
      </c>
    </row>
    <row r="765" spans="2:14" hidden="1" x14ac:dyDescent="0.2">
      <c r="B765" s="3">
        <v>46102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f t="shared" si="11"/>
        <v>0</v>
      </c>
    </row>
    <row r="766" spans="2:14" hidden="1" x14ac:dyDescent="0.2">
      <c r="B766" s="3">
        <v>46103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f t="shared" si="11"/>
        <v>0</v>
      </c>
    </row>
    <row r="767" spans="2:14" hidden="1" x14ac:dyDescent="0.2">
      <c r="B767" s="3">
        <v>46104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f t="shared" si="11"/>
        <v>0</v>
      </c>
    </row>
    <row r="768" spans="2:14" hidden="1" x14ac:dyDescent="0.2">
      <c r="B768" s="3">
        <v>46105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f t="shared" si="11"/>
        <v>0</v>
      </c>
    </row>
    <row r="769" spans="2:14" hidden="1" x14ac:dyDescent="0.2">
      <c r="B769" s="3">
        <v>46106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f t="shared" si="11"/>
        <v>0</v>
      </c>
    </row>
    <row r="770" spans="2:14" hidden="1" x14ac:dyDescent="0.2">
      <c r="B770" s="3">
        <v>46107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f t="shared" si="11"/>
        <v>0</v>
      </c>
    </row>
    <row r="771" spans="2:14" hidden="1" x14ac:dyDescent="0.2">
      <c r="B771" s="3">
        <v>46108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f t="shared" si="11"/>
        <v>0</v>
      </c>
    </row>
    <row r="772" spans="2:14" hidden="1" x14ac:dyDescent="0.2">
      <c r="B772" s="3">
        <v>46109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f t="shared" si="11"/>
        <v>0</v>
      </c>
    </row>
    <row r="773" spans="2:14" hidden="1" x14ac:dyDescent="0.2">
      <c r="B773" s="3">
        <v>46110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f t="shared" si="11"/>
        <v>0</v>
      </c>
    </row>
    <row r="774" spans="2:14" hidden="1" x14ac:dyDescent="0.2">
      <c r="B774" s="3">
        <v>46111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f t="shared" ref="N774:N837" si="12">SUM(C774:M774)</f>
        <v>0</v>
      </c>
    </row>
    <row r="775" spans="2:14" hidden="1" x14ac:dyDescent="0.2">
      <c r="B775" s="3">
        <v>46112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f t="shared" si="12"/>
        <v>0</v>
      </c>
    </row>
    <row r="776" spans="2:14" hidden="1" x14ac:dyDescent="0.2">
      <c r="B776" s="3">
        <v>46113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f t="shared" si="12"/>
        <v>0</v>
      </c>
    </row>
    <row r="777" spans="2:14" hidden="1" x14ac:dyDescent="0.2">
      <c r="B777" s="3">
        <v>46114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f t="shared" si="12"/>
        <v>0</v>
      </c>
    </row>
    <row r="778" spans="2:14" hidden="1" x14ac:dyDescent="0.2">
      <c r="B778" s="3">
        <v>46115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f t="shared" si="12"/>
        <v>0</v>
      </c>
    </row>
    <row r="779" spans="2:14" hidden="1" x14ac:dyDescent="0.2">
      <c r="B779" s="3">
        <v>46116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f t="shared" si="12"/>
        <v>0</v>
      </c>
    </row>
    <row r="780" spans="2:14" hidden="1" x14ac:dyDescent="0.2">
      <c r="B780" s="3">
        <v>46117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f t="shared" si="12"/>
        <v>0</v>
      </c>
    </row>
    <row r="781" spans="2:14" hidden="1" x14ac:dyDescent="0.2">
      <c r="B781" s="3">
        <v>46118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f t="shared" si="12"/>
        <v>0</v>
      </c>
    </row>
    <row r="782" spans="2:14" hidden="1" x14ac:dyDescent="0.2">
      <c r="B782" s="3">
        <v>47096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f t="shared" si="12"/>
        <v>0</v>
      </c>
    </row>
    <row r="783" spans="2:14" hidden="1" x14ac:dyDescent="0.2">
      <c r="B783" s="3">
        <v>47097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f t="shared" si="12"/>
        <v>0</v>
      </c>
    </row>
    <row r="784" spans="2:14" hidden="1" x14ac:dyDescent="0.2">
      <c r="B784" s="3">
        <v>47098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f t="shared" si="12"/>
        <v>0</v>
      </c>
    </row>
    <row r="785" spans="2:14" hidden="1" x14ac:dyDescent="0.2">
      <c r="B785" s="3">
        <v>47099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f t="shared" si="12"/>
        <v>0</v>
      </c>
    </row>
    <row r="786" spans="2:14" hidden="1" x14ac:dyDescent="0.2">
      <c r="B786" s="3">
        <v>47100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f t="shared" si="12"/>
        <v>0</v>
      </c>
    </row>
    <row r="787" spans="2:14" hidden="1" x14ac:dyDescent="0.2">
      <c r="B787" s="3">
        <v>47101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f t="shared" si="12"/>
        <v>0</v>
      </c>
    </row>
    <row r="788" spans="2:14" hidden="1" x14ac:dyDescent="0.2">
      <c r="B788" s="3">
        <v>47102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f t="shared" si="12"/>
        <v>0</v>
      </c>
    </row>
    <row r="789" spans="2:14" hidden="1" x14ac:dyDescent="0.2">
      <c r="B789" s="3">
        <v>47103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f t="shared" si="12"/>
        <v>0</v>
      </c>
    </row>
    <row r="790" spans="2:14" hidden="1" x14ac:dyDescent="0.2">
      <c r="B790" s="3">
        <v>47104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f t="shared" si="12"/>
        <v>0</v>
      </c>
    </row>
    <row r="791" spans="2:14" hidden="1" x14ac:dyDescent="0.2">
      <c r="B791" s="3">
        <v>47105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f t="shared" si="12"/>
        <v>0</v>
      </c>
    </row>
    <row r="792" spans="2:14" hidden="1" x14ac:dyDescent="0.2">
      <c r="B792" s="3">
        <v>47106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f t="shared" si="12"/>
        <v>0</v>
      </c>
    </row>
    <row r="793" spans="2:14" hidden="1" x14ac:dyDescent="0.2">
      <c r="B793" s="3">
        <v>47107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f t="shared" si="12"/>
        <v>0</v>
      </c>
    </row>
    <row r="794" spans="2:14" hidden="1" x14ac:dyDescent="0.2">
      <c r="B794" s="3">
        <v>47108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f t="shared" si="12"/>
        <v>0</v>
      </c>
    </row>
    <row r="795" spans="2:14" hidden="1" x14ac:dyDescent="0.2">
      <c r="B795" s="3">
        <v>47109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f t="shared" si="12"/>
        <v>0</v>
      </c>
    </row>
    <row r="796" spans="2:14" hidden="1" x14ac:dyDescent="0.2">
      <c r="B796" s="3">
        <v>47110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f t="shared" si="12"/>
        <v>0</v>
      </c>
    </row>
    <row r="797" spans="2:14" hidden="1" x14ac:dyDescent="0.2">
      <c r="B797" s="3">
        <v>47111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f t="shared" si="12"/>
        <v>0</v>
      </c>
    </row>
    <row r="798" spans="2:14" hidden="1" x14ac:dyDescent="0.2">
      <c r="B798" s="3">
        <v>47112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f t="shared" si="12"/>
        <v>0</v>
      </c>
    </row>
    <row r="799" spans="2:14" hidden="1" x14ac:dyDescent="0.2">
      <c r="B799" s="3">
        <v>47113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f t="shared" si="12"/>
        <v>0</v>
      </c>
    </row>
    <row r="800" spans="2:14" hidden="1" x14ac:dyDescent="0.2">
      <c r="B800" s="3">
        <v>47114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f t="shared" si="12"/>
        <v>0</v>
      </c>
    </row>
    <row r="801" spans="2:14" hidden="1" x14ac:dyDescent="0.2">
      <c r="B801" s="3">
        <v>47115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f t="shared" si="12"/>
        <v>0</v>
      </c>
    </row>
    <row r="802" spans="2:14" hidden="1" x14ac:dyDescent="0.2">
      <c r="B802" s="3">
        <v>47116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f t="shared" si="12"/>
        <v>0</v>
      </c>
    </row>
    <row r="803" spans="2:14" hidden="1" x14ac:dyDescent="0.2">
      <c r="B803" s="3">
        <v>47117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f t="shared" si="12"/>
        <v>0</v>
      </c>
    </row>
    <row r="804" spans="2:14" hidden="1" x14ac:dyDescent="0.2">
      <c r="B804" s="3">
        <v>47118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f t="shared" si="12"/>
        <v>0</v>
      </c>
    </row>
    <row r="805" spans="2:14" hidden="1" x14ac:dyDescent="0.2">
      <c r="B805" s="3">
        <v>47119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f t="shared" si="12"/>
        <v>0</v>
      </c>
    </row>
    <row r="806" spans="2:14" hidden="1" x14ac:dyDescent="0.2">
      <c r="B806" s="3">
        <v>47120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f t="shared" si="12"/>
        <v>0</v>
      </c>
    </row>
    <row r="807" spans="2:14" hidden="1" x14ac:dyDescent="0.2">
      <c r="B807" s="3">
        <v>47121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f t="shared" si="12"/>
        <v>0</v>
      </c>
    </row>
    <row r="808" spans="2:14" hidden="1" x14ac:dyDescent="0.2">
      <c r="B808" s="3">
        <v>47122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f t="shared" si="12"/>
        <v>0</v>
      </c>
    </row>
    <row r="809" spans="2:14" hidden="1" x14ac:dyDescent="0.2">
      <c r="B809" s="3">
        <v>47123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f t="shared" si="12"/>
        <v>0</v>
      </c>
    </row>
    <row r="810" spans="2:14" hidden="1" x14ac:dyDescent="0.2">
      <c r="B810" s="3">
        <v>48097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f t="shared" si="12"/>
        <v>0</v>
      </c>
    </row>
    <row r="811" spans="2:14" hidden="1" x14ac:dyDescent="0.2">
      <c r="B811" s="3">
        <v>48098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f t="shared" si="12"/>
        <v>0</v>
      </c>
    </row>
    <row r="812" spans="2:14" hidden="1" x14ac:dyDescent="0.2">
      <c r="B812" s="3">
        <v>48099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f t="shared" si="12"/>
        <v>0</v>
      </c>
    </row>
    <row r="813" spans="2:14" hidden="1" x14ac:dyDescent="0.2">
      <c r="B813" s="3">
        <v>48100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f t="shared" si="12"/>
        <v>0</v>
      </c>
    </row>
    <row r="814" spans="2:14" hidden="1" x14ac:dyDescent="0.2">
      <c r="B814" s="3">
        <v>48101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f t="shared" si="12"/>
        <v>0</v>
      </c>
    </row>
    <row r="815" spans="2:14" hidden="1" x14ac:dyDescent="0.2">
      <c r="B815" s="3">
        <v>48102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f t="shared" si="12"/>
        <v>0</v>
      </c>
    </row>
    <row r="816" spans="2:14" hidden="1" x14ac:dyDescent="0.2">
      <c r="B816" s="3">
        <v>48103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f t="shared" si="12"/>
        <v>0</v>
      </c>
    </row>
    <row r="817" spans="2:14" hidden="1" x14ac:dyDescent="0.2">
      <c r="B817" s="3">
        <v>48104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f t="shared" si="12"/>
        <v>0</v>
      </c>
    </row>
    <row r="818" spans="2:14" hidden="1" x14ac:dyDescent="0.2">
      <c r="B818" s="3">
        <v>48105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f t="shared" si="12"/>
        <v>0</v>
      </c>
    </row>
    <row r="819" spans="2:14" hidden="1" x14ac:dyDescent="0.2">
      <c r="B819" s="3">
        <v>48106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f t="shared" si="12"/>
        <v>0</v>
      </c>
    </row>
    <row r="820" spans="2:14" hidden="1" x14ac:dyDescent="0.2">
      <c r="B820" s="3">
        <v>48107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f t="shared" si="12"/>
        <v>0</v>
      </c>
    </row>
    <row r="821" spans="2:14" hidden="1" x14ac:dyDescent="0.2">
      <c r="B821" s="3">
        <v>48108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f t="shared" si="12"/>
        <v>0</v>
      </c>
    </row>
    <row r="822" spans="2:14" hidden="1" x14ac:dyDescent="0.2">
      <c r="B822" s="3">
        <v>48109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f t="shared" si="12"/>
        <v>0</v>
      </c>
    </row>
    <row r="823" spans="2:14" hidden="1" x14ac:dyDescent="0.2">
      <c r="B823" s="3">
        <v>48110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f t="shared" si="12"/>
        <v>0</v>
      </c>
    </row>
    <row r="824" spans="2:14" hidden="1" x14ac:dyDescent="0.2">
      <c r="B824" s="3">
        <v>48111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f t="shared" si="12"/>
        <v>0</v>
      </c>
    </row>
    <row r="825" spans="2:14" hidden="1" x14ac:dyDescent="0.2">
      <c r="B825" s="3">
        <v>48112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f t="shared" si="12"/>
        <v>0</v>
      </c>
    </row>
    <row r="826" spans="2:14" hidden="1" x14ac:dyDescent="0.2">
      <c r="B826" s="3">
        <v>48113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f t="shared" si="12"/>
        <v>0</v>
      </c>
    </row>
    <row r="827" spans="2:14" hidden="1" x14ac:dyDescent="0.2">
      <c r="B827" s="3">
        <v>48114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f t="shared" si="12"/>
        <v>0</v>
      </c>
    </row>
    <row r="828" spans="2:14" hidden="1" x14ac:dyDescent="0.2">
      <c r="B828" s="3">
        <v>48115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f t="shared" si="12"/>
        <v>0</v>
      </c>
    </row>
    <row r="829" spans="2:14" hidden="1" x14ac:dyDescent="0.2">
      <c r="B829" s="3">
        <v>48116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f t="shared" si="12"/>
        <v>0</v>
      </c>
    </row>
    <row r="830" spans="2:14" hidden="1" x14ac:dyDescent="0.2">
      <c r="B830" s="3">
        <v>48117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f t="shared" si="12"/>
        <v>0</v>
      </c>
    </row>
    <row r="831" spans="2:14" hidden="1" x14ac:dyDescent="0.2">
      <c r="B831" s="3">
        <v>48118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f t="shared" si="12"/>
        <v>0</v>
      </c>
    </row>
    <row r="832" spans="2:14" hidden="1" x14ac:dyDescent="0.2">
      <c r="B832" s="3">
        <v>48119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f t="shared" si="12"/>
        <v>0</v>
      </c>
    </row>
    <row r="833" spans="2:14" hidden="1" x14ac:dyDescent="0.2">
      <c r="B833" s="3">
        <v>48120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f t="shared" si="12"/>
        <v>0</v>
      </c>
    </row>
    <row r="834" spans="2:14" hidden="1" x14ac:dyDescent="0.2">
      <c r="B834" s="3">
        <v>48121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f t="shared" si="12"/>
        <v>0</v>
      </c>
    </row>
    <row r="835" spans="2:14" hidden="1" x14ac:dyDescent="0.2">
      <c r="B835" s="3">
        <v>48122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f t="shared" si="12"/>
        <v>0</v>
      </c>
    </row>
    <row r="836" spans="2:14" hidden="1" x14ac:dyDescent="0.2">
      <c r="B836" s="3">
        <v>48123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f t="shared" si="12"/>
        <v>0</v>
      </c>
    </row>
    <row r="837" spans="2:14" hidden="1" x14ac:dyDescent="0.2">
      <c r="B837" s="3">
        <v>48124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f t="shared" si="12"/>
        <v>0</v>
      </c>
    </row>
    <row r="838" spans="2:14" hidden="1" x14ac:dyDescent="0.2">
      <c r="B838" s="3">
        <v>48125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f t="shared" ref="N838:N901" si="13">SUM(C838:M838)</f>
        <v>0</v>
      </c>
    </row>
    <row r="839" spans="2:14" hidden="1" x14ac:dyDescent="0.2">
      <c r="B839" s="3">
        <v>48126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f t="shared" si="13"/>
        <v>0</v>
      </c>
    </row>
    <row r="840" spans="2:14" hidden="1" x14ac:dyDescent="0.2">
      <c r="B840" s="3">
        <v>49100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f t="shared" si="13"/>
        <v>0</v>
      </c>
    </row>
    <row r="841" spans="2:14" hidden="1" x14ac:dyDescent="0.2">
      <c r="B841" s="3">
        <v>49101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f t="shared" si="13"/>
        <v>0</v>
      </c>
    </row>
    <row r="842" spans="2:14" hidden="1" x14ac:dyDescent="0.2">
      <c r="B842" s="3">
        <v>49102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f t="shared" si="13"/>
        <v>0</v>
      </c>
    </row>
    <row r="843" spans="2:14" hidden="1" x14ac:dyDescent="0.2">
      <c r="B843" s="3">
        <v>49103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f t="shared" si="13"/>
        <v>0</v>
      </c>
    </row>
    <row r="844" spans="2:14" hidden="1" x14ac:dyDescent="0.2">
      <c r="B844" s="3">
        <v>49104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f t="shared" si="13"/>
        <v>0</v>
      </c>
    </row>
    <row r="845" spans="2:14" hidden="1" x14ac:dyDescent="0.2">
      <c r="B845" s="3">
        <v>49105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f t="shared" si="13"/>
        <v>0</v>
      </c>
    </row>
    <row r="846" spans="2:14" hidden="1" x14ac:dyDescent="0.2">
      <c r="B846" s="3">
        <v>49106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f t="shared" si="13"/>
        <v>0</v>
      </c>
    </row>
    <row r="847" spans="2:14" hidden="1" x14ac:dyDescent="0.2">
      <c r="B847" s="3">
        <v>49107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f t="shared" si="13"/>
        <v>0</v>
      </c>
    </row>
    <row r="848" spans="2:14" hidden="1" x14ac:dyDescent="0.2">
      <c r="B848" s="3">
        <v>49108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f t="shared" si="13"/>
        <v>0</v>
      </c>
    </row>
    <row r="849" spans="2:14" hidden="1" x14ac:dyDescent="0.2">
      <c r="B849" s="3">
        <v>49109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f t="shared" si="13"/>
        <v>0</v>
      </c>
    </row>
    <row r="850" spans="2:14" hidden="1" x14ac:dyDescent="0.2">
      <c r="B850" s="3">
        <v>49110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f t="shared" si="13"/>
        <v>0</v>
      </c>
    </row>
    <row r="851" spans="2:14" hidden="1" x14ac:dyDescent="0.2">
      <c r="B851" s="3">
        <v>49111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f t="shared" si="13"/>
        <v>0</v>
      </c>
    </row>
    <row r="852" spans="2:14" hidden="1" x14ac:dyDescent="0.2">
      <c r="B852" s="3">
        <v>49112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f t="shared" si="13"/>
        <v>0</v>
      </c>
    </row>
    <row r="853" spans="2:14" hidden="1" x14ac:dyDescent="0.2">
      <c r="B853" s="3">
        <v>49113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f t="shared" si="13"/>
        <v>0</v>
      </c>
    </row>
    <row r="854" spans="2:14" hidden="1" x14ac:dyDescent="0.2">
      <c r="B854" s="3">
        <v>49114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f t="shared" si="13"/>
        <v>0</v>
      </c>
    </row>
    <row r="855" spans="2:14" hidden="1" x14ac:dyDescent="0.2">
      <c r="B855" s="3">
        <v>49115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f t="shared" si="13"/>
        <v>0</v>
      </c>
    </row>
    <row r="856" spans="2:14" hidden="1" x14ac:dyDescent="0.2">
      <c r="B856" s="3">
        <v>49116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f t="shared" si="13"/>
        <v>0</v>
      </c>
    </row>
    <row r="857" spans="2:14" hidden="1" x14ac:dyDescent="0.2">
      <c r="B857" s="3">
        <v>49117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f t="shared" si="13"/>
        <v>0</v>
      </c>
    </row>
    <row r="858" spans="2:14" hidden="1" x14ac:dyDescent="0.2">
      <c r="B858" s="3">
        <v>49118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f t="shared" si="13"/>
        <v>0</v>
      </c>
    </row>
    <row r="859" spans="2:14" hidden="1" x14ac:dyDescent="0.2">
      <c r="B859" s="3">
        <v>49119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f t="shared" si="13"/>
        <v>0</v>
      </c>
    </row>
    <row r="860" spans="2:14" hidden="1" x14ac:dyDescent="0.2">
      <c r="B860" s="3">
        <v>49120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f t="shared" si="13"/>
        <v>0</v>
      </c>
    </row>
    <row r="861" spans="2:14" hidden="1" x14ac:dyDescent="0.2">
      <c r="B861" s="3">
        <v>49121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f t="shared" si="13"/>
        <v>0</v>
      </c>
    </row>
    <row r="862" spans="2:14" hidden="1" x14ac:dyDescent="0.2">
      <c r="B862" s="3">
        <v>49122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f t="shared" si="13"/>
        <v>0</v>
      </c>
    </row>
    <row r="863" spans="2:14" hidden="1" x14ac:dyDescent="0.2">
      <c r="B863" s="3">
        <v>49123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f t="shared" si="13"/>
        <v>0</v>
      </c>
    </row>
    <row r="864" spans="2:14" hidden="1" x14ac:dyDescent="0.2">
      <c r="B864" s="3">
        <v>49124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f t="shared" si="13"/>
        <v>0</v>
      </c>
    </row>
    <row r="865" spans="2:14" hidden="1" x14ac:dyDescent="0.2">
      <c r="B865" s="3">
        <v>49125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f t="shared" si="13"/>
        <v>0</v>
      </c>
    </row>
    <row r="866" spans="2:14" hidden="1" x14ac:dyDescent="0.2">
      <c r="B866" s="3">
        <v>49126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f t="shared" si="13"/>
        <v>0</v>
      </c>
    </row>
    <row r="867" spans="2:14" hidden="1" x14ac:dyDescent="0.2">
      <c r="B867" s="3">
        <v>49127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f t="shared" si="13"/>
        <v>0</v>
      </c>
    </row>
    <row r="868" spans="2:14" hidden="1" x14ac:dyDescent="0.2">
      <c r="B868" s="3">
        <v>49128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f t="shared" si="13"/>
        <v>0</v>
      </c>
    </row>
    <row r="869" spans="2:14" hidden="1" x14ac:dyDescent="0.2">
      <c r="B869" s="3">
        <v>49129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f t="shared" si="13"/>
        <v>0</v>
      </c>
    </row>
    <row r="870" spans="2:14" hidden="1" x14ac:dyDescent="0.2">
      <c r="B870" s="3">
        <v>49130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f t="shared" si="13"/>
        <v>0</v>
      </c>
    </row>
    <row r="871" spans="2:14" hidden="1" x14ac:dyDescent="0.2">
      <c r="B871" s="3">
        <v>49131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f t="shared" si="13"/>
        <v>0</v>
      </c>
    </row>
    <row r="872" spans="2:14" hidden="1" x14ac:dyDescent="0.2">
      <c r="B872" s="3">
        <v>49132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f t="shared" si="13"/>
        <v>0</v>
      </c>
    </row>
    <row r="873" spans="2:14" hidden="1" x14ac:dyDescent="0.2">
      <c r="B873" s="3">
        <v>50103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f t="shared" si="13"/>
        <v>0</v>
      </c>
    </row>
    <row r="874" spans="2:14" hidden="1" x14ac:dyDescent="0.2">
      <c r="B874" s="3">
        <v>50104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f t="shared" si="13"/>
        <v>0</v>
      </c>
    </row>
    <row r="875" spans="2:14" hidden="1" x14ac:dyDescent="0.2">
      <c r="B875" s="3">
        <v>50105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f t="shared" si="13"/>
        <v>0</v>
      </c>
    </row>
    <row r="876" spans="2:14" hidden="1" x14ac:dyDescent="0.2">
      <c r="B876" s="3">
        <v>50106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f t="shared" si="13"/>
        <v>0</v>
      </c>
    </row>
    <row r="877" spans="2:14" hidden="1" x14ac:dyDescent="0.2">
      <c r="B877" s="3">
        <v>50107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f t="shared" si="13"/>
        <v>0</v>
      </c>
    </row>
    <row r="878" spans="2:14" hidden="1" x14ac:dyDescent="0.2">
      <c r="B878" s="3">
        <v>50108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f t="shared" si="13"/>
        <v>0</v>
      </c>
    </row>
    <row r="879" spans="2:14" hidden="1" x14ac:dyDescent="0.2">
      <c r="B879" s="3">
        <v>50109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f t="shared" si="13"/>
        <v>0</v>
      </c>
    </row>
    <row r="880" spans="2:14" hidden="1" x14ac:dyDescent="0.2">
      <c r="B880" s="3">
        <v>50110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f t="shared" si="13"/>
        <v>0</v>
      </c>
    </row>
    <row r="881" spans="2:14" hidden="1" x14ac:dyDescent="0.2">
      <c r="B881" s="3">
        <v>50111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f t="shared" si="13"/>
        <v>0</v>
      </c>
    </row>
    <row r="882" spans="2:14" hidden="1" x14ac:dyDescent="0.2">
      <c r="B882" s="3">
        <v>50112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f t="shared" si="13"/>
        <v>0</v>
      </c>
    </row>
    <row r="883" spans="2:14" hidden="1" x14ac:dyDescent="0.2">
      <c r="B883" s="3">
        <v>50113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f t="shared" si="13"/>
        <v>0</v>
      </c>
    </row>
    <row r="884" spans="2:14" hidden="1" x14ac:dyDescent="0.2">
      <c r="B884" s="3">
        <v>50114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f t="shared" si="13"/>
        <v>0</v>
      </c>
    </row>
    <row r="885" spans="2:14" hidden="1" x14ac:dyDescent="0.2">
      <c r="B885" s="3">
        <v>50115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f t="shared" si="13"/>
        <v>0</v>
      </c>
    </row>
    <row r="886" spans="2:14" hidden="1" x14ac:dyDescent="0.2">
      <c r="B886" s="3">
        <v>50116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f t="shared" si="13"/>
        <v>0</v>
      </c>
    </row>
    <row r="887" spans="2:14" hidden="1" x14ac:dyDescent="0.2">
      <c r="B887" s="3">
        <v>50117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f t="shared" si="13"/>
        <v>0</v>
      </c>
    </row>
    <row r="888" spans="2:14" hidden="1" x14ac:dyDescent="0.2">
      <c r="B888" s="3">
        <v>50118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f t="shared" si="13"/>
        <v>0</v>
      </c>
    </row>
    <row r="889" spans="2:14" hidden="1" x14ac:dyDescent="0.2">
      <c r="B889" s="3">
        <v>50119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f t="shared" si="13"/>
        <v>0</v>
      </c>
    </row>
    <row r="890" spans="2:14" hidden="1" x14ac:dyDescent="0.2">
      <c r="B890" s="3">
        <v>50120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f t="shared" si="13"/>
        <v>0</v>
      </c>
    </row>
    <row r="891" spans="2:14" hidden="1" x14ac:dyDescent="0.2">
      <c r="B891" s="3">
        <v>50121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f t="shared" si="13"/>
        <v>0</v>
      </c>
    </row>
    <row r="892" spans="2:14" hidden="1" x14ac:dyDescent="0.2">
      <c r="B892" s="3">
        <v>50122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f t="shared" si="13"/>
        <v>0</v>
      </c>
    </row>
    <row r="893" spans="2:14" hidden="1" x14ac:dyDescent="0.2">
      <c r="B893" s="3">
        <v>50123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f t="shared" si="13"/>
        <v>0</v>
      </c>
    </row>
    <row r="894" spans="2:14" hidden="1" x14ac:dyDescent="0.2">
      <c r="B894" s="3">
        <v>50124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f t="shared" si="13"/>
        <v>0</v>
      </c>
    </row>
    <row r="895" spans="2:14" hidden="1" x14ac:dyDescent="0.2">
      <c r="B895" s="3">
        <v>50125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f t="shared" si="13"/>
        <v>0</v>
      </c>
    </row>
    <row r="896" spans="2:14" hidden="1" x14ac:dyDescent="0.2">
      <c r="B896" s="3">
        <v>50126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f t="shared" si="13"/>
        <v>0</v>
      </c>
    </row>
    <row r="897" spans="2:14" hidden="1" x14ac:dyDescent="0.2">
      <c r="B897" s="3">
        <v>50127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f t="shared" si="13"/>
        <v>0</v>
      </c>
    </row>
    <row r="898" spans="2:14" hidden="1" x14ac:dyDescent="0.2">
      <c r="B898" s="3">
        <v>50128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f t="shared" si="13"/>
        <v>0</v>
      </c>
    </row>
    <row r="899" spans="2:14" hidden="1" x14ac:dyDescent="0.2">
      <c r="B899" s="3">
        <v>50129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f t="shared" si="13"/>
        <v>0</v>
      </c>
    </row>
    <row r="900" spans="2:14" hidden="1" x14ac:dyDescent="0.2">
      <c r="B900" s="3">
        <v>50130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f t="shared" si="13"/>
        <v>0</v>
      </c>
    </row>
    <row r="901" spans="2:14" hidden="1" x14ac:dyDescent="0.2">
      <c r="B901" s="3">
        <v>50131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f t="shared" si="13"/>
        <v>0</v>
      </c>
    </row>
    <row r="902" spans="2:14" hidden="1" x14ac:dyDescent="0.2">
      <c r="B902" s="3">
        <v>50132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f t="shared" ref="N902:N965" si="14">SUM(C902:M902)</f>
        <v>0</v>
      </c>
    </row>
    <row r="903" spans="2:14" hidden="1" x14ac:dyDescent="0.2">
      <c r="B903" s="3">
        <v>50133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f t="shared" si="14"/>
        <v>0</v>
      </c>
    </row>
    <row r="904" spans="2:14" hidden="1" x14ac:dyDescent="0.2">
      <c r="B904" s="3">
        <v>50134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f t="shared" si="14"/>
        <v>0</v>
      </c>
    </row>
    <row r="905" spans="2:14" hidden="1" x14ac:dyDescent="0.2">
      <c r="B905" s="3">
        <v>51108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f t="shared" si="14"/>
        <v>0</v>
      </c>
    </row>
    <row r="906" spans="2:14" hidden="1" x14ac:dyDescent="0.2">
      <c r="B906" s="3">
        <v>51109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f t="shared" si="14"/>
        <v>0</v>
      </c>
    </row>
    <row r="907" spans="2:14" hidden="1" x14ac:dyDescent="0.2">
      <c r="B907" s="3">
        <v>51110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f t="shared" si="14"/>
        <v>0</v>
      </c>
    </row>
    <row r="908" spans="2:14" hidden="1" x14ac:dyDescent="0.2">
      <c r="B908" s="3">
        <v>51111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f t="shared" si="14"/>
        <v>0</v>
      </c>
    </row>
    <row r="909" spans="2:14" hidden="1" x14ac:dyDescent="0.2">
      <c r="B909" s="3">
        <v>51112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f t="shared" si="14"/>
        <v>0</v>
      </c>
    </row>
    <row r="910" spans="2:14" hidden="1" x14ac:dyDescent="0.2">
      <c r="B910" s="3">
        <v>51113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f t="shared" si="14"/>
        <v>0</v>
      </c>
    </row>
    <row r="911" spans="2:14" hidden="1" x14ac:dyDescent="0.2">
      <c r="B911" s="3">
        <v>51114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f t="shared" si="14"/>
        <v>0</v>
      </c>
    </row>
    <row r="912" spans="2:14" hidden="1" x14ac:dyDescent="0.2">
      <c r="B912" s="3">
        <v>51115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f t="shared" si="14"/>
        <v>0</v>
      </c>
    </row>
    <row r="913" spans="2:14" hidden="1" x14ac:dyDescent="0.2">
      <c r="B913" s="3">
        <v>51116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f t="shared" si="14"/>
        <v>0</v>
      </c>
    </row>
    <row r="914" spans="2:14" hidden="1" x14ac:dyDescent="0.2">
      <c r="B914" s="3">
        <v>51117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f t="shared" si="14"/>
        <v>0</v>
      </c>
    </row>
    <row r="915" spans="2:14" hidden="1" x14ac:dyDescent="0.2">
      <c r="B915" s="3">
        <v>51118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f t="shared" si="14"/>
        <v>0</v>
      </c>
    </row>
    <row r="916" spans="2:14" hidden="1" x14ac:dyDescent="0.2">
      <c r="B916" s="3">
        <v>51119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f t="shared" si="14"/>
        <v>0</v>
      </c>
    </row>
    <row r="917" spans="2:14" hidden="1" x14ac:dyDescent="0.2">
      <c r="B917" s="3">
        <v>51120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f t="shared" si="14"/>
        <v>0</v>
      </c>
    </row>
    <row r="918" spans="2:14" hidden="1" x14ac:dyDescent="0.2">
      <c r="B918" s="3">
        <v>51121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f t="shared" si="14"/>
        <v>0</v>
      </c>
    </row>
    <row r="919" spans="2:14" hidden="1" x14ac:dyDescent="0.2">
      <c r="B919" s="3">
        <v>51122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f t="shared" si="14"/>
        <v>0</v>
      </c>
    </row>
    <row r="920" spans="2:14" hidden="1" x14ac:dyDescent="0.2">
      <c r="B920" s="3">
        <v>51123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f t="shared" si="14"/>
        <v>0</v>
      </c>
    </row>
    <row r="921" spans="2:14" hidden="1" x14ac:dyDescent="0.2">
      <c r="B921" s="3">
        <v>51124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f t="shared" si="14"/>
        <v>0</v>
      </c>
    </row>
    <row r="922" spans="2:14" hidden="1" x14ac:dyDescent="0.2">
      <c r="B922" s="3">
        <v>51125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f t="shared" si="14"/>
        <v>0</v>
      </c>
    </row>
    <row r="923" spans="2:14" hidden="1" x14ac:dyDescent="0.2">
      <c r="B923" s="3">
        <v>51126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f t="shared" si="14"/>
        <v>0</v>
      </c>
    </row>
    <row r="924" spans="2:14" hidden="1" x14ac:dyDescent="0.2">
      <c r="B924" s="3">
        <v>51127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f t="shared" si="14"/>
        <v>0</v>
      </c>
    </row>
    <row r="925" spans="2:14" hidden="1" x14ac:dyDescent="0.2">
      <c r="B925" s="3">
        <v>51128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f t="shared" si="14"/>
        <v>0</v>
      </c>
    </row>
    <row r="926" spans="2:14" hidden="1" x14ac:dyDescent="0.2">
      <c r="B926" s="3">
        <v>51129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f t="shared" si="14"/>
        <v>0</v>
      </c>
    </row>
    <row r="927" spans="2:14" hidden="1" x14ac:dyDescent="0.2">
      <c r="B927" s="3">
        <v>51130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f t="shared" si="14"/>
        <v>0</v>
      </c>
    </row>
    <row r="928" spans="2:14" hidden="1" x14ac:dyDescent="0.2">
      <c r="B928" s="3">
        <v>51131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f t="shared" si="14"/>
        <v>0</v>
      </c>
    </row>
    <row r="929" spans="2:14" hidden="1" x14ac:dyDescent="0.2">
      <c r="B929" s="3">
        <v>51132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f t="shared" si="14"/>
        <v>0</v>
      </c>
    </row>
    <row r="930" spans="2:14" hidden="1" x14ac:dyDescent="0.2">
      <c r="B930" s="3">
        <v>51133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f t="shared" si="14"/>
        <v>0</v>
      </c>
    </row>
    <row r="931" spans="2:14" hidden="1" x14ac:dyDescent="0.2">
      <c r="B931" s="3">
        <v>51134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f t="shared" si="14"/>
        <v>0</v>
      </c>
    </row>
    <row r="932" spans="2:14" hidden="1" x14ac:dyDescent="0.2">
      <c r="B932" s="3">
        <v>51135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f t="shared" si="14"/>
        <v>0</v>
      </c>
    </row>
    <row r="933" spans="2:14" hidden="1" x14ac:dyDescent="0.2">
      <c r="B933" s="3">
        <v>51136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f t="shared" si="14"/>
        <v>0</v>
      </c>
    </row>
    <row r="934" spans="2:14" hidden="1" x14ac:dyDescent="0.2">
      <c r="B934" s="3">
        <v>52106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f t="shared" si="14"/>
        <v>0</v>
      </c>
    </row>
    <row r="935" spans="2:14" hidden="1" x14ac:dyDescent="0.2">
      <c r="B935" s="3">
        <v>52107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f t="shared" si="14"/>
        <v>0</v>
      </c>
    </row>
    <row r="936" spans="2:14" hidden="1" x14ac:dyDescent="0.2">
      <c r="B936" s="3">
        <v>52108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f t="shared" si="14"/>
        <v>0</v>
      </c>
    </row>
    <row r="937" spans="2:14" hidden="1" x14ac:dyDescent="0.2">
      <c r="B937" s="3">
        <v>52109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f t="shared" si="14"/>
        <v>0</v>
      </c>
    </row>
    <row r="938" spans="2:14" hidden="1" x14ac:dyDescent="0.2">
      <c r="B938" s="3">
        <v>52110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f t="shared" si="14"/>
        <v>0</v>
      </c>
    </row>
    <row r="939" spans="2:14" hidden="1" x14ac:dyDescent="0.2">
      <c r="B939" s="3">
        <v>52111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f t="shared" si="14"/>
        <v>0</v>
      </c>
    </row>
    <row r="940" spans="2:14" hidden="1" x14ac:dyDescent="0.2">
      <c r="B940" s="3">
        <v>52112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f t="shared" si="14"/>
        <v>0</v>
      </c>
    </row>
    <row r="941" spans="2:14" hidden="1" x14ac:dyDescent="0.2">
      <c r="B941" s="3">
        <v>52113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f t="shared" si="14"/>
        <v>0</v>
      </c>
    </row>
    <row r="942" spans="2:14" hidden="1" x14ac:dyDescent="0.2">
      <c r="B942" s="3">
        <v>52114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f t="shared" si="14"/>
        <v>0</v>
      </c>
    </row>
    <row r="943" spans="2:14" hidden="1" x14ac:dyDescent="0.2">
      <c r="B943" s="3">
        <v>52115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f t="shared" si="14"/>
        <v>0</v>
      </c>
    </row>
    <row r="944" spans="2:14" hidden="1" x14ac:dyDescent="0.2">
      <c r="B944" s="3">
        <v>52116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f t="shared" si="14"/>
        <v>0</v>
      </c>
    </row>
    <row r="945" spans="2:14" hidden="1" x14ac:dyDescent="0.2">
      <c r="B945" s="3">
        <v>52117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f t="shared" si="14"/>
        <v>0</v>
      </c>
    </row>
    <row r="946" spans="2:14" hidden="1" x14ac:dyDescent="0.2">
      <c r="B946" s="3">
        <v>52118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f t="shared" si="14"/>
        <v>0</v>
      </c>
    </row>
    <row r="947" spans="2:14" hidden="1" x14ac:dyDescent="0.2">
      <c r="B947" s="3">
        <v>52119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f t="shared" si="14"/>
        <v>0</v>
      </c>
    </row>
    <row r="948" spans="2:14" hidden="1" x14ac:dyDescent="0.2">
      <c r="B948" s="3">
        <v>52120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f t="shared" si="14"/>
        <v>0</v>
      </c>
    </row>
    <row r="949" spans="2:14" hidden="1" x14ac:dyDescent="0.2">
      <c r="B949" s="3">
        <v>52121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f t="shared" si="14"/>
        <v>0</v>
      </c>
    </row>
    <row r="950" spans="2:14" hidden="1" x14ac:dyDescent="0.2">
      <c r="B950" s="3">
        <v>52122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f t="shared" si="14"/>
        <v>0</v>
      </c>
    </row>
    <row r="951" spans="2:14" hidden="1" x14ac:dyDescent="0.2">
      <c r="B951" s="3">
        <v>52123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f t="shared" si="14"/>
        <v>0</v>
      </c>
    </row>
    <row r="952" spans="2:14" hidden="1" x14ac:dyDescent="0.2">
      <c r="B952" s="3">
        <v>52124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f t="shared" si="14"/>
        <v>0</v>
      </c>
    </row>
    <row r="953" spans="2:14" hidden="1" x14ac:dyDescent="0.2">
      <c r="B953" s="3">
        <v>52125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f t="shared" si="14"/>
        <v>0</v>
      </c>
    </row>
    <row r="954" spans="2:14" hidden="1" x14ac:dyDescent="0.2">
      <c r="B954" s="3">
        <v>52126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f t="shared" si="14"/>
        <v>0</v>
      </c>
    </row>
    <row r="955" spans="2:14" hidden="1" x14ac:dyDescent="0.2">
      <c r="B955" s="3">
        <v>52127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f t="shared" si="14"/>
        <v>0</v>
      </c>
    </row>
    <row r="956" spans="2:14" hidden="1" x14ac:dyDescent="0.2">
      <c r="B956" s="3">
        <v>52128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f t="shared" si="14"/>
        <v>0</v>
      </c>
    </row>
    <row r="957" spans="2:14" hidden="1" x14ac:dyDescent="0.2">
      <c r="B957" s="3">
        <v>52129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f t="shared" si="14"/>
        <v>0</v>
      </c>
    </row>
    <row r="958" spans="2:14" hidden="1" x14ac:dyDescent="0.2">
      <c r="B958" s="3">
        <v>52130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f t="shared" si="14"/>
        <v>0</v>
      </c>
    </row>
    <row r="959" spans="2:14" hidden="1" x14ac:dyDescent="0.2">
      <c r="B959" s="3">
        <v>52131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f t="shared" si="14"/>
        <v>0</v>
      </c>
    </row>
    <row r="960" spans="2:14" hidden="1" x14ac:dyDescent="0.2">
      <c r="B960" s="3">
        <v>52132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f t="shared" si="14"/>
        <v>0</v>
      </c>
    </row>
    <row r="961" spans="2:14" hidden="1" x14ac:dyDescent="0.2">
      <c r="B961" s="3">
        <v>52133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f t="shared" si="14"/>
        <v>0</v>
      </c>
    </row>
    <row r="962" spans="2:14" hidden="1" x14ac:dyDescent="0.2">
      <c r="B962" s="3">
        <v>52134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f t="shared" si="14"/>
        <v>0</v>
      </c>
    </row>
    <row r="963" spans="2:14" hidden="1" x14ac:dyDescent="0.2">
      <c r="B963" s="3">
        <v>52135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f t="shared" si="14"/>
        <v>0</v>
      </c>
    </row>
    <row r="964" spans="2:14" hidden="1" x14ac:dyDescent="0.2">
      <c r="B964" s="3">
        <v>52136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f t="shared" si="14"/>
        <v>0</v>
      </c>
    </row>
    <row r="965" spans="2:14" hidden="1" x14ac:dyDescent="0.2">
      <c r="B965" s="3">
        <v>52137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f t="shared" si="14"/>
        <v>0</v>
      </c>
    </row>
    <row r="966" spans="2:14" hidden="1" x14ac:dyDescent="0.2">
      <c r="B966" s="3">
        <v>52138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f t="shared" ref="N966:N1029" si="15">SUM(C966:M966)</f>
        <v>0</v>
      </c>
    </row>
    <row r="967" spans="2:14" hidden="1" x14ac:dyDescent="0.2">
      <c r="B967" s="3">
        <v>53110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f t="shared" si="15"/>
        <v>0</v>
      </c>
    </row>
    <row r="968" spans="2:14" hidden="1" x14ac:dyDescent="0.2">
      <c r="B968" s="3">
        <v>53111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f t="shared" si="15"/>
        <v>0</v>
      </c>
    </row>
    <row r="969" spans="2:14" hidden="1" x14ac:dyDescent="0.2">
      <c r="B969" s="3">
        <v>53112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f t="shared" si="15"/>
        <v>0</v>
      </c>
    </row>
    <row r="970" spans="2:14" hidden="1" x14ac:dyDescent="0.2">
      <c r="B970" s="3">
        <v>53113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f t="shared" si="15"/>
        <v>0</v>
      </c>
    </row>
    <row r="971" spans="2:14" hidden="1" x14ac:dyDescent="0.2">
      <c r="B971" s="3">
        <v>53114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f t="shared" si="15"/>
        <v>0</v>
      </c>
    </row>
    <row r="972" spans="2:14" hidden="1" x14ac:dyDescent="0.2">
      <c r="B972" s="3">
        <v>53115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f t="shared" si="15"/>
        <v>0</v>
      </c>
    </row>
    <row r="973" spans="2:14" hidden="1" x14ac:dyDescent="0.2">
      <c r="B973" s="3">
        <v>53116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f t="shared" si="15"/>
        <v>0</v>
      </c>
    </row>
    <row r="974" spans="2:14" hidden="1" x14ac:dyDescent="0.2">
      <c r="B974" s="3">
        <v>53117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f t="shared" si="15"/>
        <v>0</v>
      </c>
    </row>
    <row r="975" spans="2:14" hidden="1" x14ac:dyDescent="0.2">
      <c r="B975" s="3">
        <v>53118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f t="shared" si="15"/>
        <v>0</v>
      </c>
    </row>
    <row r="976" spans="2:14" hidden="1" x14ac:dyDescent="0.2">
      <c r="B976" s="3">
        <v>53119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f t="shared" si="15"/>
        <v>0</v>
      </c>
    </row>
    <row r="977" spans="2:14" hidden="1" x14ac:dyDescent="0.2">
      <c r="B977" s="3">
        <v>53120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f t="shared" si="15"/>
        <v>0</v>
      </c>
    </row>
    <row r="978" spans="2:14" hidden="1" x14ac:dyDescent="0.2">
      <c r="B978" s="3">
        <v>53121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f t="shared" si="15"/>
        <v>0</v>
      </c>
    </row>
    <row r="979" spans="2:14" hidden="1" x14ac:dyDescent="0.2">
      <c r="B979" s="3">
        <v>53122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f t="shared" si="15"/>
        <v>0</v>
      </c>
    </row>
    <row r="980" spans="2:14" hidden="1" x14ac:dyDescent="0.2">
      <c r="B980" s="3">
        <v>53123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f t="shared" si="15"/>
        <v>0</v>
      </c>
    </row>
    <row r="981" spans="2:14" hidden="1" x14ac:dyDescent="0.2">
      <c r="B981" s="3">
        <v>53124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f t="shared" si="15"/>
        <v>0</v>
      </c>
    </row>
    <row r="982" spans="2:14" hidden="1" x14ac:dyDescent="0.2">
      <c r="B982" s="3">
        <v>53125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f t="shared" si="15"/>
        <v>0</v>
      </c>
    </row>
    <row r="983" spans="2:14" hidden="1" x14ac:dyDescent="0.2">
      <c r="B983" s="3">
        <v>53126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f t="shared" si="15"/>
        <v>0</v>
      </c>
    </row>
    <row r="984" spans="2:14" hidden="1" x14ac:dyDescent="0.2">
      <c r="B984" s="3">
        <v>53127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f t="shared" si="15"/>
        <v>0</v>
      </c>
    </row>
    <row r="985" spans="2:14" hidden="1" x14ac:dyDescent="0.2">
      <c r="B985" s="3">
        <v>53128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f t="shared" si="15"/>
        <v>0</v>
      </c>
    </row>
    <row r="986" spans="2:14" hidden="1" x14ac:dyDescent="0.2">
      <c r="B986" s="3">
        <v>53129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f t="shared" si="15"/>
        <v>0</v>
      </c>
    </row>
    <row r="987" spans="2:14" hidden="1" x14ac:dyDescent="0.2">
      <c r="B987" s="3">
        <v>53130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f t="shared" si="15"/>
        <v>0</v>
      </c>
    </row>
    <row r="988" spans="2:14" hidden="1" x14ac:dyDescent="0.2">
      <c r="B988" s="3">
        <v>53131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f t="shared" si="15"/>
        <v>0</v>
      </c>
    </row>
    <row r="989" spans="2:14" hidden="1" x14ac:dyDescent="0.2">
      <c r="B989" s="3">
        <v>53132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f t="shared" si="15"/>
        <v>0</v>
      </c>
    </row>
    <row r="990" spans="2:14" hidden="1" x14ac:dyDescent="0.2">
      <c r="B990" s="3">
        <v>53133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f t="shared" si="15"/>
        <v>0</v>
      </c>
    </row>
    <row r="991" spans="2:14" hidden="1" x14ac:dyDescent="0.2">
      <c r="B991" s="3">
        <v>53134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f t="shared" si="15"/>
        <v>0</v>
      </c>
    </row>
    <row r="992" spans="2:14" hidden="1" x14ac:dyDescent="0.2">
      <c r="B992" s="3">
        <v>53135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f t="shared" si="15"/>
        <v>0</v>
      </c>
    </row>
    <row r="993" spans="2:14" hidden="1" x14ac:dyDescent="0.2">
      <c r="B993" s="3">
        <v>53136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f t="shared" si="15"/>
        <v>0</v>
      </c>
    </row>
    <row r="994" spans="2:14" hidden="1" x14ac:dyDescent="0.2">
      <c r="B994" s="3">
        <v>53137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f t="shared" si="15"/>
        <v>0</v>
      </c>
    </row>
    <row r="995" spans="2:14" hidden="1" x14ac:dyDescent="0.2">
      <c r="B995" s="3">
        <v>53138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f t="shared" si="15"/>
        <v>0</v>
      </c>
    </row>
    <row r="996" spans="2:14" hidden="1" x14ac:dyDescent="0.2">
      <c r="B996" s="3">
        <v>53139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f t="shared" si="15"/>
        <v>0</v>
      </c>
    </row>
    <row r="997" spans="2:14" hidden="1" x14ac:dyDescent="0.2">
      <c r="B997" s="3">
        <v>53140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f t="shared" si="15"/>
        <v>0</v>
      </c>
    </row>
    <row r="998" spans="2:14" hidden="1" x14ac:dyDescent="0.2">
      <c r="B998" s="3">
        <v>53141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f t="shared" si="15"/>
        <v>0</v>
      </c>
    </row>
    <row r="999" spans="2:14" hidden="1" x14ac:dyDescent="0.2">
      <c r="B999" s="3">
        <v>53142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f t="shared" si="15"/>
        <v>0</v>
      </c>
    </row>
    <row r="1000" spans="2:14" hidden="1" x14ac:dyDescent="0.2">
      <c r="B1000" s="3">
        <v>54110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f t="shared" si="15"/>
        <v>0</v>
      </c>
    </row>
    <row r="1001" spans="2:14" hidden="1" x14ac:dyDescent="0.2">
      <c r="B1001" s="3">
        <v>54111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f t="shared" si="15"/>
        <v>0</v>
      </c>
    </row>
    <row r="1002" spans="2:14" hidden="1" x14ac:dyDescent="0.2">
      <c r="B1002" s="3">
        <v>54112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f t="shared" si="15"/>
        <v>0</v>
      </c>
    </row>
    <row r="1003" spans="2:14" hidden="1" x14ac:dyDescent="0.2">
      <c r="B1003" s="3">
        <v>54113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f t="shared" si="15"/>
        <v>0</v>
      </c>
    </row>
    <row r="1004" spans="2:14" hidden="1" x14ac:dyDescent="0.2">
      <c r="B1004" s="3">
        <v>54114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f t="shared" si="15"/>
        <v>0</v>
      </c>
    </row>
    <row r="1005" spans="2:14" hidden="1" x14ac:dyDescent="0.2">
      <c r="B1005" s="3">
        <v>54115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f t="shared" si="15"/>
        <v>0</v>
      </c>
    </row>
    <row r="1006" spans="2:14" hidden="1" x14ac:dyDescent="0.2">
      <c r="B1006" s="3">
        <v>54116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f t="shared" si="15"/>
        <v>0</v>
      </c>
    </row>
    <row r="1007" spans="2:14" hidden="1" x14ac:dyDescent="0.2">
      <c r="B1007" s="3">
        <v>54117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f t="shared" si="15"/>
        <v>0</v>
      </c>
    </row>
    <row r="1008" spans="2:14" hidden="1" x14ac:dyDescent="0.2">
      <c r="B1008" s="3">
        <v>54118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f t="shared" si="15"/>
        <v>0</v>
      </c>
    </row>
    <row r="1009" spans="2:14" hidden="1" x14ac:dyDescent="0.2">
      <c r="B1009" s="3">
        <v>54119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f t="shared" si="15"/>
        <v>0</v>
      </c>
    </row>
    <row r="1010" spans="2:14" hidden="1" x14ac:dyDescent="0.2">
      <c r="B1010" s="3">
        <v>54120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f t="shared" si="15"/>
        <v>0</v>
      </c>
    </row>
    <row r="1011" spans="2:14" hidden="1" x14ac:dyDescent="0.2">
      <c r="B1011" s="3">
        <v>54121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f t="shared" si="15"/>
        <v>0</v>
      </c>
    </row>
    <row r="1012" spans="2:14" hidden="1" x14ac:dyDescent="0.2">
      <c r="B1012" s="3">
        <v>54122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f t="shared" si="15"/>
        <v>0</v>
      </c>
    </row>
    <row r="1013" spans="2:14" hidden="1" x14ac:dyDescent="0.2">
      <c r="B1013" s="3">
        <v>54123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f t="shared" si="15"/>
        <v>0</v>
      </c>
    </row>
    <row r="1014" spans="2:14" hidden="1" x14ac:dyDescent="0.2">
      <c r="B1014" s="3">
        <v>54124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f t="shared" si="15"/>
        <v>0</v>
      </c>
    </row>
    <row r="1015" spans="2:14" hidden="1" x14ac:dyDescent="0.2">
      <c r="B1015" s="3">
        <v>54125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f t="shared" si="15"/>
        <v>0</v>
      </c>
    </row>
    <row r="1016" spans="2:14" hidden="1" x14ac:dyDescent="0.2">
      <c r="B1016" s="3">
        <v>54126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f t="shared" si="15"/>
        <v>0</v>
      </c>
    </row>
    <row r="1017" spans="2:14" hidden="1" x14ac:dyDescent="0.2">
      <c r="B1017" s="3">
        <v>54127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f t="shared" si="15"/>
        <v>0</v>
      </c>
    </row>
    <row r="1018" spans="2:14" hidden="1" x14ac:dyDescent="0.2">
      <c r="B1018" s="3">
        <v>54128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f t="shared" si="15"/>
        <v>0</v>
      </c>
    </row>
    <row r="1019" spans="2:14" hidden="1" x14ac:dyDescent="0.2">
      <c r="B1019" s="3">
        <v>54129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f t="shared" si="15"/>
        <v>0</v>
      </c>
    </row>
    <row r="1020" spans="2:14" hidden="1" x14ac:dyDescent="0.2">
      <c r="B1020" s="3">
        <v>54130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f t="shared" si="15"/>
        <v>0</v>
      </c>
    </row>
    <row r="1021" spans="2:14" hidden="1" x14ac:dyDescent="0.2">
      <c r="B1021" s="3">
        <v>54131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f t="shared" si="15"/>
        <v>0</v>
      </c>
    </row>
    <row r="1022" spans="2:14" hidden="1" x14ac:dyDescent="0.2">
      <c r="B1022" s="3">
        <v>54132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f t="shared" si="15"/>
        <v>0</v>
      </c>
    </row>
    <row r="1023" spans="2:14" hidden="1" x14ac:dyDescent="0.2">
      <c r="B1023" s="3">
        <v>54133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f t="shared" si="15"/>
        <v>0</v>
      </c>
    </row>
    <row r="1024" spans="2:14" hidden="1" x14ac:dyDescent="0.2">
      <c r="B1024" s="3">
        <v>54134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f t="shared" si="15"/>
        <v>0</v>
      </c>
    </row>
    <row r="1025" spans="2:14" hidden="1" x14ac:dyDescent="0.2">
      <c r="B1025" s="3">
        <v>54135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f t="shared" si="15"/>
        <v>0</v>
      </c>
    </row>
    <row r="1026" spans="2:14" hidden="1" x14ac:dyDescent="0.2">
      <c r="B1026" s="3">
        <v>54136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f t="shared" si="15"/>
        <v>0</v>
      </c>
    </row>
    <row r="1027" spans="2:14" hidden="1" x14ac:dyDescent="0.2">
      <c r="B1027" s="3">
        <v>54137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f t="shared" si="15"/>
        <v>0</v>
      </c>
    </row>
    <row r="1028" spans="2:14" hidden="1" x14ac:dyDescent="0.2">
      <c r="B1028" s="3">
        <v>54138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f t="shared" si="15"/>
        <v>0</v>
      </c>
    </row>
    <row r="1029" spans="2:14" hidden="1" x14ac:dyDescent="0.2">
      <c r="B1029" s="3">
        <v>54139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f t="shared" si="15"/>
        <v>0</v>
      </c>
    </row>
    <row r="1030" spans="2:14" hidden="1" x14ac:dyDescent="0.2">
      <c r="B1030" s="3">
        <v>54140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f t="shared" ref="N1030:N1093" si="16">SUM(C1030:M1030)</f>
        <v>0</v>
      </c>
    </row>
    <row r="1031" spans="2:14" hidden="1" x14ac:dyDescent="0.2">
      <c r="B1031" s="3">
        <v>54141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f t="shared" si="16"/>
        <v>0</v>
      </c>
    </row>
    <row r="1032" spans="2:14" hidden="1" x14ac:dyDescent="0.2">
      <c r="B1032" s="3">
        <v>54142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f t="shared" si="16"/>
        <v>0</v>
      </c>
    </row>
    <row r="1033" spans="2:14" hidden="1" x14ac:dyDescent="0.2">
      <c r="B1033" s="3">
        <v>54143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f t="shared" si="16"/>
        <v>0</v>
      </c>
    </row>
    <row r="1034" spans="2:14" hidden="1" x14ac:dyDescent="0.2">
      <c r="B1034" s="3">
        <v>54144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f t="shared" si="16"/>
        <v>0</v>
      </c>
    </row>
    <row r="1035" spans="2:14" hidden="1" x14ac:dyDescent="0.2">
      <c r="B1035" s="3">
        <v>54145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f t="shared" si="16"/>
        <v>0</v>
      </c>
    </row>
    <row r="1036" spans="2:14" hidden="1" x14ac:dyDescent="0.2">
      <c r="B1036" s="3">
        <v>55114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f t="shared" si="16"/>
        <v>0</v>
      </c>
    </row>
    <row r="1037" spans="2:14" hidden="1" x14ac:dyDescent="0.2">
      <c r="B1037" s="3">
        <v>55115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f t="shared" si="16"/>
        <v>0</v>
      </c>
    </row>
    <row r="1038" spans="2:14" hidden="1" x14ac:dyDescent="0.2">
      <c r="B1038" s="3">
        <v>55116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f t="shared" si="16"/>
        <v>0</v>
      </c>
    </row>
    <row r="1039" spans="2:14" hidden="1" x14ac:dyDescent="0.2">
      <c r="B1039" s="3">
        <v>55117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f t="shared" si="16"/>
        <v>0</v>
      </c>
    </row>
    <row r="1040" spans="2:14" hidden="1" x14ac:dyDescent="0.2">
      <c r="B1040" s="3">
        <v>55118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f t="shared" si="16"/>
        <v>0</v>
      </c>
    </row>
    <row r="1041" spans="2:14" hidden="1" x14ac:dyDescent="0.2">
      <c r="B1041" s="3">
        <v>55119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f t="shared" si="16"/>
        <v>0</v>
      </c>
    </row>
    <row r="1042" spans="2:14" hidden="1" x14ac:dyDescent="0.2">
      <c r="B1042" s="3">
        <v>55120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f t="shared" si="16"/>
        <v>0</v>
      </c>
    </row>
    <row r="1043" spans="2:14" hidden="1" x14ac:dyDescent="0.2">
      <c r="B1043" s="3">
        <v>55121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f t="shared" si="16"/>
        <v>0</v>
      </c>
    </row>
    <row r="1044" spans="2:14" hidden="1" x14ac:dyDescent="0.2">
      <c r="B1044" s="3">
        <v>55122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f t="shared" si="16"/>
        <v>0</v>
      </c>
    </row>
    <row r="1045" spans="2:14" hidden="1" x14ac:dyDescent="0.2">
      <c r="B1045" s="3">
        <v>55123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f t="shared" si="16"/>
        <v>0</v>
      </c>
    </row>
    <row r="1046" spans="2:14" hidden="1" x14ac:dyDescent="0.2">
      <c r="B1046" s="3">
        <v>55124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f t="shared" si="16"/>
        <v>0</v>
      </c>
    </row>
    <row r="1047" spans="2:14" hidden="1" x14ac:dyDescent="0.2">
      <c r="B1047" s="3">
        <v>55125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f t="shared" si="16"/>
        <v>0</v>
      </c>
    </row>
    <row r="1048" spans="2:14" hidden="1" x14ac:dyDescent="0.2">
      <c r="B1048" s="3">
        <v>55126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f t="shared" si="16"/>
        <v>0</v>
      </c>
    </row>
    <row r="1049" spans="2:14" hidden="1" x14ac:dyDescent="0.2">
      <c r="B1049" s="3">
        <v>55127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f t="shared" si="16"/>
        <v>0</v>
      </c>
    </row>
    <row r="1050" spans="2:14" hidden="1" x14ac:dyDescent="0.2">
      <c r="B1050" s="3">
        <v>55128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f t="shared" si="16"/>
        <v>0</v>
      </c>
    </row>
    <row r="1051" spans="2:14" hidden="1" x14ac:dyDescent="0.2">
      <c r="B1051" s="3">
        <v>55129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f t="shared" si="16"/>
        <v>0</v>
      </c>
    </row>
    <row r="1052" spans="2:14" hidden="1" x14ac:dyDescent="0.2">
      <c r="B1052" s="3">
        <v>55130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f t="shared" si="16"/>
        <v>0</v>
      </c>
    </row>
    <row r="1053" spans="2:14" hidden="1" x14ac:dyDescent="0.2">
      <c r="B1053" s="3">
        <v>55131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f t="shared" si="16"/>
        <v>0</v>
      </c>
    </row>
    <row r="1054" spans="2:14" hidden="1" x14ac:dyDescent="0.2">
      <c r="B1054" s="3">
        <v>55132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f t="shared" si="16"/>
        <v>0</v>
      </c>
    </row>
    <row r="1055" spans="2:14" hidden="1" x14ac:dyDescent="0.2">
      <c r="B1055" s="3">
        <v>55133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f t="shared" si="16"/>
        <v>0</v>
      </c>
    </row>
    <row r="1056" spans="2:14" hidden="1" x14ac:dyDescent="0.2">
      <c r="B1056" s="3">
        <v>55134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f t="shared" si="16"/>
        <v>0</v>
      </c>
    </row>
    <row r="1057" spans="2:14" hidden="1" x14ac:dyDescent="0.2">
      <c r="B1057" s="3">
        <v>55135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f t="shared" si="16"/>
        <v>0</v>
      </c>
    </row>
    <row r="1058" spans="2:14" hidden="1" x14ac:dyDescent="0.2">
      <c r="B1058" s="3">
        <v>55136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f t="shared" si="16"/>
        <v>0</v>
      </c>
    </row>
    <row r="1059" spans="2:14" hidden="1" x14ac:dyDescent="0.2">
      <c r="B1059" s="3">
        <v>55137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f t="shared" si="16"/>
        <v>0</v>
      </c>
    </row>
    <row r="1060" spans="2:14" hidden="1" x14ac:dyDescent="0.2">
      <c r="B1060" s="3">
        <v>55138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f t="shared" si="16"/>
        <v>0</v>
      </c>
    </row>
    <row r="1061" spans="2:14" hidden="1" x14ac:dyDescent="0.2">
      <c r="B1061" s="3">
        <v>55139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f t="shared" si="16"/>
        <v>0</v>
      </c>
    </row>
    <row r="1062" spans="2:14" hidden="1" x14ac:dyDescent="0.2">
      <c r="B1062" s="3">
        <v>55140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f t="shared" si="16"/>
        <v>0</v>
      </c>
    </row>
    <row r="1063" spans="2:14" hidden="1" x14ac:dyDescent="0.2">
      <c r="B1063" s="3">
        <v>55141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f t="shared" si="16"/>
        <v>0</v>
      </c>
    </row>
    <row r="1064" spans="2:14" hidden="1" x14ac:dyDescent="0.2">
      <c r="B1064" s="3">
        <v>55142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f t="shared" si="16"/>
        <v>0</v>
      </c>
    </row>
    <row r="1065" spans="2:14" hidden="1" x14ac:dyDescent="0.2">
      <c r="B1065" s="3">
        <v>55143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f t="shared" si="16"/>
        <v>0</v>
      </c>
    </row>
    <row r="1066" spans="2:14" hidden="1" x14ac:dyDescent="0.2">
      <c r="B1066" s="3">
        <v>55144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f t="shared" si="16"/>
        <v>0</v>
      </c>
    </row>
    <row r="1067" spans="2:14" hidden="1" x14ac:dyDescent="0.2">
      <c r="B1067" s="3">
        <v>55145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f t="shared" si="16"/>
        <v>0</v>
      </c>
    </row>
    <row r="1068" spans="2:14" hidden="1" x14ac:dyDescent="0.2">
      <c r="B1068" s="3">
        <v>55146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f t="shared" si="16"/>
        <v>0</v>
      </c>
    </row>
    <row r="1069" spans="2:14" hidden="1" x14ac:dyDescent="0.2">
      <c r="B1069" s="3">
        <v>55147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f t="shared" si="16"/>
        <v>0</v>
      </c>
    </row>
    <row r="1070" spans="2:14" hidden="1" x14ac:dyDescent="0.2">
      <c r="B1070" s="3">
        <v>55148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f t="shared" si="16"/>
        <v>0</v>
      </c>
    </row>
    <row r="1071" spans="2:14" hidden="1" x14ac:dyDescent="0.2">
      <c r="B1071" s="3">
        <v>56117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f t="shared" si="16"/>
        <v>0</v>
      </c>
    </row>
    <row r="1072" spans="2:14" hidden="1" x14ac:dyDescent="0.2">
      <c r="B1072" s="3">
        <v>56118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f t="shared" si="16"/>
        <v>0</v>
      </c>
    </row>
    <row r="1073" spans="2:14" hidden="1" x14ac:dyDescent="0.2">
      <c r="B1073" s="3">
        <v>56119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f t="shared" si="16"/>
        <v>0</v>
      </c>
    </row>
    <row r="1074" spans="2:14" hidden="1" x14ac:dyDescent="0.2">
      <c r="B1074" s="3">
        <v>56120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f t="shared" si="16"/>
        <v>0</v>
      </c>
    </row>
    <row r="1075" spans="2:14" hidden="1" x14ac:dyDescent="0.2">
      <c r="B1075" s="3">
        <v>56121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f t="shared" si="16"/>
        <v>0</v>
      </c>
    </row>
    <row r="1076" spans="2:14" hidden="1" x14ac:dyDescent="0.2">
      <c r="B1076" s="3">
        <v>56122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f t="shared" si="16"/>
        <v>0</v>
      </c>
    </row>
    <row r="1077" spans="2:14" hidden="1" x14ac:dyDescent="0.2">
      <c r="B1077" s="3">
        <v>56123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f t="shared" si="16"/>
        <v>0</v>
      </c>
    </row>
    <row r="1078" spans="2:14" hidden="1" x14ac:dyDescent="0.2">
      <c r="B1078" s="3">
        <v>56124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f t="shared" si="16"/>
        <v>0</v>
      </c>
    </row>
    <row r="1079" spans="2:14" hidden="1" x14ac:dyDescent="0.2">
      <c r="B1079" s="3">
        <v>56125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f t="shared" si="16"/>
        <v>0</v>
      </c>
    </row>
    <row r="1080" spans="2:14" hidden="1" x14ac:dyDescent="0.2">
      <c r="B1080" s="3">
        <v>56126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f t="shared" si="16"/>
        <v>0</v>
      </c>
    </row>
    <row r="1081" spans="2:14" hidden="1" x14ac:dyDescent="0.2">
      <c r="B1081" s="3">
        <v>56127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f t="shared" si="16"/>
        <v>0</v>
      </c>
    </row>
    <row r="1082" spans="2:14" hidden="1" x14ac:dyDescent="0.2">
      <c r="B1082" s="3">
        <v>56128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f t="shared" si="16"/>
        <v>0</v>
      </c>
    </row>
    <row r="1083" spans="2:14" hidden="1" x14ac:dyDescent="0.2">
      <c r="B1083" s="3">
        <v>56129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f t="shared" si="16"/>
        <v>0</v>
      </c>
    </row>
    <row r="1084" spans="2:14" hidden="1" x14ac:dyDescent="0.2">
      <c r="B1084" s="3">
        <v>56130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f t="shared" si="16"/>
        <v>0</v>
      </c>
    </row>
    <row r="1085" spans="2:14" hidden="1" x14ac:dyDescent="0.2">
      <c r="B1085" s="3">
        <v>56131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f t="shared" si="16"/>
        <v>0</v>
      </c>
    </row>
    <row r="1086" spans="2:14" hidden="1" x14ac:dyDescent="0.2">
      <c r="B1086" s="3">
        <v>56132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f t="shared" si="16"/>
        <v>0</v>
      </c>
    </row>
    <row r="1087" spans="2:14" hidden="1" x14ac:dyDescent="0.2">
      <c r="B1087" s="3">
        <v>56133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f t="shared" si="16"/>
        <v>0</v>
      </c>
    </row>
    <row r="1088" spans="2:14" hidden="1" x14ac:dyDescent="0.2">
      <c r="B1088" s="3">
        <v>56134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f t="shared" si="16"/>
        <v>0</v>
      </c>
    </row>
    <row r="1089" spans="2:14" hidden="1" x14ac:dyDescent="0.2">
      <c r="B1089" s="3">
        <v>56135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f t="shared" si="16"/>
        <v>0</v>
      </c>
    </row>
    <row r="1090" spans="2:14" hidden="1" x14ac:dyDescent="0.2">
      <c r="B1090" s="3">
        <v>56136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f t="shared" si="16"/>
        <v>0</v>
      </c>
    </row>
    <row r="1091" spans="2:14" hidden="1" x14ac:dyDescent="0.2">
      <c r="B1091" s="3">
        <v>56137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f t="shared" si="16"/>
        <v>0</v>
      </c>
    </row>
    <row r="1092" spans="2:14" hidden="1" x14ac:dyDescent="0.2">
      <c r="B1092" s="3">
        <v>56138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f t="shared" si="16"/>
        <v>0</v>
      </c>
    </row>
    <row r="1093" spans="2:14" hidden="1" x14ac:dyDescent="0.2">
      <c r="B1093" s="3">
        <v>56139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f t="shared" si="16"/>
        <v>0</v>
      </c>
    </row>
    <row r="1094" spans="2:14" hidden="1" x14ac:dyDescent="0.2">
      <c r="B1094" s="3">
        <v>56140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f t="shared" ref="N1094:N1157" si="17">SUM(C1094:M1094)</f>
        <v>0</v>
      </c>
    </row>
    <row r="1095" spans="2:14" hidden="1" x14ac:dyDescent="0.2">
      <c r="B1095" s="3">
        <v>56141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f t="shared" si="17"/>
        <v>0</v>
      </c>
    </row>
    <row r="1096" spans="2:14" hidden="1" x14ac:dyDescent="0.2">
      <c r="B1096" s="3">
        <v>56142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f t="shared" si="17"/>
        <v>0</v>
      </c>
    </row>
    <row r="1097" spans="2:14" hidden="1" x14ac:dyDescent="0.2">
      <c r="B1097" s="3">
        <v>56143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f t="shared" si="17"/>
        <v>0</v>
      </c>
    </row>
    <row r="1098" spans="2:14" hidden="1" x14ac:dyDescent="0.2">
      <c r="B1098" s="3">
        <v>56144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f t="shared" si="17"/>
        <v>0</v>
      </c>
    </row>
    <row r="1099" spans="2:14" hidden="1" x14ac:dyDescent="0.2">
      <c r="B1099" s="3">
        <v>56145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f t="shared" si="17"/>
        <v>0</v>
      </c>
    </row>
    <row r="1100" spans="2:14" hidden="1" x14ac:dyDescent="0.2">
      <c r="B1100" s="3">
        <v>56146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f t="shared" si="17"/>
        <v>0</v>
      </c>
    </row>
    <row r="1101" spans="2:14" hidden="1" x14ac:dyDescent="0.2">
      <c r="B1101" s="3">
        <v>56147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f t="shared" si="17"/>
        <v>0</v>
      </c>
    </row>
    <row r="1102" spans="2:14" hidden="1" x14ac:dyDescent="0.2">
      <c r="B1102" s="3">
        <v>56148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f t="shared" si="17"/>
        <v>0</v>
      </c>
    </row>
    <row r="1103" spans="2:14" hidden="1" x14ac:dyDescent="0.2">
      <c r="B1103" s="3">
        <v>57123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f t="shared" si="17"/>
        <v>0</v>
      </c>
    </row>
    <row r="1104" spans="2:14" hidden="1" x14ac:dyDescent="0.2">
      <c r="B1104" s="3">
        <v>57124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f t="shared" si="17"/>
        <v>0</v>
      </c>
    </row>
    <row r="1105" spans="2:14" hidden="1" x14ac:dyDescent="0.2">
      <c r="B1105" s="3">
        <v>57125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f t="shared" si="17"/>
        <v>0</v>
      </c>
    </row>
    <row r="1106" spans="2:14" hidden="1" x14ac:dyDescent="0.2">
      <c r="B1106" s="3">
        <v>57126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f t="shared" si="17"/>
        <v>0</v>
      </c>
    </row>
    <row r="1107" spans="2:14" hidden="1" x14ac:dyDescent="0.2">
      <c r="B1107" s="3">
        <v>57127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f t="shared" si="17"/>
        <v>0</v>
      </c>
    </row>
    <row r="1108" spans="2:14" hidden="1" x14ac:dyDescent="0.2">
      <c r="B1108" s="3">
        <v>57128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f t="shared" si="17"/>
        <v>0</v>
      </c>
    </row>
    <row r="1109" spans="2:14" hidden="1" x14ac:dyDescent="0.2">
      <c r="B1109" s="3">
        <v>57129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f t="shared" si="17"/>
        <v>0</v>
      </c>
    </row>
    <row r="1110" spans="2:14" hidden="1" x14ac:dyDescent="0.2">
      <c r="B1110" s="3">
        <v>57130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f t="shared" si="17"/>
        <v>0</v>
      </c>
    </row>
    <row r="1111" spans="2:14" hidden="1" x14ac:dyDescent="0.2">
      <c r="B1111" s="3">
        <v>57131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f t="shared" si="17"/>
        <v>0</v>
      </c>
    </row>
    <row r="1112" spans="2:14" hidden="1" x14ac:dyDescent="0.2">
      <c r="B1112" s="3">
        <v>57132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f t="shared" si="17"/>
        <v>0</v>
      </c>
    </row>
    <row r="1113" spans="2:14" hidden="1" x14ac:dyDescent="0.2">
      <c r="B1113" s="3">
        <v>57133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f t="shared" si="17"/>
        <v>0</v>
      </c>
    </row>
    <row r="1114" spans="2:14" hidden="1" x14ac:dyDescent="0.2">
      <c r="B1114" s="3">
        <v>57134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f t="shared" si="17"/>
        <v>0</v>
      </c>
    </row>
    <row r="1115" spans="2:14" hidden="1" x14ac:dyDescent="0.2">
      <c r="B1115" s="3">
        <v>57135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f t="shared" si="17"/>
        <v>0</v>
      </c>
    </row>
    <row r="1116" spans="2:14" hidden="1" x14ac:dyDescent="0.2">
      <c r="B1116" s="3">
        <v>57136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f t="shared" si="17"/>
        <v>0</v>
      </c>
    </row>
    <row r="1117" spans="2:14" hidden="1" x14ac:dyDescent="0.2">
      <c r="B1117" s="3">
        <v>57137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f t="shared" si="17"/>
        <v>0</v>
      </c>
    </row>
    <row r="1118" spans="2:14" hidden="1" x14ac:dyDescent="0.2">
      <c r="B1118" s="3">
        <v>57138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f t="shared" si="17"/>
        <v>0</v>
      </c>
    </row>
    <row r="1119" spans="2:14" hidden="1" x14ac:dyDescent="0.2">
      <c r="B1119" s="3">
        <v>57139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f t="shared" si="17"/>
        <v>0</v>
      </c>
    </row>
    <row r="1120" spans="2:14" hidden="1" x14ac:dyDescent="0.2">
      <c r="B1120" s="3">
        <v>57140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f t="shared" si="17"/>
        <v>0</v>
      </c>
    </row>
    <row r="1121" spans="2:14" hidden="1" x14ac:dyDescent="0.2">
      <c r="B1121" s="3">
        <v>57141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f t="shared" si="17"/>
        <v>0</v>
      </c>
    </row>
    <row r="1122" spans="2:14" hidden="1" x14ac:dyDescent="0.2">
      <c r="B1122" s="3">
        <v>57142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f t="shared" si="17"/>
        <v>0</v>
      </c>
    </row>
    <row r="1123" spans="2:14" hidden="1" x14ac:dyDescent="0.2">
      <c r="B1123" s="3">
        <v>57143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f t="shared" si="17"/>
        <v>0</v>
      </c>
    </row>
    <row r="1124" spans="2:14" hidden="1" x14ac:dyDescent="0.2">
      <c r="B1124" s="3">
        <v>57144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f t="shared" si="17"/>
        <v>0</v>
      </c>
    </row>
    <row r="1125" spans="2:14" hidden="1" x14ac:dyDescent="0.2">
      <c r="B1125" s="3">
        <v>57145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f t="shared" si="17"/>
        <v>0</v>
      </c>
    </row>
    <row r="1126" spans="2:14" hidden="1" x14ac:dyDescent="0.2">
      <c r="B1126" s="3">
        <v>57146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f t="shared" si="17"/>
        <v>0</v>
      </c>
    </row>
    <row r="1127" spans="2:14" hidden="1" x14ac:dyDescent="0.2">
      <c r="B1127" s="3">
        <v>57147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f t="shared" si="17"/>
        <v>0</v>
      </c>
    </row>
    <row r="1128" spans="2:14" hidden="1" x14ac:dyDescent="0.2">
      <c r="B1128" s="3">
        <v>57148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f t="shared" si="17"/>
        <v>0</v>
      </c>
    </row>
    <row r="1129" spans="2:14" hidden="1" x14ac:dyDescent="0.2">
      <c r="B1129" s="3">
        <v>57149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f t="shared" si="17"/>
        <v>0</v>
      </c>
    </row>
    <row r="1130" spans="2:14" hidden="1" x14ac:dyDescent="0.2">
      <c r="B1130" s="3">
        <v>58124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f t="shared" si="17"/>
        <v>0</v>
      </c>
    </row>
    <row r="1131" spans="2:14" hidden="1" x14ac:dyDescent="0.2">
      <c r="B1131" s="3">
        <v>58125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f t="shared" si="17"/>
        <v>0</v>
      </c>
    </row>
    <row r="1132" spans="2:14" hidden="1" x14ac:dyDescent="0.2">
      <c r="B1132" s="3">
        <v>58126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f t="shared" si="17"/>
        <v>0</v>
      </c>
    </row>
    <row r="1133" spans="2:14" hidden="1" x14ac:dyDescent="0.2">
      <c r="B1133" s="3">
        <v>58127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f t="shared" si="17"/>
        <v>0</v>
      </c>
    </row>
    <row r="1134" spans="2:14" hidden="1" x14ac:dyDescent="0.2">
      <c r="B1134" s="3">
        <v>58128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f t="shared" si="17"/>
        <v>0</v>
      </c>
    </row>
    <row r="1135" spans="2:14" hidden="1" x14ac:dyDescent="0.2">
      <c r="B1135" s="3">
        <v>58129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f t="shared" si="17"/>
        <v>0</v>
      </c>
    </row>
    <row r="1136" spans="2:14" hidden="1" x14ac:dyDescent="0.2">
      <c r="B1136" s="3">
        <v>58130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f t="shared" si="17"/>
        <v>0</v>
      </c>
    </row>
    <row r="1137" spans="2:14" hidden="1" x14ac:dyDescent="0.2">
      <c r="B1137" s="3">
        <v>58131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f t="shared" si="17"/>
        <v>0</v>
      </c>
    </row>
    <row r="1138" spans="2:14" hidden="1" x14ac:dyDescent="0.2">
      <c r="B1138" s="3">
        <v>58132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f t="shared" si="17"/>
        <v>0</v>
      </c>
    </row>
    <row r="1139" spans="2:14" hidden="1" x14ac:dyDescent="0.2">
      <c r="B1139" s="3">
        <v>58133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f t="shared" si="17"/>
        <v>0</v>
      </c>
    </row>
    <row r="1140" spans="2:14" hidden="1" x14ac:dyDescent="0.2">
      <c r="B1140" s="3">
        <v>58134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f t="shared" si="17"/>
        <v>0</v>
      </c>
    </row>
    <row r="1141" spans="2:14" hidden="1" x14ac:dyDescent="0.2">
      <c r="B1141" s="3">
        <v>58135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f t="shared" si="17"/>
        <v>0</v>
      </c>
    </row>
    <row r="1142" spans="2:14" hidden="1" x14ac:dyDescent="0.2">
      <c r="B1142" s="3">
        <v>58136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f t="shared" si="17"/>
        <v>0</v>
      </c>
    </row>
    <row r="1143" spans="2:14" hidden="1" x14ac:dyDescent="0.2">
      <c r="B1143" s="3">
        <v>58137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f t="shared" si="17"/>
        <v>0</v>
      </c>
    </row>
    <row r="1144" spans="2:14" hidden="1" x14ac:dyDescent="0.2">
      <c r="B1144" s="3">
        <v>58138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f t="shared" si="17"/>
        <v>0</v>
      </c>
    </row>
    <row r="1145" spans="2:14" hidden="1" x14ac:dyDescent="0.2">
      <c r="B1145" s="3">
        <v>58139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f t="shared" si="17"/>
        <v>0</v>
      </c>
    </row>
    <row r="1146" spans="2:14" hidden="1" x14ac:dyDescent="0.2">
      <c r="B1146" s="3">
        <v>58140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f t="shared" si="17"/>
        <v>0</v>
      </c>
    </row>
    <row r="1147" spans="2:14" hidden="1" x14ac:dyDescent="0.2">
      <c r="B1147" s="3">
        <v>58141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f t="shared" si="17"/>
        <v>0</v>
      </c>
    </row>
    <row r="1148" spans="2:14" hidden="1" x14ac:dyDescent="0.2">
      <c r="B1148" s="3">
        <v>58142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f t="shared" si="17"/>
        <v>0</v>
      </c>
    </row>
    <row r="1149" spans="2:14" hidden="1" x14ac:dyDescent="0.2">
      <c r="B1149" s="3">
        <v>58143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f t="shared" si="17"/>
        <v>0</v>
      </c>
    </row>
    <row r="1150" spans="2:14" hidden="1" x14ac:dyDescent="0.2">
      <c r="B1150" s="3">
        <v>58144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f t="shared" si="17"/>
        <v>0</v>
      </c>
    </row>
    <row r="1151" spans="2:14" hidden="1" x14ac:dyDescent="0.2">
      <c r="B1151" s="3">
        <v>58145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f t="shared" si="17"/>
        <v>0</v>
      </c>
    </row>
    <row r="1152" spans="2:14" hidden="1" x14ac:dyDescent="0.2">
      <c r="B1152" s="3">
        <v>58146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f t="shared" si="17"/>
        <v>0</v>
      </c>
    </row>
    <row r="1153" spans="2:14" hidden="1" x14ac:dyDescent="0.2">
      <c r="B1153" s="3">
        <v>58147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f t="shared" si="17"/>
        <v>0</v>
      </c>
    </row>
    <row r="1154" spans="2:14" hidden="1" x14ac:dyDescent="0.2">
      <c r="B1154" s="3">
        <v>58148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f t="shared" si="17"/>
        <v>0</v>
      </c>
    </row>
    <row r="1155" spans="2:14" hidden="1" x14ac:dyDescent="0.2">
      <c r="B1155" s="3">
        <v>58149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f t="shared" si="17"/>
        <v>0</v>
      </c>
    </row>
    <row r="1156" spans="2:14" hidden="1" x14ac:dyDescent="0.2">
      <c r="B1156" s="3">
        <v>58150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f t="shared" si="17"/>
        <v>0</v>
      </c>
    </row>
    <row r="1157" spans="2:14" hidden="1" x14ac:dyDescent="0.2">
      <c r="B1157" s="3">
        <v>58151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f t="shared" si="17"/>
        <v>0</v>
      </c>
    </row>
    <row r="1158" spans="2:14" hidden="1" x14ac:dyDescent="0.2">
      <c r="B1158" s="3">
        <v>59129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f t="shared" ref="N1158:N1221" si="18">SUM(C1158:M1158)</f>
        <v>0</v>
      </c>
    </row>
    <row r="1159" spans="2:14" hidden="1" x14ac:dyDescent="0.2">
      <c r="B1159" s="3">
        <v>59130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f t="shared" si="18"/>
        <v>0</v>
      </c>
    </row>
    <row r="1160" spans="2:14" hidden="1" x14ac:dyDescent="0.2">
      <c r="B1160" s="3">
        <v>59131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f t="shared" si="18"/>
        <v>0</v>
      </c>
    </row>
    <row r="1161" spans="2:14" hidden="1" x14ac:dyDescent="0.2">
      <c r="B1161" s="3">
        <v>59132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f t="shared" si="18"/>
        <v>0</v>
      </c>
    </row>
    <row r="1162" spans="2:14" hidden="1" x14ac:dyDescent="0.2">
      <c r="B1162" s="3">
        <v>59133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f t="shared" si="18"/>
        <v>0</v>
      </c>
    </row>
    <row r="1163" spans="2:14" hidden="1" x14ac:dyDescent="0.2">
      <c r="B1163" s="3">
        <v>59134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f t="shared" si="18"/>
        <v>0</v>
      </c>
    </row>
    <row r="1164" spans="2:14" hidden="1" x14ac:dyDescent="0.2">
      <c r="B1164" s="3">
        <v>59135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f t="shared" si="18"/>
        <v>0</v>
      </c>
    </row>
    <row r="1165" spans="2:14" hidden="1" x14ac:dyDescent="0.2">
      <c r="B1165" s="3">
        <v>59136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f t="shared" si="18"/>
        <v>0</v>
      </c>
    </row>
    <row r="1166" spans="2:14" hidden="1" x14ac:dyDescent="0.2">
      <c r="B1166" s="3">
        <v>59137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f t="shared" si="18"/>
        <v>0</v>
      </c>
    </row>
    <row r="1167" spans="2:14" hidden="1" x14ac:dyDescent="0.2">
      <c r="B1167" s="3">
        <v>59138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f t="shared" si="18"/>
        <v>0</v>
      </c>
    </row>
    <row r="1168" spans="2:14" hidden="1" x14ac:dyDescent="0.2">
      <c r="B1168" s="3">
        <v>59139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f t="shared" si="18"/>
        <v>0</v>
      </c>
    </row>
    <row r="1169" spans="2:14" hidden="1" x14ac:dyDescent="0.2">
      <c r="B1169" s="3">
        <v>59140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f t="shared" si="18"/>
        <v>0</v>
      </c>
    </row>
    <row r="1170" spans="2:14" hidden="1" x14ac:dyDescent="0.2">
      <c r="B1170" s="3">
        <v>59141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f t="shared" si="18"/>
        <v>0</v>
      </c>
    </row>
    <row r="1171" spans="2:14" hidden="1" x14ac:dyDescent="0.2">
      <c r="B1171" s="3">
        <v>59142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f t="shared" si="18"/>
        <v>0</v>
      </c>
    </row>
    <row r="1172" spans="2:14" hidden="1" x14ac:dyDescent="0.2">
      <c r="B1172" s="3">
        <v>59143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f t="shared" si="18"/>
        <v>0</v>
      </c>
    </row>
    <row r="1173" spans="2:14" hidden="1" x14ac:dyDescent="0.2">
      <c r="B1173" s="3">
        <v>59144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f t="shared" si="18"/>
        <v>0</v>
      </c>
    </row>
    <row r="1174" spans="2:14" hidden="1" x14ac:dyDescent="0.2">
      <c r="B1174" s="3">
        <v>59145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f t="shared" si="18"/>
        <v>0</v>
      </c>
    </row>
    <row r="1175" spans="2:14" hidden="1" x14ac:dyDescent="0.2">
      <c r="B1175" s="3">
        <v>59146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f t="shared" si="18"/>
        <v>0</v>
      </c>
    </row>
    <row r="1176" spans="2:14" hidden="1" x14ac:dyDescent="0.2">
      <c r="B1176" s="3">
        <v>59147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f t="shared" si="18"/>
        <v>0</v>
      </c>
    </row>
    <row r="1177" spans="2:14" hidden="1" x14ac:dyDescent="0.2">
      <c r="B1177" s="3">
        <v>59148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f t="shared" si="18"/>
        <v>0</v>
      </c>
    </row>
    <row r="1178" spans="2:14" hidden="1" x14ac:dyDescent="0.2">
      <c r="B1178" s="3">
        <v>59149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f t="shared" si="18"/>
        <v>0</v>
      </c>
    </row>
    <row r="1179" spans="2:14" hidden="1" x14ac:dyDescent="0.2">
      <c r="B1179" s="3">
        <v>59150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f t="shared" si="18"/>
        <v>0</v>
      </c>
    </row>
    <row r="1180" spans="2:14" hidden="1" x14ac:dyDescent="0.2">
      <c r="B1180" s="3">
        <v>59151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f t="shared" si="18"/>
        <v>0</v>
      </c>
    </row>
    <row r="1181" spans="2:14" hidden="1" x14ac:dyDescent="0.2">
      <c r="B1181" s="3">
        <v>59152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f t="shared" si="18"/>
        <v>0</v>
      </c>
    </row>
    <row r="1182" spans="2:14" hidden="1" x14ac:dyDescent="0.2">
      <c r="B1182" s="3">
        <v>60129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f t="shared" si="18"/>
        <v>0</v>
      </c>
    </row>
    <row r="1183" spans="2:14" hidden="1" x14ac:dyDescent="0.2">
      <c r="B1183" s="3">
        <v>60130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f t="shared" si="18"/>
        <v>0</v>
      </c>
    </row>
    <row r="1184" spans="2:14" hidden="1" x14ac:dyDescent="0.2">
      <c r="B1184" s="3">
        <v>60131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f t="shared" si="18"/>
        <v>0</v>
      </c>
    </row>
    <row r="1185" spans="2:14" hidden="1" x14ac:dyDescent="0.2">
      <c r="B1185" s="3">
        <v>60132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f t="shared" si="18"/>
        <v>0</v>
      </c>
    </row>
    <row r="1186" spans="2:14" hidden="1" x14ac:dyDescent="0.2">
      <c r="B1186" s="3">
        <v>60133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f t="shared" si="18"/>
        <v>0</v>
      </c>
    </row>
    <row r="1187" spans="2:14" hidden="1" x14ac:dyDescent="0.2">
      <c r="B1187" s="3">
        <v>60134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f t="shared" si="18"/>
        <v>0</v>
      </c>
    </row>
    <row r="1188" spans="2:14" hidden="1" x14ac:dyDescent="0.2">
      <c r="B1188" s="3">
        <v>60135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f t="shared" si="18"/>
        <v>0</v>
      </c>
    </row>
    <row r="1189" spans="2:14" hidden="1" x14ac:dyDescent="0.2">
      <c r="B1189" s="3">
        <v>60136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f t="shared" si="18"/>
        <v>0</v>
      </c>
    </row>
    <row r="1190" spans="2:14" hidden="1" x14ac:dyDescent="0.2">
      <c r="B1190" s="3">
        <v>60137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f t="shared" si="18"/>
        <v>0</v>
      </c>
    </row>
    <row r="1191" spans="2:14" hidden="1" x14ac:dyDescent="0.2">
      <c r="B1191" s="3">
        <v>60138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f t="shared" si="18"/>
        <v>0</v>
      </c>
    </row>
    <row r="1192" spans="2:14" hidden="1" x14ac:dyDescent="0.2">
      <c r="B1192" s="3">
        <v>60139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f t="shared" si="18"/>
        <v>0</v>
      </c>
    </row>
    <row r="1193" spans="2:14" hidden="1" x14ac:dyDescent="0.2">
      <c r="B1193" s="3">
        <v>60140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f t="shared" si="18"/>
        <v>0</v>
      </c>
    </row>
    <row r="1194" spans="2:14" hidden="1" x14ac:dyDescent="0.2">
      <c r="B1194" s="3">
        <v>60141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f t="shared" si="18"/>
        <v>0</v>
      </c>
    </row>
    <row r="1195" spans="2:14" hidden="1" x14ac:dyDescent="0.2">
      <c r="B1195" s="3">
        <v>60142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f t="shared" si="18"/>
        <v>0</v>
      </c>
    </row>
    <row r="1196" spans="2:14" hidden="1" x14ac:dyDescent="0.2">
      <c r="B1196" s="3">
        <v>60143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f t="shared" si="18"/>
        <v>0</v>
      </c>
    </row>
    <row r="1197" spans="2:14" hidden="1" x14ac:dyDescent="0.2">
      <c r="B1197" s="3">
        <v>60144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f t="shared" si="18"/>
        <v>0</v>
      </c>
    </row>
    <row r="1198" spans="2:14" hidden="1" x14ac:dyDescent="0.2">
      <c r="B1198" s="3">
        <v>60145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f t="shared" si="18"/>
        <v>0</v>
      </c>
    </row>
    <row r="1199" spans="2:14" hidden="1" x14ac:dyDescent="0.2">
      <c r="B1199" s="3">
        <v>60146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f t="shared" si="18"/>
        <v>0</v>
      </c>
    </row>
    <row r="1200" spans="2:14" hidden="1" x14ac:dyDescent="0.2">
      <c r="B1200" s="3">
        <v>60147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f t="shared" si="18"/>
        <v>0</v>
      </c>
    </row>
    <row r="1201" spans="2:14" hidden="1" x14ac:dyDescent="0.2">
      <c r="B1201" s="3">
        <v>60148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f t="shared" si="18"/>
        <v>0</v>
      </c>
    </row>
    <row r="1202" spans="2:14" hidden="1" x14ac:dyDescent="0.2">
      <c r="B1202" s="3">
        <v>60149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f t="shared" si="18"/>
        <v>0</v>
      </c>
    </row>
    <row r="1203" spans="2:14" hidden="1" x14ac:dyDescent="0.2">
      <c r="B1203" s="3">
        <v>60150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f t="shared" si="18"/>
        <v>0</v>
      </c>
    </row>
    <row r="1204" spans="2:14" hidden="1" x14ac:dyDescent="0.2">
      <c r="B1204" s="3">
        <v>60151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f t="shared" si="18"/>
        <v>0</v>
      </c>
    </row>
    <row r="1205" spans="2:14" hidden="1" x14ac:dyDescent="0.2">
      <c r="B1205" s="3">
        <v>60152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f t="shared" si="18"/>
        <v>0</v>
      </c>
    </row>
    <row r="1206" spans="2:14" hidden="1" x14ac:dyDescent="0.2">
      <c r="B1206" s="3">
        <v>60153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f t="shared" si="18"/>
        <v>0</v>
      </c>
    </row>
    <row r="1207" spans="2:14" hidden="1" x14ac:dyDescent="0.2">
      <c r="B1207" s="3">
        <v>60154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f t="shared" si="18"/>
        <v>0</v>
      </c>
    </row>
    <row r="1208" spans="2:14" hidden="1" x14ac:dyDescent="0.2">
      <c r="B1208" s="3">
        <v>61132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f t="shared" si="18"/>
        <v>0</v>
      </c>
    </row>
    <row r="1209" spans="2:14" hidden="1" x14ac:dyDescent="0.2">
      <c r="B1209" s="3">
        <v>61133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f t="shared" si="18"/>
        <v>0</v>
      </c>
    </row>
    <row r="1210" spans="2:14" hidden="1" x14ac:dyDescent="0.2">
      <c r="B1210" s="3">
        <v>61134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f t="shared" si="18"/>
        <v>0</v>
      </c>
    </row>
    <row r="1211" spans="2:14" hidden="1" x14ac:dyDescent="0.2">
      <c r="B1211" s="3">
        <v>61135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f t="shared" si="18"/>
        <v>0</v>
      </c>
    </row>
    <row r="1212" spans="2:14" hidden="1" x14ac:dyDescent="0.2">
      <c r="B1212" s="3">
        <v>61136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f t="shared" si="18"/>
        <v>0</v>
      </c>
    </row>
    <row r="1213" spans="2:14" hidden="1" x14ac:dyDescent="0.2">
      <c r="B1213" s="3">
        <v>61137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f t="shared" si="18"/>
        <v>0</v>
      </c>
    </row>
    <row r="1214" spans="2:14" hidden="1" x14ac:dyDescent="0.2">
      <c r="B1214" s="3">
        <v>61138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f t="shared" si="18"/>
        <v>0</v>
      </c>
    </row>
    <row r="1215" spans="2:14" hidden="1" x14ac:dyDescent="0.2">
      <c r="B1215" s="3">
        <v>61139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f t="shared" si="18"/>
        <v>0</v>
      </c>
    </row>
    <row r="1216" spans="2:14" hidden="1" x14ac:dyDescent="0.2">
      <c r="B1216" s="3">
        <v>61140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f t="shared" si="18"/>
        <v>0</v>
      </c>
    </row>
    <row r="1217" spans="2:14" hidden="1" x14ac:dyDescent="0.2">
      <c r="B1217" s="3">
        <v>61141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f t="shared" si="18"/>
        <v>0</v>
      </c>
    </row>
    <row r="1218" spans="2:14" hidden="1" x14ac:dyDescent="0.2">
      <c r="B1218" s="3">
        <v>61142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f t="shared" si="18"/>
        <v>0</v>
      </c>
    </row>
    <row r="1219" spans="2:14" hidden="1" x14ac:dyDescent="0.2">
      <c r="B1219" s="3">
        <v>61143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f t="shared" si="18"/>
        <v>0</v>
      </c>
    </row>
    <row r="1220" spans="2:14" hidden="1" x14ac:dyDescent="0.2">
      <c r="B1220" s="3">
        <v>61144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f t="shared" si="18"/>
        <v>0</v>
      </c>
    </row>
    <row r="1221" spans="2:14" hidden="1" x14ac:dyDescent="0.2">
      <c r="B1221" s="3">
        <v>61145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f t="shared" si="18"/>
        <v>0</v>
      </c>
    </row>
    <row r="1222" spans="2:14" hidden="1" x14ac:dyDescent="0.2">
      <c r="B1222" s="3">
        <v>61146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f t="shared" ref="N1222:N1285" si="19">SUM(C1222:M1222)</f>
        <v>0</v>
      </c>
    </row>
    <row r="1223" spans="2:14" hidden="1" x14ac:dyDescent="0.2">
      <c r="B1223" s="3">
        <v>61147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f t="shared" si="19"/>
        <v>0</v>
      </c>
    </row>
    <row r="1224" spans="2:14" hidden="1" x14ac:dyDescent="0.2">
      <c r="B1224" s="3">
        <v>61148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f t="shared" si="19"/>
        <v>0</v>
      </c>
    </row>
    <row r="1225" spans="2:14" hidden="1" x14ac:dyDescent="0.2">
      <c r="B1225" s="3">
        <v>61149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f t="shared" si="19"/>
        <v>0</v>
      </c>
    </row>
    <row r="1226" spans="2:14" hidden="1" x14ac:dyDescent="0.2">
      <c r="B1226" s="3">
        <v>61150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f t="shared" si="19"/>
        <v>0</v>
      </c>
    </row>
    <row r="1227" spans="2:14" hidden="1" x14ac:dyDescent="0.2">
      <c r="B1227" s="3">
        <v>61151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f t="shared" si="19"/>
        <v>0</v>
      </c>
    </row>
    <row r="1228" spans="2:14" hidden="1" x14ac:dyDescent="0.2">
      <c r="B1228" s="3">
        <v>61152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f t="shared" si="19"/>
        <v>0</v>
      </c>
    </row>
    <row r="1229" spans="2:14" hidden="1" x14ac:dyDescent="0.2">
      <c r="B1229" s="3">
        <v>61153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f t="shared" si="19"/>
        <v>0</v>
      </c>
    </row>
    <row r="1230" spans="2:14" hidden="1" x14ac:dyDescent="0.2">
      <c r="B1230" s="3">
        <v>61154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f t="shared" si="19"/>
        <v>0</v>
      </c>
    </row>
    <row r="1231" spans="2:14" hidden="1" x14ac:dyDescent="0.2">
      <c r="B1231" s="3">
        <v>61155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f t="shared" si="19"/>
        <v>0</v>
      </c>
    </row>
    <row r="1232" spans="2:14" hidden="1" x14ac:dyDescent="0.2">
      <c r="B1232" s="3">
        <v>62133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f t="shared" si="19"/>
        <v>0</v>
      </c>
    </row>
    <row r="1233" spans="2:14" hidden="1" x14ac:dyDescent="0.2">
      <c r="B1233" s="3">
        <v>62134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f t="shared" si="19"/>
        <v>0</v>
      </c>
    </row>
    <row r="1234" spans="2:14" hidden="1" x14ac:dyDescent="0.2">
      <c r="B1234" s="3">
        <v>62135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f t="shared" si="19"/>
        <v>0</v>
      </c>
    </row>
    <row r="1235" spans="2:14" hidden="1" x14ac:dyDescent="0.2">
      <c r="B1235" s="3">
        <v>62136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f t="shared" si="19"/>
        <v>0</v>
      </c>
    </row>
    <row r="1236" spans="2:14" hidden="1" x14ac:dyDescent="0.2">
      <c r="B1236" s="3">
        <v>62137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f t="shared" si="19"/>
        <v>0</v>
      </c>
    </row>
    <row r="1237" spans="2:14" hidden="1" x14ac:dyDescent="0.2">
      <c r="B1237" s="3">
        <v>62138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f t="shared" si="19"/>
        <v>0</v>
      </c>
    </row>
    <row r="1238" spans="2:14" hidden="1" x14ac:dyDescent="0.2">
      <c r="B1238" s="3">
        <v>62139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f t="shared" si="19"/>
        <v>0</v>
      </c>
    </row>
    <row r="1239" spans="2:14" hidden="1" x14ac:dyDescent="0.2">
      <c r="B1239" s="3">
        <v>62140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f t="shared" si="19"/>
        <v>0</v>
      </c>
    </row>
    <row r="1240" spans="2:14" hidden="1" x14ac:dyDescent="0.2">
      <c r="B1240" s="3">
        <v>62141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f t="shared" si="19"/>
        <v>0</v>
      </c>
    </row>
    <row r="1241" spans="2:14" hidden="1" x14ac:dyDescent="0.2">
      <c r="B1241" s="3">
        <v>62142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f t="shared" si="19"/>
        <v>0</v>
      </c>
    </row>
    <row r="1242" spans="2:14" hidden="1" x14ac:dyDescent="0.2">
      <c r="B1242" s="3">
        <v>62143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f t="shared" si="19"/>
        <v>0</v>
      </c>
    </row>
    <row r="1243" spans="2:14" hidden="1" x14ac:dyDescent="0.2">
      <c r="B1243" s="3">
        <v>62144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f t="shared" si="19"/>
        <v>0</v>
      </c>
    </row>
    <row r="1244" spans="2:14" hidden="1" x14ac:dyDescent="0.2">
      <c r="B1244" s="3">
        <v>62145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f t="shared" si="19"/>
        <v>0</v>
      </c>
    </row>
    <row r="1245" spans="2:14" hidden="1" x14ac:dyDescent="0.2">
      <c r="B1245" s="3">
        <v>62146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f t="shared" si="19"/>
        <v>0</v>
      </c>
    </row>
    <row r="1246" spans="2:14" hidden="1" x14ac:dyDescent="0.2">
      <c r="B1246" s="3">
        <v>62147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f t="shared" si="19"/>
        <v>0</v>
      </c>
    </row>
    <row r="1247" spans="2:14" hidden="1" x14ac:dyDescent="0.2">
      <c r="B1247" s="3">
        <v>62148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f t="shared" si="19"/>
        <v>0</v>
      </c>
    </row>
    <row r="1248" spans="2:14" hidden="1" x14ac:dyDescent="0.2">
      <c r="B1248" s="3">
        <v>62149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f t="shared" si="19"/>
        <v>0</v>
      </c>
    </row>
    <row r="1249" spans="2:14" hidden="1" x14ac:dyDescent="0.2">
      <c r="B1249" s="3">
        <v>62150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f t="shared" si="19"/>
        <v>0</v>
      </c>
    </row>
    <row r="1250" spans="2:14" hidden="1" x14ac:dyDescent="0.2">
      <c r="B1250" s="3">
        <v>62151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f t="shared" si="19"/>
        <v>0</v>
      </c>
    </row>
    <row r="1251" spans="2:14" hidden="1" x14ac:dyDescent="0.2">
      <c r="B1251" s="3">
        <v>62152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f t="shared" si="19"/>
        <v>0</v>
      </c>
    </row>
    <row r="1252" spans="2:14" hidden="1" x14ac:dyDescent="0.2">
      <c r="B1252" s="3">
        <v>62153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f t="shared" si="19"/>
        <v>0</v>
      </c>
    </row>
    <row r="1253" spans="2:14" hidden="1" x14ac:dyDescent="0.2">
      <c r="B1253" s="3">
        <v>62154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f t="shared" si="19"/>
        <v>0</v>
      </c>
    </row>
    <row r="1254" spans="2:14" hidden="1" x14ac:dyDescent="0.2">
      <c r="B1254" s="3">
        <v>62155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f t="shared" si="19"/>
        <v>0</v>
      </c>
    </row>
    <row r="1255" spans="2:14" hidden="1" x14ac:dyDescent="0.2">
      <c r="B1255" s="3">
        <v>62156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f t="shared" si="19"/>
        <v>0</v>
      </c>
    </row>
    <row r="1256" spans="2:14" hidden="1" x14ac:dyDescent="0.2">
      <c r="B1256" s="3">
        <v>62157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f t="shared" si="19"/>
        <v>0</v>
      </c>
    </row>
    <row r="1257" spans="2:14" hidden="1" x14ac:dyDescent="0.2">
      <c r="B1257" s="3">
        <v>62158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f t="shared" si="19"/>
        <v>0</v>
      </c>
    </row>
    <row r="1258" spans="2:14" hidden="1" x14ac:dyDescent="0.2">
      <c r="B1258" s="3">
        <v>63138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f t="shared" si="19"/>
        <v>0</v>
      </c>
    </row>
    <row r="1259" spans="2:14" hidden="1" x14ac:dyDescent="0.2">
      <c r="B1259" s="3">
        <v>63139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f t="shared" si="19"/>
        <v>0</v>
      </c>
    </row>
    <row r="1260" spans="2:14" hidden="1" x14ac:dyDescent="0.2">
      <c r="B1260" s="3">
        <v>63140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f t="shared" si="19"/>
        <v>0</v>
      </c>
    </row>
    <row r="1261" spans="2:14" hidden="1" x14ac:dyDescent="0.2">
      <c r="B1261" s="3">
        <v>63141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f t="shared" si="19"/>
        <v>0</v>
      </c>
    </row>
    <row r="1262" spans="2:14" hidden="1" x14ac:dyDescent="0.2">
      <c r="B1262" s="3">
        <v>63142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f t="shared" si="19"/>
        <v>0</v>
      </c>
    </row>
    <row r="1263" spans="2:14" hidden="1" x14ac:dyDescent="0.2">
      <c r="B1263" s="3">
        <v>63143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f t="shared" si="19"/>
        <v>0</v>
      </c>
    </row>
    <row r="1264" spans="2:14" hidden="1" x14ac:dyDescent="0.2">
      <c r="B1264" s="3">
        <v>63144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f t="shared" si="19"/>
        <v>0</v>
      </c>
    </row>
    <row r="1265" spans="2:14" hidden="1" x14ac:dyDescent="0.2">
      <c r="B1265" s="3">
        <v>63145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f t="shared" si="19"/>
        <v>0</v>
      </c>
    </row>
    <row r="1266" spans="2:14" hidden="1" x14ac:dyDescent="0.2">
      <c r="B1266" s="3">
        <v>63146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f t="shared" si="19"/>
        <v>0</v>
      </c>
    </row>
    <row r="1267" spans="2:14" hidden="1" x14ac:dyDescent="0.2">
      <c r="B1267" s="3">
        <v>63147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f t="shared" si="19"/>
        <v>0</v>
      </c>
    </row>
    <row r="1268" spans="2:14" hidden="1" x14ac:dyDescent="0.2">
      <c r="B1268" s="3">
        <v>63148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f t="shared" si="19"/>
        <v>0</v>
      </c>
    </row>
    <row r="1269" spans="2:14" hidden="1" x14ac:dyDescent="0.2">
      <c r="B1269" s="3">
        <v>63149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f t="shared" si="19"/>
        <v>0</v>
      </c>
    </row>
    <row r="1270" spans="2:14" hidden="1" x14ac:dyDescent="0.2">
      <c r="B1270" s="3">
        <v>63150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f t="shared" si="19"/>
        <v>0</v>
      </c>
    </row>
    <row r="1271" spans="2:14" hidden="1" x14ac:dyDescent="0.2">
      <c r="B1271" s="3">
        <v>63151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f t="shared" si="19"/>
        <v>0</v>
      </c>
    </row>
    <row r="1272" spans="2:14" hidden="1" x14ac:dyDescent="0.2">
      <c r="B1272" s="3">
        <v>63152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f t="shared" si="19"/>
        <v>0</v>
      </c>
    </row>
    <row r="1273" spans="2:14" hidden="1" x14ac:dyDescent="0.2">
      <c r="B1273" s="3">
        <v>63153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f t="shared" si="19"/>
        <v>0</v>
      </c>
    </row>
    <row r="1274" spans="2:14" hidden="1" x14ac:dyDescent="0.2">
      <c r="B1274" s="3">
        <v>63154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f t="shared" si="19"/>
        <v>0</v>
      </c>
    </row>
    <row r="1275" spans="2:14" hidden="1" x14ac:dyDescent="0.2">
      <c r="B1275" s="3">
        <v>63155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f t="shared" si="19"/>
        <v>0</v>
      </c>
    </row>
    <row r="1276" spans="2:14" hidden="1" x14ac:dyDescent="0.2">
      <c r="B1276" s="3">
        <v>63156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f t="shared" si="19"/>
        <v>0</v>
      </c>
    </row>
    <row r="1277" spans="2:14" hidden="1" x14ac:dyDescent="0.2">
      <c r="B1277" s="3">
        <v>63157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f t="shared" si="19"/>
        <v>0</v>
      </c>
    </row>
    <row r="1278" spans="2:14" hidden="1" x14ac:dyDescent="0.2">
      <c r="B1278" s="3">
        <v>63158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f t="shared" si="19"/>
        <v>0</v>
      </c>
    </row>
    <row r="1279" spans="2:14" hidden="1" x14ac:dyDescent="0.2">
      <c r="B1279" s="3">
        <v>63159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f t="shared" si="19"/>
        <v>0</v>
      </c>
    </row>
    <row r="1280" spans="2:14" hidden="1" x14ac:dyDescent="0.2">
      <c r="B1280" s="3">
        <v>63160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f t="shared" si="19"/>
        <v>0</v>
      </c>
    </row>
    <row r="1281" spans="2:14" hidden="1" x14ac:dyDescent="0.2">
      <c r="B1281" s="3">
        <v>64142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f t="shared" si="19"/>
        <v>0</v>
      </c>
    </row>
    <row r="1282" spans="2:14" hidden="1" x14ac:dyDescent="0.2">
      <c r="B1282" s="3">
        <v>64143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f t="shared" si="19"/>
        <v>0</v>
      </c>
    </row>
    <row r="1283" spans="2:14" hidden="1" x14ac:dyDescent="0.2">
      <c r="B1283" s="3">
        <v>64144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f t="shared" si="19"/>
        <v>0</v>
      </c>
    </row>
    <row r="1284" spans="2:14" hidden="1" x14ac:dyDescent="0.2">
      <c r="B1284" s="3">
        <v>64145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f t="shared" si="19"/>
        <v>0</v>
      </c>
    </row>
    <row r="1285" spans="2:14" hidden="1" x14ac:dyDescent="0.2">
      <c r="B1285" s="3">
        <v>64146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f t="shared" si="19"/>
        <v>0</v>
      </c>
    </row>
    <row r="1286" spans="2:14" hidden="1" x14ac:dyDescent="0.2">
      <c r="B1286" s="3">
        <v>64147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f t="shared" ref="N1286:N1349" si="20">SUM(C1286:M1286)</f>
        <v>0</v>
      </c>
    </row>
    <row r="1287" spans="2:14" hidden="1" x14ac:dyDescent="0.2">
      <c r="B1287" s="3">
        <v>64148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f t="shared" si="20"/>
        <v>0</v>
      </c>
    </row>
    <row r="1288" spans="2:14" hidden="1" x14ac:dyDescent="0.2">
      <c r="B1288" s="3">
        <v>64149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f t="shared" si="20"/>
        <v>0</v>
      </c>
    </row>
    <row r="1289" spans="2:14" hidden="1" x14ac:dyDescent="0.2">
      <c r="B1289" s="3">
        <v>64150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f t="shared" si="20"/>
        <v>0</v>
      </c>
    </row>
    <row r="1290" spans="2:14" hidden="1" x14ac:dyDescent="0.2">
      <c r="B1290" s="3">
        <v>64151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f t="shared" si="20"/>
        <v>0</v>
      </c>
    </row>
    <row r="1291" spans="2:14" hidden="1" x14ac:dyDescent="0.2">
      <c r="B1291" s="3">
        <v>64152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f t="shared" si="20"/>
        <v>0</v>
      </c>
    </row>
    <row r="1292" spans="2:14" hidden="1" x14ac:dyDescent="0.2">
      <c r="B1292" s="3">
        <v>64153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f t="shared" si="20"/>
        <v>0</v>
      </c>
    </row>
    <row r="1293" spans="2:14" hidden="1" x14ac:dyDescent="0.2">
      <c r="B1293" s="3">
        <v>64154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f t="shared" si="20"/>
        <v>0</v>
      </c>
    </row>
    <row r="1294" spans="2:14" hidden="1" x14ac:dyDescent="0.2">
      <c r="B1294" s="3">
        <v>64155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f t="shared" si="20"/>
        <v>0</v>
      </c>
    </row>
    <row r="1295" spans="2:14" hidden="1" x14ac:dyDescent="0.2">
      <c r="B1295" s="3">
        <v>64156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f t="shared" si="20"/>
        <v>0</v>
      </c>
    </row>
    <row r="1296" spans="2:14" hidden="1" x14ac:dyDescent="0.2">
      <c r="B1296" s="3">
        <v>64157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f t="shared" si="20"/>
        <v>0</v>
      </c>
    </row>
    <row r="1297" spans="2:14" hidden="1" x14ac:dyDescent="0.2">
      <c r="B1297" s="3">
        <v>64158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f t="shared" si="20"/>
        <v>0</v>
      </c>
    </row>
    <row r="1298" spans="2:14" hidden="1" x14ac:dyDescent="0.2">
      <c r="B1298" s="3">
        <v>64159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f t="shared" si="20"/>
        <v>0</v>
      </c>
    </row>
    <row r="1299" spans="2:14" hidden="1" x14ac:dyDescent="0.2">
      <c r="B1299" s="3">
        <v>64160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f t="shared" si="20"/>
        <v>0</v>
      </c>
    </row>
    <row r="1300" spans="2:14" hidden="1" x14ac:dyDescent="0.2">
      <c r="B1300" s="3">
        <v>64161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f t="shared" si="20"/>
        <v>0</v>
      </c>
    </row>
    <row r="1301" spans="2:14" hidden="1" x14ac:dyDescent="0.2">
      <c r="B1301" s="3">
        <v>64162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f t="shared" si="20"/>
        <v>0</v>
      </c>
    </row>
    <row r="1302" spans="2:14" hidden="1" x14ac:dyDescent="0.2">
      <c r="B1302" s="3">
        <v>64163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f t="shared" si="20"/>
        <v>0</v>
      </c>
    </row>
    <row r="1303" spans="2:14" hidden="1" x14ac:dyDescent="0.2">
      <c r="B1303" s="3">
        <v>65144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f t="shared" si="20"/>
        <v>0</v>
      </c>
    </row>
    <row r="1304" spans="2:14" hidden="1" x14ac:dyDescent="0.2">
      <c r="B1304" s="3">
        <v>65145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f t="shared" si="20"/>
        <v>0</v>
      </c>
    </row>
    <row r="1305" spans="2:14" hidden="1" x14ac:dyDescent="0.2">
      <c r="B1305" s="3">
        <v>65146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f t="shared" si="20"/>
        <v>0</v>
      </c>
    </row>
    <row r="1306" spans="2:14" hidden="1" x14ac:dyDescent="0.2">
      <c r="B1306" s="3">
        <v>65147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f t="shared" si="20"/>
        <v>0</v>
      </c>
    </row>
    <row r="1307" spans="2:14" hidden="1" x14ac:dyDescent="0.2">
      <c r="B1307" s="3">
        <v>65148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f t="shared" si="20"/>
        <v>0</v>
      </c>
    </row>
    <row r="1308" spans="2:14" hidden="1" x14ac:dyDescent="0.2">
      <c r="B1308" s="3">
        <v>65149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f t="shared" si="20"/>
        <v>0</v>
      </c>
    </row>
    <row r="1309" spans="2:14" hidden="1" x14ac:dyDescent="0.2">
      <c r="B1309" s="3">
        <v>65150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f t="shared" si="20"/>
        <v>0</v>
      </c>
    </row>
    <row r="1310" spans="2:14" hidden="1" x14ac:dyDescent="0.2">
      <c r="B1310" s="3">
        <v>65151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f t="shared" si="20"/>
        <v>0</v>
      </c>
    </row>
    <row r="1311" spans="2:14" hidden="1" x14ac:dyDescent="0.2">
      <c r="B1311" s="3">
        <v>65152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f t="shared" si="20"/>
        <v>0</v>
      </c>
    </row>
    <row r="1312" spans="2:14" hidden="1" x14ac:dyDescent="0.2">
      <c r="B1312" s="3">
        <v>65153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f t="shared" si="20"/>
        <v>0</v>
      </c>
    </row>
    <row r="1313" spans="2:14" hidden="1" x14ac:dyDescent="0.2">
      <c r="B1313" s="3">
        <v>65154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f t="shared" si="20"/>
        <v>0</v>
      </c>
    </row>
    <row r="1314" spans="2:14" hidden="1" x14ac:dyDescent="0.2">
      <c r="B1314" s="3">
        <v>65155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f t="shared" si="20"/>
        <v>0</v>
      </c>
    </row>
    <row r="1315" spans="2:14" hidden="1" x14ac:dyDescent="0.2">
      <c r="B1315" s="3">
        <v>65156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f t="shared" si="20"/>
        <v>0</v>
      </c>
    </row>
    <row r="1316" spans="2:14" hidden="1" x14ac:dyDescent="0.2">
      <c r="B1316" s="3">
        <v>65157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f t="shared" si="20"/>
        <v>0</v>
      </c>
    </row>
    <row r="1317" spans="2:14" hidden="1" x14ac:dyDescent="0.2">
      <c r="B1317" s="3">
        <v>65158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f t="shared" si="20"/>
        <v>0</v>
      </c>
    </row>
    <row r="1318" spans="2:14" hidden="1" x14ac:dyDescent="0.2">
      <c r="B1318" s="3">
        <v>65159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f t="shared" si="20"/>
        <v>0</v>
      </c>
    </row>
    <row r="1319" spans="2:14" hidden="1" x14ac:dyDescent="0.2">
      <c r="B1319" s="3">
        <v>65160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f t="shared" si="20"/>
        <v>0</v>
      </c>
    </row>
    <row r="1320" spans="2:14" hidden="1" x14ac:dyDescent="0.2">
      <c r="B1320" s="3">
        <v>65161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f t="shared" si="20"/>
        <v>0</v>
      </c>
    </row>
    <row r="1321" spans="2:14" hidden="1" x14ac:dyDescent="0.2">
      <c r="B1321" s="3">
        <v>65162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f t="shared" si="20"/>
        <v>0</v>
      </c>
    </row>
    <row r="1322" spans="2:14" hidden="1" x14ac:dyDescent="0.2">
      <c r="B1322" s="3">
        <v>65163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f t="shared" si="20"/>
        <v>0</v>
      </c>
    </row>
    <row r="1323" spans="2:14" hidden="1" x14ac:dyDescent="0.2">
      <c r="B1323" s="3">
        <v>65164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f t="shared" si="20"/>
        <v>0</v>
      </c>
    </row>
    <row r="1324" spans="2:14" hidden="1" x14ac:dyDescent="0.2">
      <c r="B1324" s="3">
        <v>65165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f t="shared" si="20"/>
        <v>0</v>
      </c>
    </row>
    <row r="1325" spans="2:14" hidden="1" x14ac:dyDescent="0.2">
      <c r="B1325" s="3">
        <v>66145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f t="shared" si="20"/>
        <v>0</v>
      </c>
    </row>
    <row r="1326" spans="2:14" hidden="1" x14ac:dyDescent="0.2">
      <c r="B1326" s="3">
        <v>66146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f t="shared" si="20"/>
        <v>0</v>
      </c>
    </row>
    <row r="1327" spans="2:14" hidden="1" x14ac:dyDescent="0.2">
      <c r="B1327" s="3">
        <v>66147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f t="shared" si="20"/>
        <v>0</v>
      </c>
    </row>
    <row r="1328" spans="2:14" hidden="1" x14ac:dyDescent="0.2">
      <c r="B1328" s="3">
        <v>66148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f t="shared" si="20"/>
        <v>0</v>
      </c>
    </row>
    <row r="1329" spans="2:14" hidden="1" x14ac:dyDescent="0.2">
      <c r="B1329" s="3">
        <v>66149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f t="shared" si="20"/>
        <v>0</v>
      </c>
    </row>
    <row r="1330" spans="2:14" hidden="1" x14ac:dyDescent="0.2">
      <c r="B1330" s="3">
        <v>66150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f t="shared" si="20"/>
        <v>0</v>
      </c>
    </row>
    <row r="1331" spans="2:14" hidden="1" x14ac:dyDescent="0.2">
      <c r="B1331" s="3">
        <v>66151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f t="shared" si="20"/>
        <v>0</v>
      </c>
    </row>
    <row r="1332" spans="2:14" hidden="1" x14ac:dyDescent="0.2">
      <c r="B1332" s="3">
        <v>66152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f t="shared" si="20"/>
        <v>0</v>
      </c>
    </row>
    <row r="1333" spans="2:14" hidden="1" x14ac:dyDescent="0.2">
      <c r="B1333" s="3">
        <v>66153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f t="shared" si="20"/>
        <v>0</v>
      </c>
    </row>
    <row r="1334" spans="2:14" hidden="1" x14ac:dyDescent="0.2">
      <c r="B1334" s="3">
        <v>66154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f t="shared" si="20"/>
        <v>0</v>
      </c>
    </row>
    <row r="1335" spans="2:14" hidden="1" x14ac:dyDescent="0.2">
      <c r="B1335" s="3">
        <v>66155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f t="shared" si="20"/>
        <v>0</v>
      </c>
    </row>
    <row r="1336" spans="2:14" hidden="1" x14ac:dyDescent="0.2">
      <c r="B1336" s="3">
        <v>66156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f t="shared" si="20"/>
        <v>0</v>
      </c>
    </row>
    <row r="1337" spans="2:14" hidden="1" x14ac:dyDescent="0.2">
      <c r="B1337" s="3">
        <v>66157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f t="shared" si="20"/>
        <v>0</v>
      </c>
    </row>
    <row r="1338" spans="2:14" hidden="1" x14ac:dyDescent="0.2">
      <c r="B1338" s="3">
        <v>66158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f t="shared" si="20"/>
        <v>0</v>
      </c>
    </row>
    <row r="1339" spans="2:14" hidden="1" x14ac:dyDescent="0.2">
      <c r="B1339" s="3">
        <v>66159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f t="shared" si="20"/>
        <v>0</v>
      </c>
    </row>
    <row r="1340" spans="2:14" hidden="1" x14ac:dyDescent="0.2">
      <c r="B1340" s="3">
        <v>66160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f t="shared" si="20"/>
        <v>0</v>
      </c>
    </row>
    <row r="1341" spans="2:14" hidden="1" x14ac:dyDescent="0.2">
      <c r="B1341" s="3">
        <v>66161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f t="shared" si="20"/>
        <v>0</v>
      </c>
    </row>
    <row r="1342" spans="2:14" hidden="1" x14ac:dyDescent="0.2">
      <c r="B1342" s="3">
        <v>66162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f t="shared" si="20"/>
        <v>0</v>
      </c>
    </row>
    <row r="1343" spans="2:14" hidden="1" x14ac:dyDescent="0.2">
      <c r="B1343" s="3">
        <v>66163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f t="shared" si="20"/>
        <v>0</v>
      </c>
    </row>
    <row r="1344" spans="2:14" hidden="1" x14ac:dyDescent="0.2">
      <c r="B1344" s="3">
        <v>66164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f t="shared" si="20"/>
        <v>0</v>
      </c>
    </row>
    <row r="1345" spans="2:14" hidden="1" x14ac:dyDescent="0.2">
      <c r="B1345" s="3">
        <v>66165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f t="shared" si="20"/>
        <v>0</v>
      </c>
    </row>
    <row r="1346" spans="2:14" hidden="1" x14ac:dyDescent="0.2">
      <c r="B1346" s="3">
        <v>66166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f t="shared" si="20"/>
        <v>0</v>
      </c>
    </row>
    <row r="1347" spans="2:14" hidden="1" x14ac:dyDescent="0.2">
      <c r="B1347" s="3">
        <v>66167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f t="shared" si="20"/>
        <v>0</v>
      </c>
    </row>
    <row r="1348" spans="2:14" hidden="1" x14ac:dyDescent="0.2">
      <c r="B1348" s="3">
        <v>66168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f t="shared" si="20"/>
        <v>0</v>
      </c>
    </row>
    <row r="1349" spans="2:14" hidden="1" x14ac:dyDescent="0.2">
      <c r="B1349" s="3">
        <v>67147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f t="shared" si="20"/>
        <v>0</v>
      </c>
    </row>
    <row r="1350" spans="2:14" hidden="1" x14ac:dyDescent="0.2">
      <c r="B1350" s="3">
        <v>67148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f t="shared" ref="N1350:N1413" si="21">SUM(C1350:M1350)</f>
        <v>0</v>
      </c>
    </row>
    <row r="1351" spans="2:14" hidden="1" x14ac:dyDescent="0.2">
      <c r="B1351" s="3">
        <v>67149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f t="shared" si="21"/>
        <v>0</v>
      </c>
    </row>
    <row r="1352" spans="2:14" hidden="1" x14ac:dyDescent="0.2">
      <c r="B1352" s="3">
        <v>67150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f t="shared" si="21"/>
        <v>0</v>
      </c>
    </row>
    <row r="1353" spans="2:14" hidden="1" x14ac:dyDescent="0.2">
      <c r="B1353" s="3">
        <v>67151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f t="shared" si="21"/>
        <v>0</v>
      </c>
    </row>
    <row r="1354" spans="2:14" hidden="1" x14ac:dyDescent="0.2">
      <c r="B1354" s="3">
        <v>67152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f t="shared" si="21"/>
        <v>0</v>
      </c>
    </row>
    <row r="1355" spans="2:14" hidden="1" x14ac:dyDescent="0.2">
      <c r="B1355" s="3">
        <v>67153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f t="shared" si="21"/>
        <v>0</v>
      </c>
    </row>
    <row r="1356" spans="2:14" hidden="1" x14ac:dyDescent="0.2">
      <c r="B1356" s="3">
        <v>67154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f t="shared" si="21"/>
        <v>0</v>
      </c>
    </row>
    <row r="1357" spans="2:14" hidden="1" x14ac:dyDescent="0.2">
      <c r="B1357" s="3">
        <v>67155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f t="shared" si="21"/>
        <v>0</v>
      </c>
    </row>
    <row r="1358" spans="2:14" hidden="1" x14ac:dyDescent="0.2">
      <c r="B1358" s="3">
        <v>67156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f t="shared" si="21"/>
        <v>0</v>
      </c>
    </row>
    <row r="1359" spans="2:14" hidden="1" x14ac:dyDescent="0.2">
      <c r="B1359" s="3">
        <v>67157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f t="shared" si="21"/>
        <v>0</v>
      </c>
    </row>
    <row r="1360" spans="2:14" hidden="1" x14ac:dyDescent="0.2">
      <c r="B1360" s="3">
        <v>67158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f t="shared" si="21"/>
        <v>0</v>
      </c>
    </row>
    <row r="1361" spans="2:14" hidden="1" x14ac:dyDescent="0.2">
      <c r="B1361" s="3">
        <v>67159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f t="shared" si="21"/>
        <v>0</v>
      </c>
    </row>
    <row r="1362" spans="2:14" hidden="1" x14ac:dyDescent="0.2">
      <c r="B1362" s="3">
        <v>67160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f t="shared" si="21"/>
        <v>0</v>
      </c>
    </row>
    <row r="1363" spans="2:14" hidden="1" x14ac:dyDescent="0.2">
      <c r="B1363" s="3">
        <v>67161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f t="shared" si="21"/>
        <v>0</v>
      </c>
    </row>
    <row r="1364" spans="2:14" hidden="1" x14ac:dyDescent="0.2">
      <c r="B1364" s="3">
        <v>67162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f t="shared" si="21"/>
        <v>0</v>
      </c>
    </row>
    <row r="1365" spans="2:14" hidden="1" x14ac:dyDescent="0.2">
      <c r="B1365" s="3">
        <v>67163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f t="shared" si="21"/>
        <v>0</v>
      </c>
    </row>
    <row r="1366" spans="2:14" hidden="1" x14ac:dyDescent="0.2">
      <c r="B1366" s="3">
        <v>67164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f t="shared" si="21"/>
        <v>0</v>
      </c>
    </row>
    <row r="1367" spans="2:14" hidden="1" x14ac:dyDescent="0.2">
      <c r="B1367" s="3">
        <v>67165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f t="shared" si="21"/>
        <v>0</v>
      </c>
    </row>
    <row r="1368" spans="2:14" hidden="1" x14ac:dyDescent="0.2">
      <c r="B1368" s="3">
        <v>67166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f t="shared" si="21"/>
        <v>0</v>
      </c>
    </row>
    <row r="1369" spans="2:14" hidden="1" x14ac:dyDescent="0.2">
      <c r="B1369" s="3">
        <v>67167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f t="shared" si="21"/>
        <v>0</v>
      </c>
    </row>
    <row r="1370" spans="2:14" hidden="1" x14ac:dyDescent="0.2">
      <c r="B1370" s="3">
        <v>67168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f t="shared" si="21"/>
        <v>0</v>
      </c>
    </row>
    <row r="1371" spans="2:14" hidden="1" x14ac:dyDescent="0.2">
      <c r="B1371" s="3">
        <v>67169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f t="shared" si="21"/>
        <v>0</v>
      </c>
    </row>
    <row r="1372" spans="2:14" hidden="1" x14ac:dyDescent="0.2">
      <c r="B1372" s="3">
        <v>67170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f t="shared" si="21"/>
        <v>0</v>
      </c>
    </row>
    <row r="1373" spans="2:14" hidden="1" x14ac:dyDescent="0.2">
      <c r="B1373" s="3">
        <v>68147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f t="shared" si="21"/>
        <v>0</v>
      </c>
    </row>
    <row r="1374" spans="2:14" hidden="1" x14ac:dyDescent="0.2">
      <c r="B1374" s="3">
        <v>68148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f t="shared" si="21"/>
        <v>0</v>
      </c>
    </row>
    <row r="1375" spans="2:14" hidden="1" x14ac:dyDescent="0.2">
      <c r="B1375" s="3">
        <v>68149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f t="shared" si="21"/>
        <v>0</v>
      </c>
    </row>
    <row r="1376" spans="2:14" hidden="1" x14ac:dyDescent="0.2">
      <c r="B1376" s="3">
        <v>68150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f t="shared" si="21"/>
        <v>0</v>
      </c>
    </row>
    <row r="1377" spans="2:14" hidden="1" x14ac:dyDescent="0.2">
      <c r="B1377" s="3">
        <v>68151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f t="shared" si="21"/>
        <v>0</v>
      </c>
    </row>
    <row r="1378" spans="2:14" hidden="1" x14ac:dyDescent="0.2">
      <c r="B1378" s="3">
        <v>68152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f t="shared" si="21"/>
        <v>0</v>
      </c>
    </row>
    <row r="1379" spans="2:14" hidden="1" x14ac:dyDescent="0.2">
      <c r="B1379" s="3">
        <v>68153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f t="shared" si="21"/>
        <v>0</v>
      </c>
    </row>
    <row r="1380" spans="2:14" hidden="1" x14ac:dyDescent="0.2">
      <c r="B1380" s="3">
        <v>68154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f t="shared" si="21"/>
        <v>0</v>
      </c>
    </row>
    <row r="1381" spans="2:14" hidden="1" x14ac:dyDescent="0.2">
      <c r="B1381" s="3">
        <v>68155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f t="shared" si="21"/>
        <v>0</v>
      </c>
    </row>
    <row r="1382" spans="2:14" hidden="1" x14ac:dyDescent="0.2">
      <c r="B1382" s="3">
        <v>68156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f t="shared" si="21"/>
        <v>0</v>
      </c>
    </row>
    <row r="1383" spans="2:14" hidden="1" x14ac:dyDescent="0.2">
      <c r="B1383" s="3">
        <v>68157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f t="shared" si="21"/>
        <v>0</v>
      </c>
    </row>
    <row r="1384" spans="2:14" hidden="1" x14ac:dyDescent="0.2">
      <c r="B1384" s="3">
        <v>68158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f t="shared" si="21"/>
        <v>0</v>
      </c>
    </row>
    <row r="1385" spans="2:14" hidden="1" x14ac:dyDescent="0.2">
      <c r="B1385" s="3">
        <v>68159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f t="shared" si="21"/>
        <v>0</v>
      </c>
    </row>
    <row r="1386" spans="2:14" hidden="1" x14ac:dyDescent="0.2">
      <c r="B1386" s="3">
        <v>68160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f t="shared" si="21"/>
        <v>0</v>
      </c>
    </row>
    <row r="1387" spans="2:14" hidden="1" x14ac:dyDescent="0.2">
      <c r="B1387" s="3">
        <v>68161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f t="shared" si="21"/>
        <v>0</v>
      </c>
    </row>
    <row r="1388" spans="2:14" hidden="1" x14ac:dyDescent="0.2">
      <c r="B1388" s="3">
        <v>68162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f t="shared" si="21"/>
        <v>0</v>
      </c>
    </row>
    <row r="1389" spans="2:14" hidden="1" x14ac:dyDescent="0.2">
      <c r="B1389" s="3">
        <v>68163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f t="shared" si="21"/>
        <v>0</v>
      </c>
    </row>
    <row r="1390" spans="2:14" hidden="1" x14ac:dyDescent="0.2">
      <c r="B1390" s="3">
        <v>68164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f t="shared" si="21"/>
        <v>0</v>
      </c>
    </row>
    <row r="1391" spans="2:14" hidden="1" x14ac:dyDescent="0.2">
      <c r="B1391" s="3">
        <v>68165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f t="shared" si="21"/>
        <v>0</v>
      </c>
    </row>
    <row r="1392" spans="2:14" hidden="1" x14ac:dyDescent="0.2">
      <c r="B1392" s="3">
        <v>68166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f t="shared" si="21"/>
        <v>0</v>
      </c>
    </row>
    <row r="1393" spans="2:14" hidden="1" x14ac:dyDescent="0.2">
      <c r="B1393" s="3">
        <v>68167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f t="shared" si="21"/>
        <v>0</v>
      </c>
    </row>
    <row r="1394" spans="2:14" hidden="1" x14ac:dyDescent="0.2">
      <c r="B1394" s="3">
        <v>68168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f t="shared" si="21"/>
        <v>0</v>
      </c>
    </row>
    <row r="1395" spans="2:14" hidden="1" x14ac:dyDescent="0.2">
      <c r="B1395" s="3">
        <v>68169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f t="shared" si="21"/>
        <v>0</v>
      </c>
    </row>
    <row r="1396" spans="2:14" hidden="1" x14ac:dyDescent="0.2">
      <c r="B1396" s="3">
        <v>68170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f t="shared" si="21"/>
        <v>0</v>
      </c>
    </row>
    <row r="1397" spans="2:14" hidden="1" x14ac:dyDescent="0.2">
      <c r="B1397" s="3">
        <v>68171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f t="shared" si="21"/>
        <v>0</v>
      </c>
    </row>
    <row r="1398" spans="2:14" hidden="1" x14ac:dyDescent="0.2">
      <c r="B1398" s="3">
        <v>68172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f t="shared" si="21"/>
        <v>0</v>
      </c>
    </row>
    <row r="1399" spans="2:14" hidden="1" x14ac:dyDescent="0.2">
      <c r="B1399" s="3">
        <v>68173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f t="shared" si="21"/>
        <v>0</v>
      </c>
    </row>
    <row r="1400" spans="2:14" hidden="1" x14ac:dyDescent="0.2">
      <c r="B1400" s="3">
        <v>69151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f t="shared" si="21"/>
        <v>0</v>
      </c>
    </row>
    <row r="1401" spans="2:14" hidden="1" x14ac:dyDescent="0.2">
      <c r="B1401" s="3">
        <v>69152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f t="shared" si="21"/>
        <v>0</v>
      </c>
    </row>
    <row r="1402" spans="2:14" hidden="1" x14ac:dyDescent="0.2">
      <c r="B1402" s="3">
        <v>69153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f t="shared" si="21"/>
        <v>0</v>
      </c>
    </row>
    <row r="1403" spans="2:14" hidden="1" x14ac:dyDescent="0.2">
      <c r="B1403" s="3">
        <v>69154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f t="shared" si="21"/>
        <v>0</v>
      </c>
    </row>
    <row r="1404" spans="2:14" hidden="1" x14ac:dyDescent="0.2">
      <c r="B1404" s="3">
        <v>69155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f t="shared" si="21"/>
        <v>0</v>
      </c>
    </row>
    <row r="1405" spans="2:14" hidden="1" x14ac:dyDescent="0.2">
      <c r="B1405" s="3">
        <v>69156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f t="shared" si="21"/>
        <v>0</v>
      </c>
    </row>
    <row r="1406" spans="2:14" hidden="1" x14ac:dyDescent="0.2">
      <c r="B1406" s="3">
        <v>69157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f t="shared" si="21"/>
        <v>0</v>
      </c>
    </row>
    <row r="1407" spans="2:14" hidden="1" x14ac:dyDescent="0.2">
      <c r="B1407" s="3">
        <v>69158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f t="shared" si="21"/>
        <v>0</v>
      </c>
    </row>
    <row r="1408" spans="2:14" hidden="1" x14ac:dyDescent="0.2">
      <c r="B1408" s="3">
        <v>69159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f t="shared" si="21"/>
        <v>0</v>
      </c>
    </row>
    <row r="1409" spans="2:14" hidden="1" x14ac:dyDescent="0.2">
      <c r="B1409" s="3">
        <v>69160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f t="shared" si="21"/>
        <v>0</v>
      </c>
    </row>
    <row r="1410" spans="2:14" hidden="1" x14ac:dyDescent="0.2">
      <c r="B1410" s="3">
        <v>69161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f t="shared" si="21"/>
        <v>0</v>
      </c>
    </row>
    <row r="1411" spans="2:14" hidden="1" x14ac:dyDescent="0.2">
      <c r="B1411" s="3">
        <v>69162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f t="shared" si="21"/>
        <v>0</v>
      </c>
    </row>
    <row r="1412" spans="2:14" hidden="1" x14ac:dyDescent="0.2">
      <c r="B1412" s="3">
        <v>69163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f t="shared" si="21"/>
        <v>0</v>
      </c>
    </row>
    <row r="1413" spans="2:14" hidden="1" x14ac:dyDescent="0.2">
      <c r="B1413" s="3">
        <v>69164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f t="shared" si="21"/>
        <v>0</v>
      </c>
    </row>
    <row r="1414" spans="2:14" hidden="1" x14ac:dyDescent="0.2">
      <c r="B1414" s="3">
        <v>69165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f t="shared" ref="N1414:N1477" si="22">SUM(C1414:M1414)</f>
        <v>0</v>
      </c>
    </row>
    <row r="1415" spans="2:14" hidden="1" x14ac:dyDescent="0.2">
      <c r="B1415" s="3">
        <v>69166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f t="shared" si="22"/>
        <v>0</v>
      </c>
    </row>
    <row r="1416" spans="2:14" hidden="1" x14ac:dyDescent="0.2">
      <c r="B1416" s="3">
        <v>69167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f t="shared" si="22"/>
        <v>0</v>
      </c>
    </row>
    <row r="1417" spans="2:14" hidden="1" x14ac:dyDescent="0.2">
      <c r="B1417" s="3">
        <v>69168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f t="shared" si="22"/>
        <v>0</v>
      </c>
    </row>
    <row r="1418" spans="2:14" hidden="1" x14ac:dyDescent="0.2">
      <c r="B1418" s="3">
        <v>69169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f t="shared" si="22"/>
        <v>0</v>
      </c>
    </row>
    <row r="1419" spans="2:14" hidden="1" x14ac:dyDescent="0.2">
      <c r="B1419" s="3">
        <v>69170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f t="shared" si="22"/>
        <v>0</v>
      </c>
    </row>
    <row r="1420" spans="2:14" hidden="1" x14ac:dyDescent="0.2">
      <c r="B1420" s="3">
        <v>69171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f t="shared" si="22"/>
        <v>0</v>
      </c>
    </row>
    <row r="1421" spans="2:14" hidden="1" x14ac:dyDescent="0.2">
      <c r="B1421" s="3">
        <v>69172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f t="shared" si="22"/>
        <v>0</v>
      </c>
    </row>
    <row r="1422" spans="2:14" hidden="1" x14ac:dyDescent="0.2">
      <c r="B1422" s="3">
        <v>69173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f t="shared" si="22"/>
        <v>0</v>
      </c>
    </row>
    <row r="1423" spans="2:14" hidden="1" x14ac:dyDescent="0.2">
      <c r="B1423" s="3">
        <v>69174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f t="shared" si="22"/>
        <v>0</v>
      </c>
    </row>
    <row r="1424" spans="2:14" hidden="1" x14ac:dyDescent="0.2">
      <c r="B1424" s="3">
        <v>69175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f t="shared" si="22"/>
        <v>0</v>
      </c>
    </row>
    <row r="1425" spans="2:14" hidden="1" x14ac:dyDescent="0.2">
      <c r="B1425" s="3">
        <v>69176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f t="shared" si="22"/>
        <v>0</v>
      </c>
    </row>
    <row r="1426" spans="2:14" hidden="1" x14ac:dyDescent="0.2">
      <c r="B1426" s="3">
        <v>70153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f t="shared" si="22"/>
        <v>0</v>
      </c>
    </row>
    <row r="1427" spans="2:14" hidden="1" x14ac:dyDescent="0.2">
      <c r="B1427" s="3">
        <v>70154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f t="shared" si="22"/>
        <v>0</v>
      </c>
    </row>
    <row r="1428" spans="2:14" hidden="1" x14ac:dyDescent="0.2">
      <c r="B1428" s="3">
        <v>70155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f t="shared" si="22"/>
        <v>0</v>
      </c>
    </row>
    <row r="1429" spans="2:14" hidden="1" x14ac:dyDescent="0.2">
      <c r="B1429" s="3">
        <v>70156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f t="shared" si="22"/>
        <v>0</v>
      </c>
    </row>
    <row r="1430" spans="2:14" hidden="1" x14ac:dyDescent="0.2">
      <c r="B1430" s="3">
        <v>70157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f t="shared" si="22"/>
        <v>0</v>
      </c>
    </row>
    <row r="1431" spans="2:14" hidden="1" x14ac:dyDescent="0.2">
      <c r="B1431" s="3">
        <v>70158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f t="shared" si="22"/>
        <v>0</v>
      </c>
    </row>
    <row r="1432" spans="2:14" hidden="1" x14ac:dyDescent="0.2">
      <c r="B1432" s="3">
        <v>70159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f t="shared" si="22"/>
        <v>0</v>
      </c>
    </row>
    <row r="1433" spans="2:14" hidden="1" x14ac:dyDescent="0.2">
      <c r="B1433" s="3">
        <v>70160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f t="shared" si="22"/>
        <v>0</v>
      </c>
    </row>
    <row r="1434" spans="2:14" hidden="1" x14ac:dyDescent="0.2">
      <c r="B1434" s="3">
        <v>70161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f t="shared" si="22"/>
        <v>0</v>
      </c>
    </row>
    <row r="1435" spans="2:14" hidden="1" x14ac:dyDescent="0.2">
      <c r="B1435" s="3">
        <v>70162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f t="shared" si="22"/>
        <v>0</v>
      </c>
    </row>
    <row r="1436" spans="2:14" hidden="1" x14ac:dyDescent="0.2">
      <c r="B1436" s="3">
        <v>70163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f t="shared" si="22"/>
        <v>0</v>
      </c>
    </row>
    <row r="1437" spans="2:14" hidden="1" x14ac:dyDescent="0.2">
      <c r="B1437" s="3">
        <v>70164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f t="shared" si="22"/>
        <v>0</v>
      </c>
    </row>
    <row r="1438" spans="2:14" hidden="1" x14ac:dyDescent="0.2">
      <c r="B1438" s="3">
        <v>70165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f t="shared" si="22"/>
        <v>0</v>
      </c>
    </row>
    <row r="1439" spans="2:14" hidden="1" x14ac:dyDescent="0.2">
      <c r="B1439" s="3">
        <v>70166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f t="shared" si="22"/>
        <v>0</v>
      </c>
    </row>
    <row r="1440" spans="2:14" hidden="1" x14ac:dyDescent="0.2">
      <c r="B1440" s="3">
        <v>70167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f t="shared" si="22"/>
        <v>0</v>
      </c>
    </row>
    <row r="1441" spans="2:14" hidden="1" x14ac:dyDescent="0.2">
      <c r="B1441" s="3">
        <v>70168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f t="shared" si="22"/>
        <v>0</v>
      </c>
    </row>
    <row r="1442" spans="2:14" hidden="1" x14ac:dyDescent="0.2">
      <c r="B1442" s="3">
        <v>70169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f t="shared" si="22"/>
        <v>0</v>
      </c>
    </row>
    <row r="1443" spans="2:14" hidden="1" x14ac:dyDescent="0.2">
      <c r="B1443" s="3">
        <v>70170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f t="shared" si="22"/>
        <v>0</v>
      </c>
    </row>
    <row r="1444" spans="2:14" hidden="1" x14ac:dyDescent="0.2">
      <c r="B1444" s="3">
        <v>70171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f t="shared" si="22"/>
        <v>0</v>
      </c>
    </row>
    <row r="1445" spans="2:14" hidden="1" x14ac:dyDescent="0.2">
      <c r="B1445" s="3">
        <v>70172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f t="shared" si="22"/>
        <v>0</v>
      </c>
    </row>
    <row r="1446" spans="2:14" hidden="1" x14ac:dyDescent="0.2">
      <c r="B1446" s="3">
        <v>70173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f t="shared" si="22"/>
        <v>0</v>
      </c>
    </row>
    <row r="1447" spans="2:14" hidden="1" x14ac:dyDescent="0.2">
      <c r="B1447" s="3">
        <v>70174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f t="shared" si="22"/>
        <v>0</v>
      </c>
    </row>
    <row r="1448" spans="2:14" hidden="1" x14ac:dyDescent="0.2">
      <c r="B1448" s="3">
        <v>70175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f t="shared" si="22"/>
        <v>0</v>
      </c>
    </row>
    <row r="1449" spans="2:14" hidden="1" x14ac:dyDescent="0.2">
      <c r="B1449" s="3">
        <v>70176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f t="shared" si="22"/>
        <v>0</v>
      </c>
    </row>
    <row r="1450" spans="2:14" hidden="1" x14ac:dyDescent="0.2">
      <c r="B1450" s="3">
        <v>70177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f t="shared" si="22"/>
        <v>0</v>
      </c>
    </row>
    <row r="1451" spans="2:14" hidden="1" x14ac:dyDescent="0.2">
      <c r="B1451" s="3">
        <v>70178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f t="shared" si="22"/>
        <v>0</v>
      </c>
    </row>
    <row r="1452" spans="2:14" hidden="1" x14ac:dyDescent="0.2">
      <c r="B1452" s="3">
        <v>70179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f t="shared" si="22"/>
        <v>0</v>
      </c>
    </row>
    <row r="1453" spans="2:14" hidden="1" x14ac:dyDescent="0.2">
      <c r="B1453" s="3">
        <v>71151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f t="shared" si="22"/>
        <v>0</v>
      </c>
    </row>
    <row r="1454" spans="2:14" hidden="1" x14ac:dyDescent="0.2">
      <c r="B1454" s="3">
        <v>71152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f t="shared" si="22"/>
        <v>0</v>
      </c>
    </row>
    <row r="1455" spans="2:14" hidden="1" x14ac:dyDescent="0.2">
      <c r="B1455" s="3">
        <v>71153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f t="shared" si="22"/>
        <v>0</v>
      </c>
    </row>
    <row r="1456" spans="2:14" hidden="1" x14ac:dyDescent="0.2">
      <c r="B1456" s="3">
        <v>71154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f t="shared" si="22"/>
        <v>0</v>
      </c>
    </row>
    <row r="1457" spans="2:14" hidden="1" x14ac:dyDescent="0.2">
      <c r="B1457" s="3">
        <v>71155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f t="shared" si="22"/>
        <v>0</v>
      </c>
    </row>
    <row r="1458" spans="2:14" hidden="1" x14ac:dyDescent="0.2">
      <c r="B1458" s="3">
        <v>71156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f t="shared" si="22"/>
        <v>0</v>
      </c>
    </row>
    <row r="1459" spans="2:14" hidden="1" x14ac:dyDescent="0.2">
      <c r="B1459" s="3">
        <v>71157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f t="shared" si="22"/>
        <v>0</v>
      </c>
    </row>
    <row r="1460" spans="2:14" hidden="1" x14ac:dyDescent="0.2">
      <c r="B1460" s="3">
        <v>71158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f t="shared" si="22"/>
        <v>0</v>
      </c>
    </row>
    <row r="1461" spans="2:14" hidden="1" x14ac:dyDescent="0.2">
      <c r="B1461" s="3">
        <v>71159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f t="shared" si="22"/>
        <v>0</v>
      </c>
    </row>
    <row r="1462" spans="2:14" hidden="1" x14ac:dyDescent="0.2">
      <c r="B1462" s="3">
        <v>71160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f t="shared" si="22"/>
        <v>0</v>
      </c>
    </row>
    <row r="1463" spans="2:14" hidden="1" x14ac:dyDescent="0.2">
      <c r="B1463" s="3">
        <v>71161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f t="shared" si="22"/>
        <v>0</v>
      </c>
    </row>
    <row r="1464" spans="2:14" hidden="1" x14ac:dyDescent="0.2">
      <c r="B1464" s="3">
        <v>71162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f t="shared" si="22"/>
        <v>0</v>
      </c>
    </row>
    <row r="1465" spans="2:14" hidden="1" x14ac:dyDescent="0.2">
      <c r="B1465" s="3">
        <v>71163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f t="shared" si="22"/>
        <v>0</v>
      </c>
    </row>
    <row r="1466" spans="2:14" hidden="1" x14ac:dyDescent="0.2">
      <c r="B1466" s="3">
        <v>71164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f t="shared" si="22"/>
        <v>0</v>
      </c>
    </row>
    <row r="1467" spans="2:14" hidden="1" x14ac:dyDescent="0.2">
      <c r="B1467" s="3">
        <v>71165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f t="shared" si="22"/>
        <v>0</v>
      </c>
    </row>
    <row r="1468" spans="2:14" hidden="1" x14ac:dyDescent="0.2">
      <c r="B1468" s="3">
        <v>71166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f t="shared" si="22"/>
        <v>0</v>
      </c>
    </row>
    <row r="1469" spans="2:14" hidden="1" x14ac:dyDescent="0.2">
      <c r="B1469" s="3">
        <v>71167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f t="shared" si="22"/>
        <v>0</v>
      </c>
    </row>
    <row r="1470" spans="2:14" hidden="1" x14ac:dyDescent="0.2">
      <c r="B1470" s="3">
        <v>71168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f t="shared" si="22"/>
        <v>0</v>
      </c>
    </row>
    <row r="1471" spans="2:14" hidden="1" x14ac:dyDescent="0.2">
      <c r="B1471" s="3">
        <v>71169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f t="shared" si="22"/>
        <v>0</v>
      </c>
    </row>
    <row r="1472" spans="2:14" hidden="1" x14ac:dyDescent="0.2">
      <c r="B1472" s="3">
        <v>71170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f t="shared" si="22"/>
        <v>0</v>
      </c>
    </row>
    <row r="1473" spans="2:14" hidden="1" x14ac:dyDescent="0.2">
      <c r="B1473" s="3">
        <v>71171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f t="shared" si="22"/>
        <v>0</v>
      </c>
    </row>
    <row r="1474" spans="2:14" hidden="1" x14ac:dyDescent="0.2">
      <c r="B1474" s="3">
        <v>71172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f t="shared" si="22"/>
        <v>0</v>
      </c>
    </row>
    <row r="1475" spans="2:14" hidden="1" x14ac:dyDescent="0.2">
      <c r="B1475" s="3">
        <v>71173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f t="shared" si="22"/>
        <v>0</v>
      </c>
    </row>
    <row r="1476" spans="2:14" hidden="1" x14ac:dyDescent="0.2">
      <c r="B1476" s="3">
        <v>71174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f t="shared" si="22"/>
        <v>0</v>
      </c>
    </row>
    <row r="1477" spans="2:14" hidden="1" x14ac:dyDescent="0.2">
      <c r="B1477" s="3">
        <v>71175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f t="shared" si="22"/>
        <v>0</v>
      </c>
    </row>
    <row r="1478" spans="2:14" hidden="1" x14ac:dyDescent="0.2">
      <c r="B1478" s="3">
        <v>71176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f t="shared" ref="N1478:N1541" si="23">SUM(C1478:M1478)</f>
        <v>0</v>
      </c>
    </row>
    <row r="1479" spans="2:14" hidden="1" x14ac:dyDescent="0.2">
      <c r="B1479" s="3">
        <v>71177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f t="shared" si="23"/>
        <v>0</v>
      </c>
    </row>
    <row r="1480" spans="2:14" hidden="1" x14ac:dyDescent="0.2">
      <c r="B1480" s="3">
        <v>71178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f t="shared" si="23"/>
        <v>0</v>
      </c>
    </row>
    <row r="1481" spans="2:14" hidden="1" x14ac:dyDescent="0.2">
      <c r="B1481" s="3">
        <v>71179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f t="shared" si="23"/>
        <v>0</v>
      </c>
    </row>
    <row r="1482" spans="2:14" hidden="1" x14ac:dyDescent="0.2">
      <c r="B1482" s="3">
        <v>71180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f t="shared" si="23"/>
        <v>0</v>
      </c>
    </row>
    <row r="1483" spans="2:14" hidden="1" x14ac:dyDescent="0.2">
      <c r="B1483" s="3">
        <v>71181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f t="shared" si="23"/>
        <v>0</v>
      </c>
    </row>
    <row r="1484" spans="2:14" hidden="1" x14ac:dyDescent="0.2">
      <c r="B1484" s="3">
        <v>71182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f t="shared" si="23"/>
        <v>0</v>
      </c>
    </row>
    <row r="1485" spans="2:14" hidden="1" x14ac:dyDescent="0.2">
      <c r="B1485" s="3">
        <v>71183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f t="shared" si="23"/>
        <v>0</v>
      </c>
    </row>
    <row r="1486" spans="2:14" hidden="1" x14ac:dyDescent="0.2">
      <c r="B1486" s="3">
        <v>72154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f t="shared" si="23"/>
        <v>0</v>
      </c>
    </row>
    <row r="1487" spans="2:14" hidden="1" x14ac:dyDescent="0.2">
      <c r="B1487" s="3">
        <v>72155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f t="shared" si="23"/>
        <v>0</v>
      </c>
    </row>
    <row r="1488" spans="2:14" hidden="1" x14ac:dyDescent="0.2">
      <c r="B1488" s="3">
        <v>72156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f t="shared" si="23"/>
        <v>0</v>
      </c>
    </row>
    <row r="1489" spans="2:14" hidden="1" x14ac:dyDescent="0.2">
      <c r="B1489" s="3">
        <v>72157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f t="shared" si="23"/>
        <v>0</v>
      </c>
    </row>
    <row r="1490" spans="2:14" hidden="1" x14ac:dyDescent="0.2">
      <c r="B1490" s="3">
        <v>72158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f t="shared" si="23"/>
        <v>0</v>
      </c>
    </row>
    <row r="1491" spans="2:14" hidden="1" x14ac:dyDescent="0.2">
      <c r="B1491" s="3">
        <v>72159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f t="shared" si="23"/>
        <v>0</v>
      </c>
    </row>
    <row r="1492" spans="2:14" hidden="1" x14ac:dyDescent="0.2">
      <c r="B1492" s="3">
        <v>72160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f t="shared" si="23"/>
        <v>0</v>
      </c>
    </row>
    <row r="1493" spans="2:14" hidden="1" x14ac:dyDescent="0.2">
      <c r="B1493" s="3">
        <v>72161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f t="shared" si="23"/>
        <v>0</v>
      </c>
    </row>
    <row r="1494" spans="2:14" hidden="1" x14ac:dyDescent="0.2">
      <c r="B1494" s="3">
        <v>72162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f t="shared" si="23"/>
        <v>0</v>
      </c>
    </row>
    <row r="1495" spans="2:14" hidden="1" x14ac:dyDescent="0.2">
      <c r="B1495" s="3">
        <v>72163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f t="shared" si="23"/>
        <v>0</v>
      </c>
    </row>
    <row r="1496" spans="2:14" hidden="1" x14ac:dyDescent="0.2">
      <c r="B1496" s="3">
        <v>72164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f t="shared" si="23"/>
        <v>0</v>
      </c>
    </row>
    <row r="1497" spans="2:14" hidden="1" x14ac:dyDescent="0.2">
      <c r="B1497" s="3">
        <v>72165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f t="shared" si="23"/>
        <v>0</v>
      </c>
    </row>
    <row r="1498" spans="2:14" hidden="1" x14ac:dyDescent="0.2">
      <c r="B1498" s="3">
        <v>72166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f t="shared" si="23"/>
        <v>0</v>
      </c>
    </row>
    <row r="1499" spans="2:14" hidden="1" x14ac:dyDescent="0.2">
      <c r="B1499" s="3">
        <v>72167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f t="shared" si="23"/>
        <v>0</v>
      </c>
    </row>
    <row r="1500" spans="2:14" hidden="1" x14ac:dyDescent="0.2">
      <c r="B1500" s="3">
        <v>72168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f t="shared" si="23"/>
        <v>0</v>
      </c>
    </row>
    <row r="1501" spans="2:14" hidden="1" x14ac:dyDescent="0.2">
      <c r="B1501" s="3">
        <v>72169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f t="shared" si="23"/>
        <v>0</v>
      </c>
    </row>
    <row r="1502" spans="2:14" hidden="1" x14ac:dyDescent="0.2">
      <c r="B1502" s="3">
        <v>72170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f t="shared" si="23"/>
        <v>0</v>
      </c>
    </row>
    <row r="1503" spans="2:14" hidden="1" x14ac:dyDescent="0.2">
      <c r="B1503" s="3">
        <v>72171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f t="shared" si="23"/>
        <v>0</v>
      </c>
    </row>
    <row r="1504" spans="2:14" hidden="1" x14ac:dyDescent="0.2">
      <c r="B1504" s="3">
        <v>72172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f t="shared" si="23"/>
        <v>0</v>
      </c>
    </row>
    <row r="1505" spans="2:14" hidden="1" x14ac:dyDescent="0.2">
      <c r="B1505" s="3">
        <v>72173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f t="shared" si="23"/>
        <v>0</v>
      </c>
    </row>
    <row r="1506" spans="2:14" hidden="1" x14ac:dyDescent="0.2">
      <c r="B1506" s="3">
        <v>72174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f t="shared" si="23"/>
        <v>0</v>
      </c>
    </row>
    <row r="1507" spans="2:14" hidden="1" x14ac:dyDescent="0.2">
      <c r="B1507" s="3">
        <v>72175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f t="shared" si="23"/>
        <v>0</v>
      </c>
    </row>
    <row r="1508" spans="2:14" hidden="1" x14ac:dyDescent="0.2">
      <c r="B1508" s="3">
        <v>72176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f t="shared" si="23"/>
        <v>0</v>
      </c>
    </row>
    <row r="1509" spans="2:14" hidden="1" x14ac:dyDescent="0.2">
      <c r="B1509" s="3">
        <v>72177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f t="shared" si="23"/>
        <v>0</v>
      </c>
    </row>
    <row r="1510" spans="2:14" hidden="1" x14ac:dyDescent="0.2">
      <c r="B1510" s="3">
        <v>72178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f t="shared" si="23"/>
        <v>0</v>
      </c>
    </row>
    <row r="1511" spans="2:14" hidden="1" x14ac:dyDescent="0.2">
      <c r="B1511" s="3">
        <v>72179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f t="shared" si="23"/>
        <v>0</v>
      </c>
    </row>
    <row r="1512" spans="2:14" hidden="1" x14ac:dyDescent="0.2">
      <c r="B1512" s="3">
        <v>72180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f t="shared" si="23"/>
        <v>0</v>
      </c>
    </row>
    <row r="1513" spans="2:14" hidden="1" x14ac:dyDescent="0.2">
      <c r="B1513" s="3">
        <v>72181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f t="shared" si="23"/>
        <v>0</v>
      </c>
    </row>
    <row r="1514" spans="2:14" hidden="1" x14ac:dyDescent="0.2">
      <c r="B1514" s="3">
        <v>72182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f t="shared" si="23"/>
        <v>0</v>
      </c>
    </row>
    <row r="1515" spans="2:14" hidden="1" x14ac:dyDescent="0.2">
      <c r="B1515" s="3">
        <v>72183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f t="shared" si="23"/>
        <v>0</v>
      </c>
    </row>
    <row r="1516" spans="2:14" hidden="1" x14ac:dyDescent="0.2">
      <c r="B1516" s="3">
        <v>72184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f t="shared" si="23"/>
        <v>0</v>
      </c>
    </row>
    <row r="1517" spans="2:14" hidden="1" x14ac:dyDescent="0.2">
      <c r="B1517" s="3">
        <v>73157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f t="shared" si="23"/>
        <v>0</v>
      </c>
    </row>
    <row r="1518" spans="2:14" hidden="1" x14ac:dyDescent="0.2">
      <c r="B1518" s="3">
        <v>73158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f t="shared" si="23"/>
        <v>0</v>
      </c>
    </row>
    <row r="1519" spans="2:14" hidden="1" x14ac:dyDescent="0.2">
      <c r="B1519" s="3">
        <v>73159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f t="shared" si="23"/>
        <v>0</v>
      </c>
    </row>
    <row r="1520" spans="2:14" hidden="1" x14ac:dyDescent="0.2">
      <c r="B1520" s="3">
        <v>73160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f t="shared" si="23"/>
        <v>0</v>
      </c>
    </row>
    <row r="1521" spans="2:14" hidden="1" x14ac:dyDescent="0.2">
      <c r="B1521" s="3">
        <v>73161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f t="shared" si="23"/>
        <v>0</v>
      </c>
    </row>
    <row r="1522" spans="2:14" hidden="1" x14ac:dyDescent="0.2">
      <c r="B1522" s="3">
        <v>73162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f t="shared" si="23"/>
        <v>0</v>
      </c>
    </row>
    <row r="1523" spans="2:14" hidden="1" x14ac:dyDescent="0.2">
      <c r="B1523" s="3">
        <v>73163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f t="shared" si="23"/>
        <v>0</v>
      </c>
    </row>
    <row r="1524" spans="2:14" hidden="1" x14ac:dyDescent="0.2">
      <c r="B1524" s="3">
        <v>73164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f t="shared" si="23"/>
        <v>0</v>
      </c>
    </row>
    <row r="1525" spans="2:14" hidden="1" x14ac:dyDescent="0.2">
      <c r="B1525" s="3">
        <v>73165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f t="shared" si="23"/>
        <v>0</v>
      </c>
    </row>
    <row r="1526" spans="2:14" hidden="1" x14ac:dyDescent="0.2">
      <c r="B1526" s="3">
        <v>73166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f t="shared" si="23"/>
        <v>0</v>
      </c>
    </row>
    <row r="1527" spans="2:14" hidden="1" x14ac:dyDescent="0.2">
      <c r="B1527" s="3">
        <v>73167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f t="shared" si="23"/>
        <v>0</v>
      </c>
    </row>
    <row r="1528" spans="2:14" hidden="1" x14ac:dyDescent="0.2">
      <c r="B1528" s="3">
        <v>73168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f t="shared" si="23"/>
        <v>0</v>
      </c>
    </row>
    <row r="1529" spans="2:14" hidden="1" x14ac:dyDescent="0.2">
      <c r="B1529" s="3">
        <v>73169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f t="shared" si="23"/>
        <v>0</v>
      </c>
    </row>
    <row r="1530" spans="2:14" hidden="1" x14ac:dyDescent="0.2">
      <c r="B1530" s="3">
        <v>73170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f t="shared" si="23"/>
        <v>0</v>
      </c>
    </row>
    <row r="1531" spans="2:14" hidden="1" x14ac:dyDescent="0.2">
      <c r="B1531" s="3">
        <v>73171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f t="shared" si="23"/>
        <v>0</v>
      </c>
    </row>
    <row r="1532" spans="2:14" hidden="1" x14ac:dyDescent="0.2">
      <c r="B1532" s="3">
        <v>73172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f t="shared" si="23"/>
        <v>0</v>
      </c>
    </row>
    <row r="1533" spans="2:14" hidden="1" x14ac:dyDescent="0.2">
      <c r="B1533" s="3">
        <v>73173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f t="shared" si="23"/>
        <v>0</v>
      </c>
    </row>
    <row r="1534" spans="2:14" hidden="1" x14ac:dyDescent="0.2">
      <c r="B1534" s="3">
        <v>73174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f t="shared" si="23"/>
        <v>0</v>
      </c>
    </row>
    <row r="1535" spans="2:14" hidden="1" x14ac:dyDescent="0.2">
      <c r="B1535" s="3">
        <v>73175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f t="shared" si="23"/>
        <v>0</v>
      </c>
    </row>
    <row r="1536" spans="2:14" hidden="1" x14ac:dyDescent="0.2">
      <c r="B1536" s="3">
        <v>73176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f t="shared" si="23"/>
        <v>0</v>
      </c>
    </row>
    <row r="1537" spans="2:14" hidden="1" x14ac:dyDescent="0.2">
      <c r="B1537" s="3">
        <v>73177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f t="shared" si="23"/>
        <v>0</v>
      </c>
    </row>
    <row r="1538" spans="2:14" hidden="1" x14ac:dyDescent="0.2">
      <c r="B1538" s="3">
        <v>73178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f t="shared" si="23"/>
        <v>0</v>
      </c>
    </row>
    <row r="1539" spans="2:14" hidden="1" x14ac:dyDescent="0.2">
      <c r="B1539" s="3">
        <v>73179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f t="shared" si="23"/>
        <v>0</v>
      </c>
    </row>
    <row r="1540" spans="2:14" hidden="1" x14ac:dyDescent="0.2">
      <c r="B1540" s="3">
        <v>73180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f t="shared" si="23"/>
        <v>0</v>
      </c>
    </row>
    <row r="1541" spans="2:14" hidden="1" x14ac:dyDescent="0.2">
      <c r="B1541" s="3">
        <v>73181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f t="shared" si="23"/>
        <v>0</v>
      </c>
    </row>
    <row r="1542" spans="2:14" hidden="1" x14ac:dyDescent="0.2">
      <c r="B1542" s="3">
        <v>73182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f t="shared" ref="N1542:N1605" si="24">SUM(C1542:M1542)</f>
        <v>0</v>
      </c>
    </row>
    <row r="1543" spans="2:14" hidden="1" x14ac:dyDescent="0.2">
      <c r="B1543" s="3">
        <v>73183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f t="shared" si="24"/>
        <v>0</v>
      </c>
    </row>
    <row r="1544" spans="2:14" hidden="1" x14ac:dyDescent="0.2">
      <c r="B1544" s="3">
        <v>73184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f t="shared" si="24"/>
        <v>0</v>
      </c>
    </row>
    <row r="1545" spans="2:14" hidden="1" x14ac:dyDescent="0.2">
      <c r="B1545" s="3">
        <v>73185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f t="shared" si="24"/>
        <v>0</v>
      </c>
    </row>
    <row r="1546" spans="2:14" hidden="1" x14ac:dyDescent="0.2">
      <c r="B1546" s="3">
        <v>73186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f t="shared" si="24"/>
        <v>0</v>
      </c>
    </row>
    <row r="1547" spans="2:14" hidden="1" x14ac:dyDescent="0.2">
      <c r="B1547" s="3">
        <v>74158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f t="shared" si="24"/>
        <v>0</v>
      </c>
    </row>
    <row r="1548" spans="2:14" hidden="1" x14ac:dyDescent="0.2">
      <c r="B1548" s="3">
        <v>74159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f t="shared" si="24"/>
        <v>0</v>
      </c>
    </row>
    <row r="1549" spans="2:14" hidden="1" x14ac:dyDescent="0.2">
      <c r="B1549" s="3">
        <v>74160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f t="shared" si="24"/>
        <v>0</v>
      </c>
    </row>
    <row r="1550" spans="2:14" hidden="1" x14ac:dyDescent="0.2">
      <c r="B1550" s="3">
        <v>74161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f t="shared" si="24"/>
        <v>0</v>
      </c>
    </row>
    <row r="1551" spans="2:14" hidden="1" x14ac:dyDescent="0.2">
      <c r="B1551" s="3">
        <v>74162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f t="shared" si="24"/>
        <v>0</v>
      </c>
    </row>
    <row r="1552" spans="2:14" hidden="1" x14ac:dyDescent="0.2">
      <c r="B1552" s="3">
        <v>74163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f t="shared" si="24"/>
        <v>0</v>
      </c>
    </row>
    <row r="1553" spans="2:14" hidden="1" x14ac:dyDescent="0.2">
      <c r="B1553" s="3">
        <v>74164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f t="shared" si="24"/>
        <v>0</v>
      </c>
    </row>
    <row r="1554" spans="2:14" hidden="1" x14ac:dyDescent="0.2">
      <c r="B1554" s="3">
        <v>74165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f t="shared" si="24"/>
        <v>0</v>
      </c>
    </row>
    <row r="1555" spans="2:14" hidden="1" x14ac:dyDescent="0.2">
      <c r="B1555" s="3">
        <v>74166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f t="shared" si="24"/>
        <v>0</v>
      </c>
    </row>
    <row r="1556" spans="2:14" hidden="1" x14ac:dyDescent="0.2">
      <c r="B1556" s="3">
        <v>74167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f t="shared" si="24"/>
        <v>0</v>
      </c>
    </row>
    <row r="1557" spans="2:14" hidden="1" x14ac:dyDescent="0.2">
      <c r="B1557" s="3">
        <v>74168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f t="shared" si="24"/>
        <v>0</v>
      </c>
    </row>
    <row r="1558" spans="2:14" hidden="1" x14ac:dyDescent="0.2">
      <c r="B1558" s="3">
        <v>74169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f t="shared" si="24"/>
        <v>0</v>
      </c>
    </row>
    <row r="1559" spans="2:14" hidden="1" x14ac:dyDescent="0.2">
      <c r="B1559" s="3">
        <v>74170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f t="shared" si="24"/>
        <v>0</v>
      </c>
    </row>
    <row r="1560" spans="2:14" hidden="1" x14ac:dyDescent="0.2">
      <c r="B1560" s="3">
        <v>74171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f t="shared" si="24"/>
        <v>0</v>
      </c>
    </row>
    <row r="1561" spans="2:14" hidden="1" x14ac:dyDescent="0.2">
      <c r="B1561" s="3">
        <v>74172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f t="shared" si="24"/>
        <v>0</v>
      </c>
    </row>
    <row r="1562" spans="2:14" hidden="1" x14ac:dyDescent="0.2">
      <c r="B1562" s="3">
        <v>74173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f t="shared" si="24"/>
        <v>0</v>
      </c>
    </row>
    <row r="1563" spans="2:14" hidden="1" x14ac:dyDescent="0.2">
      <c r="B1563" s="3">
        <v>74174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f t="shared" si="24"/>
        <v>0</v>
      </c>
    </row>
    <row r="1564" spans="2:14" hidden="1" x14ac:dyDescent="0.2">
      <c r="B1564" s="3">
        <v>74175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f t="shared" si="24"/>
        <v>0</v>
      </c>
    </row>
    <row r="1565" spans="2:14" hidden="1" x14ac:dyDescent="0.2">
      <c r="B1565" s="3">
        <v>74176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f t="shared" si="24"/>
        <v>0</v>
      </c>
    </row>
    <row r="1566" spans="2:14" hidden="1" x14ac:dyDescent="0.2">
      <c r="B1566" s="3">
        <v>74177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f t="shared" si="24"/>
        <v>0</v>
      </c>
    </row>
    <row r="1567" spans="2:14" hidden="1" x14ac:dyDescent="0.2">
      <c r="B1567" s="3">
        <v>74178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f t="shared" si="24"/>
        <v>0</v>
      </c>
    </row>
    <row r="1568" spans="2:14" hidden="1" x14ac:dyDescent="0.2">
      <c r="B1568" s="3">
        <v>74179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f t="shared" si="24"/>
        <v>0</v>
      </c>
    </row>
    <row r="1569" spans="2:14" hidden="1" x14ac:dyDescent="0.2">
      <c r="B1569" s="3">
        <v>74180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f t="shared" si="24"/>
        <v>0</v>
      </c>
    </row>
    <row r="1570" spans="2:14" hidden="1" x14ac:dyDescent="0.2">
      <c r="B1570" s="3">
        <v>74181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f t="shared" si="24"/>
        <v>0</v>
      </c>
    </row>
    <row r="1571" spans="2:14" hidden="1" x14ac:dyDescent="0.2">
      <c r="B1571" s="3">
        <v>74182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f t="shared" si="24"/>
        <v>0</v>
      </c>
    </row>
    <row r="1572" spans="2:14" hidden="1" x14ac:dyDescent="0.2">
      <c r="B1572" s="3">
        <v>74183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f t="shared" si="24"/>
        <v>0</v>
      </c>
    </row>
    <row r="1573" spans="2:14" hidden="1" x14ac:dyDescent="0.2">
      <c r="B1573" s="3">
        <v>74184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f t="shared" si="24"/>
        <v>0</v>
      </c>
    </row>
    <row r="1574" spans="2:14" hidden="1" x14ac:dyDescent="0.2">
      <c r="B1574" s="3">
        <v>74185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f t="shared" si="24"/>
        <v>0</v>
      </c>
    </row>
    <row r="1575" spans="2:14" hidden="1" x14ac:dyDescent="0.2">
      <c r="B1575" s="3">
        <v>74186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f t="shared" si="24"/>
        <v>0</v>
      </c>
    </row>
    <row r="1576" spans="2:14" hidden="1" x14ac:dyDescent="0.2">
      <c r="B1576" s="3">
        <v>74187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f t="shared" si="24"/>
        <v>0</v>
      </c>
    </row>
    <row r="1577" spans="2:14" hidden="1" x14ac:dyDescent="0.2">
      <c r="B1577" s="3">
        <v>74188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f t="shared" si="24"/>
        <v>0</v>
      </c>
    </row>
    <row r="1578" spans="2:14" hidden="1" x14ac:dyDescent="0.2">
      <c r="B1578" s="3">
        <v>74189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f t="shared" si="24"/>
        <v>0</v>
      </c>
    </row>
    <row r="1579" spans="2:14" hidden="1" x14ac:dyDescent="0.2">
      <c r="B1579" s="3">
        <v>74190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f t="shared" si="24"/>
        <v>0</v>
      </c>
    </row>
    <row r="1580" spans="2:14" hidden="1" x14ac:dyDescent="0.2">
      <c r="B1580" s="3">
        <v>75161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f t="shared" si="24"/>
        <v>0</v>
      </c>
    </row>
    <row r="1581" spans="2:14" hidden="1" x14ac:dyDescent="0.2">
      <c r="B1581" s="3">
        <v>75162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f t="shared" si="24"/>
        <v>0</v>
      </c>
    </row>
    <row r="1582" spans="2:14" hidden="1" x14ac:dyDescent="0.2">
      <c r="B1582" s="3">
        <v>75163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f t="shared" si="24"/>
        <v>0</v>
      </c>
    </row>
    <row r="1583" spans="2:14" hidden="1" x14ac:dyDescent="0.2">
      <c r="B1583" s="3">
        <v>75164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f t="shared" si="24"/>
        <v>0</v>
      </c>
    </row>
    <row r="1584" spans="2:14" hidden="1" x14ac:dyDescent="0.2">
      <c r="B1584" s="3">
        <v>75165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f t="shared" si="24"/>
        <v>0</v>
      </c>
    </row>
    <row r="1585" spans="2:14" hidden="1" x14ac:dyDescent="0.2">
      <c r="B1585" s="3">
        <v>75166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f t="shared" si="24"/>
        <v>0</v>
      </c>
    </row>
    <row r="1586" spans="2:14" hidden="1" x14ac:dyDescent="0.2">
      <c r="B1586" s="3">
        <v>75167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f t="shared" si="24"/>
        <v>0</v>
      </c>
    </row>
    <row r="1587" spans="2:14" hidden="1" x14ac:dyDescent="0.2">
      <c r="B1587" s="3">
        <v>75168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f t="shared" si="24"/>
        <v>0</v>
      </c>
    </row>
    <row r="1588" spans="2:14" hidden="1" x14ac:dyDescent="0.2">
      <c r="B1588" s="3">
        <v>75169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f t="shared" si="24"/>
        <v>0</v>
      </c>
    </row>
    <row r="1589" spans="2:14" hidden="1" x14ac:dyDescent="0.2">
      <c r="B1589" s="3">
        <v>75170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f t="shared" si="24"/>
        <v>0</v>
      </c>
    </row>
    <row r="1590" spans="2:14" hidden="1" x14ac:dyDescent="0.2">
      <c r="B1590" s="3">
        <v>75171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f t="shared" si="24"/>
        <v>0</v>
      </c>
    </row>
    <row r="1591" spans="2:14" hidden="1" x14ac:dyDescent="0.2">
      <c r="B1591" s="3">
        <v>75172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f t="shared" si="24"/>
        <v>0</v>
      </c>
    </row>
    <row r="1592" spans="2:14" hidden="1" x14ac:dyDescent="0.2">
      <c r="B1592" s="3">
        <v>75173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f t="shared" si="24"/>
        <v>0</v>
      </c>
    </row>
    <row r="1593" spans="2:14" hidden="1" x14ac:dyDescent="0.2">
      <c r="B1593" s="3">
        <v>75174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f t="shared" si="24"/>
        <v>0</v>
      </c>
    </row>
    <row r="1594" spans="2:14" hidden="1" x14ac:dyDescent="0.2">
      <c r="B1594" s="3">
        <v>75175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f t="shared" si="24"/>
        <v>0</v>
      </c>
    </row>
    <row r="1595" spans="2:14" hidden="1" x14ac:dyDescent="0.2">
      <c r="B1595" s="3">
        <v>75176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f t="shared" si="24"/>
        <v>0</v>
      </c>
    </row>
    <row r="1596" spans="2:14" hidden="1" x14ac:dyDescent="0.2">
      <c r="B1596" s="3">
        <v>75177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f t="shared" si="24"/>
        <v>0</v>
      </c>
    </row>
    <row r="1597" spans="2:14" hidden="1" x14ac:dyDescent="0.2">
      <c r="B1597" s="3">
        <v>75178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f t="shared" si="24"/>
        <v>0</v>
      </c>
    </row>
    <row r="1598" spans="2:14" hidden="1" x14ac:dyDescent="0.2">
      <c r="B1598" s="3">
        <v>75179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f t="shared" si="24"/>
        <v>0</v>
      </c>
    </row>
    <row r="1599" spans="2:14" hidden="1" x14ac:dyDescent="0.2">
      <c r="B1599" s="3">
        <v>75180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f t="shared" si="24"/>
        <v>0</v>
      </c>
    </row>
    <row r="1600" spans="2:14" hidden="1" x14ac:dyDescent="0.2">
      <c r="B1600" s="3">
        <v>75181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f t="shared" si="24"/>
        <v>0</v>
      </c>
    </row>
    <row r="1601" spans="2:14" hidden="1" x14ac:dyDescent="0.2">
      <c r="B1601" s="3">
        <v>75182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f t="shared" si="24"/>
        <v>0</v>
      </c>
    </row>
    <row r="1602" spans="2:14" hidden="1" x14ac:dyDescent="0.2">
      <c r="B1602" s="3">
        <v>75183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f t="shared" si="24"/>
        <v>0</v>
      </c>
    </row>
    <row r="1603" spans="2:14" hidden="1" x14ac:dyDescent="0.2">
      <c r="B1603" s="3">
        <v>75184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f t="shared" si="24"/>
        <v>0</v>
      </c>
    </row>
    <row r="1604" spans="2:14" hidden="1" x14ac:dyDescent="0.2">
      <c r="B1604" s="3">
        <v>75185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f t="shared" si="24"/>
        <v>0</v>
      </c>
    </row>
    <row r="1605" spans="2:14" hidden="1" x14ac:dyDescent="0.2">
      <c r="B1605" s="3">
        <v>75186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f t="shared" si="24"/>
        <v>0</v>
      </c>
    </row>
    <row r="1606" spans="2:14" hidden="1" x14ac:dyDescent="0.2">
      <c r="B1606" s="3">
        <v>75187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f t="shared" ref="N1606:N1669" si="25">SUM(C1606:M1606)</f>
        <v>0</v>
      </c>
    </row>
    <row r="1607" spans="2:14" hidden="1" x14ac:dyDescent="0.2">
      <c r="B1607" s="3">
        <v>75188</v>
      </c>
      <c r="C1607" s="3">
        <v>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f t="shared" si="25"/>
        <v>0</v>
      </c>
    </row>
    <row r="1608" spans="2:14" hidden="1" x14ac:dyDescent="0.2">
      <c r="B1608" s="3">
        <v>75189</v>
      </c>
      <c r="C1608" s="3">
        <v>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f t="shared" si="25"/>
        <v>0</v>
      </c>
    </row>
    <row r="1609" spans="2:14" hidden="1" x14ac:dyDescent="0.2">
      <c r="B1609" s="3">
        <v>75190</v>
      </c>
      <c r="C1609" s="3">
        <v>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f t="shared" si="25"/>
        <v>0</v>
      </c>
    </row>
    <row r="1610" spans="2:14" hidden="1" x14ac:dyDescent="0.2">
      <c r="B1610" s="3">
        <v>75191</v>
      </c>
      <c r="C1610" s="3">
        <v>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f t="shared" si="25"/>
        <v>0</v>
      </c>
    </row>
    <row r="1611" spans="2:14" hidden="1" x14ac:dyDescent="0.2">
      <c r="B1611" s="3">
        <v>75192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f t="shared" si="25"/>
        <v>0</v>
      </c>
    </row>
    <row r="1612" spans="2:14" hidden="1" x14ac:dyDescent="0.2">
      <c r="B1612" s="3">
        <v>76163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f t="shared" si="25"/>
        <v>0</v>
      </c>
    </row>
    <row r="1613" spans="2:14" hidden="1" x14ac:dyDescent="0.2">
      <c r="B1613" s="3">
        <v>76164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f t="shared" si="25"/>
        <v>0</v>
      </c>
    </row>
    <row r="1614" spans="2:14" hidden="1" x14ac:dyDescent="0.2">
      <c r="B1614" s="3">
        <v>76165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f t="shared" si="25"/>
        <v>0</v>
      </c>
    </row>
    <row r="1615" spans="2:14" hidden="1" x14ac:dyDescent="0.2">
      <c r="B1615" s="3">
        <v>76166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f t="shared" si="25"/>
        <v>0</v>
      </c>
    </row>
    <row r="1616" spans="2:14" hidden="1" x14ac:dyDescent="0.2">
      <c r="B1616" s="3">
        <v>76167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f t="shared" si="25"/>
        <v>0</v>
      </c>
    </row>
    <row r="1617" spans="2:14" hidden="1" x14ac:dyDescent="0.2">
      <c r="B1617" s="3">
        <v>76168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f t="shared" si="25"/>
        <v>0</v>
      </c>
    </row>
    <row r="1618" spans="2:14" hidden="1" x14ac:dyDescent="0.2">
      <c r="B1618" s="3">
        <v>76169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f t="shared" si="25"/>
        <v>0</v>
      </c>
    </row>
    <row r="1619" spans="2:14" hidden="1" x14ac:dyDescent="0.2">
      <c r="B1619" s="3">
        <v>76170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f t="shared" si="25"/>
        <v>0</v>
      </c>
    </row>
    <row r="1620" spans="2:14" hidden="1" x14ac:dyDescent="0.2">
      <c r="B1620" s="3">
        <v>76171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f t="shared" si="25"/>
        <v>0</v>
      </c>
    </row>
    <row r="1621" spans="2:14" hidden="1" x14ac:dyDescent="0.2">
      <c r="B1621" s="3">
        <v>76172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f t="shared" si="25"/>
        <v>0</v>
      </c>
    </row>
    <row r="1622" spans="2:14" hidden="1" x14ac:dyDescent="0.2">
      <c r="B1622" s="3">
        <v>76173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f t="shared" si="25"/>
        <v>0</v>
      </c>
    </row>
    <row r="1623" spans="2:14" hidden="1" x14ac:dyDescent="0.2">
      <c r="B1623" s="3">
        <v>76174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f t="shared" si="25"/>
        <v>0</v>
      </c>
    </row>
    <row r="1624" spans="2:14" hidden="1" x14ac:dyDescent="0.2">
      <c r="B1624" s="3">
        <v>76175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f t="shared" si="25"/>
        <v>0</v>
      </c>
    </row>
    <row r="1625" spans="2:14" hidden="1" x14ac:dyDescent="0.2">
      <c r="B1625" s="3">
        <v>76176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f t="shared" si="25"/>
        <v>0</v>
      </c>
    </row>
    <row r="1626" spans="2:14" hidden="1" x14ac:dyDescent="0.2">
      <c r="B1626" s="3">
        <v>76177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f t="shared" si="25"/>
        <v>0</v>
      </c>
    </row>
    <row r="1627" spans="2:14" hidden="1" x14ac:dyDescent="0.2">
      <c r="B1627" s="3">
        <v>76178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f t="shared" si="25"/>
        <v>0</v>
      </c>
    </row>
    <row r="1628" spans="2:14" hidden="1" x14ac:dyDescent="0.2">
      <c r="B1628" s="3">
        <v>76179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f t="shared" si="25"/>
        <v>0</v>
      </c>
    </row>
    <row r="1629" spans="2:14" hidden="1" x14ac:dyDescent="0.2">
      <c r="B1629" s="3">
        <v>76180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f t="shared" si="25"/>
        <v>0</v>
      </c>
    </row>
    <row r="1630" spans="2:14" hidden="1" x14ac:dyDescent="0.2">
      <c r="B1630" s="3">
        <v>76181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f t="shared" si="25"/>
        <v>0</v>
      </c>
    </row>
    <row r="1631" spans="2:14" hidden="1" x14ac:dyDescent="0.2">
      <c r="B1631" s="3">
        <v>76182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f t="shared" si="25"/>
        <v>0</v>
      </c>
    </row>
    <row r="1632" spans="2:14" hidden="1" x14ac:dyDescent="0.2">
      <c r="B1632" s="3">
        <v>76183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f t="shared" si="25"/>
        <v>0</v>
      </c>
    </row>
    <row r="1633" spans="2:14" hidden="1" x14ac:dyDescent="0.2">
      <c r="B1633" s="3">
        <v>76184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f t="shared" si="25"/>
        <v>0</v>
      </c>
    </row>
    <row r="1634" spans="2:14" hidden="1" x14ac:dyDescent="0.2">
      <c r="B1634" s="3">
        <v>76185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f t="shared" si="25"/>
        <v>0</v>
      </c>
    </row>
    <row r="1635" spans="2:14" hidden="1" x14ac:dyDescent="0.2">
      <c r="B1635" s="3">
        <v>76186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f t="shared" si="25"/>
        <v>0</v>
      </c>
    </row>
    <row r="1636" spans="2:14" hidden="1" x14ac:dyDescent="0.2">
      <c r="B1636" s="3">
        <v>76187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f t="shared" si="25"/>
        <v>0</v>
      </c>
    </row>
    <row r="1637" spans="2:14" hidden="1" x14ac:dyDescent="0.2">
      <c r="B1637" s="3">
        <v>76188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f t="shared" si="25"/>
        <v>0</v>
      </c>
    </row>
    <row r="1638" spans="2:14" hidden="1" x14ac:dyDescent="0.2">
      <c r="B1638" s="3">
        <v>76189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f t="shared" si="25"/>
        <v>0</v>
      </c>
    </row>
    <row r="1639" spans="2:14" hidden="1" x14ac:dyDescent="0.2">
      <c r="B1639" s="3">
        <v>76190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f t="shared" si="25"/>
        <v>0</v>
      </c>
    </row>
    <row r="1640" spans="2:14" hidden="1" x14ac:dyDescent="0.2">
      <c r="B1640" s="3">
        <v>76191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f t="shared" si="25"/>
        <v>0</v>
      </c>
    </row>
    <row r="1641" spans="2:14" hidden="1" x14ac:dyDescent="0.2">
      <c r="B1641" s="3">
        <v>76192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f t="shared" si="25"/>
        <v>0</v>
      </c>
    </row>
    <row r="1642" spans="2:14" hidden="1" x14ac:dyDescent="0.2">
      <c r="B1642" s="3">
        <v>76193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f t="shared" si="25"/>
        <v>0</v>
      </c>
    </row>
    <row r="1643" spans="2:14" hidden="1" x14ac:dyDescent="0.2">
      <c r="B1643" s="3">
        <v>76194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f t="shared" si="25"/>
        <v>0</v>
      </c>
    </row>
    <row r="1644" spans="2:14" hidden="1" x14ac:dyDescent="0.2">
      <c r="B1644" s="3">
        <v>76195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f t="shared" si="25"/>
        <v>0</v>
      </c>
    </row>
    <row r="1645" spans="2:14" hidden="1" x14ac:dyDescent="0.2">
      <c r="B1645" s="3">
        <v>76196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f t="shared" si="25"/>
        <v>0</v>
      </c>
    </row>
    <row r="1646" spans="2:14" hidden="1" x14ac:dyDescent="0.2">
      <c r="B1646" s="3">
        <v>77166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f t="shared" si="25"/>
        <v>0</v>
      </c>
    </row>
    <row r="1647" spans="2:14" hidden="1" x14ac:dyDescent="0.2">
      <c r="B1647" s="3">
        <v>77167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f t="shared" si="25"/>
        <v>0</v>
      </c>
    </row>
    <row r="1648" spans="2:14" hidden="1" x14ac:dyDescent="0.2">
      <c r="B1648" s="3">
        <v>77168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f t="shared" si="25"/>
        <v>0</v>
      </c>
    </row>
    <row r="1649" spans="2:14" hidden="1" x14ac:dyDescent="0.2">
      <c r="B1649" s="3">
        <v>77169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f t="shared" si="25"/>
        <v>0</v>
      </c>
    </row>
    <row r="1650" spans="2:14" hidden="1" x14ac:dyDescent="0.2">
      <c r="B1650" s="3">
        <v>77170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f t="shared" si="25"/>
        <v>0</v>
      </c>
    </row>
    <row r="1651" spans="2:14" hidden="1" x14ac:dyDescent="0.2">
      <c r="B1651" s="3">
        <v>77171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f t="shared" si="25"/>
        <v>0</v>
      </c>
    </row>
    <row r="1652" spans="2:14" hidden="1" x14ac:dyDescent="0.2">
      <c r="B1652" s="3">
        <v>77172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f t="shared" si="25"/>
        <v>0</v>
      </c>
    </row>
    <row r="1653" spans="2:14" hidden="1" x14ac:dyDescent="0.2">
      <c r="B1653" s="3">
        <v>77173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f t="shared" si="25"/>
        <v>0</v>
      </c>
    </row>
    <row r="1654" spans="2:14" hidden="1" x14ac:dyDescent="0.2">
      <c r="B1654" s="3">
        <v>77174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f t="shared" si="25"/>
        <v>0</v>
      </c>
    </row>
    <row r="1655" spans="2:14" hidden="1" x14ac:dyDescent="0.2">
      <c r="B1655" s="3">
        <v>77175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f t="shared" si="25"/>
        <v>0</v>
      </c>
    </row>
    <row r="1656" spans="2:14" hidden="1" x14ac:dyDescent="0.2">
      <c r="B1656" s="3">
        <v>77176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f t="shared" si="25"/>
        <v>0</v>
      </c>
    </row>
    <row r="1657" spans="2:14" hidden="1" x14ac:dyDescent="0.2">
      <c r="B1657" s="3">
        <v>77177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f t="shared" si="25"/>
        <v>0</v>
      </c>
    </row>
    <row r="1658" spans="2:14" hidden="1" x14ac:dyDescent="0.2">
      <c r="B1658" s="3">
        <v>77178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f t="shared" si="25"/>
        <v>0</v>
      </c>
    </row>
    <row r="1659" spans="2:14" hidden="1" x14ac:dyDescent="0.2">
      <c r="B1659" s="3">
        <v>77179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f t="shared" si="25"/>
        <v>0</v>
      </c>
    </row>
    <row r="1660" spans="2:14" hidden="1" x14ac:dyDescent="0.2">
      <c r="B1660" s="3">
        <v>77180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f t="shared" si="25"/>
        <v>0</v>
      </c>
    </row>
    <row r="1661" spans="2:14" hidden="1" x14ac:dyDescent="0.2">
      <c r="B1661" s="3">
        <v>77181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f t="shared" si="25"/>
        <v>0</v>
      </c>
    </row>
    <row r="1662" spans="2:14" hidden="1" x14ac:dyDescent="0.2">
      <c r="B1662" s="3">
        <v>77182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f t="shared" si="25"/>
        <v>0</v>
      </c>
    </row>
    <row r="1663" spans="2:14" hidden="1" x14ac:dyDescent="0.2">
      <c r="B1663" s="3">
        <v>77183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f t="shared" si="25"/>
        <v>0</v>
      </c>
    </row>
    <row r="1664" spans="2:14" hidden="1" x14ac:dyDescent="0.2">
      <c r="B1664" s="3">
        <v>77184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f t="shared" si="25"/>
        <v>0</v>
      </c>
    </row>
    <row r="1665" spans="2:14" hidden="1" x14ac:dyDescent="0.2">
      <c r="B1665" s="3">
        <v>77185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f t="shared" si="25"/>
        <v>0</v>
      </c>
    </row>
    <row r="1666" spans="2:14" hidden="1" x14ac:dyDescent="0.2">
      <c r="B1666" s="3">
        <v>77186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f t="shared" si="25"/>
        <v>0</v>
      </c>
    </row>
    <row r="1667" spans="2:14" hidden="1" x14ac:dyDescent="0.2">
      <c r="B1667" s="3">
        <v>77187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f t="shared" si="25"/>
        <v>0</v>
      </c>
    </row>
    <row r="1668" spans="2:14" hidden="1" x14ac:dyDescent="0.2">
      <c r="B1668" s="3">
        <v>77188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f t="shared" si="25"/>
        <v>0</v>
      </c>
    </row>
    <row r="1669" spans="2:14" hidden="1" x14ac:dyDescent="0.2">
      <c r="B1669" s="3">
        <v>77189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f t="shared" si="25"/>
        <v>0</v>
      </c>
    </row>
    <row r="1670" spans="2:14" hidden="1" x14ac:dyDescent="0.2">
      <c r="B1670" s="3">
        <v>77190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f t="shared" ref="N1670:N1733" si="26">SUM(C1670:M1670)</f>
        <v>0</v>
      </c>
    </row>
    <row r="1671" spans="2:14" hidden="1" x14ac:dyDescent="0.2">
      <c r="B1671" s="3">
        <v>77191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f t="shared" si="26"/>
        <v>0</v>
      </c>
    </row>
    <row r="1672" spans="2:14" hidden="1" x14ac:dyDescent="0.2">
      <c r="B1672" s="3">
        <v>77192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f t="shared" si="26"/>
        <v>0</v>
      </c>
    </row>
    <row r="1673" spans="2:14" hidden="1" x14ac:dyDescent="0.2">
      <c r="B1673" s="3">
        <v>77193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f t="shared" si="26"/>
        <v>0</v>
      </c>
    </row>
    <row r="1674" spans="2:14" hidden="1" x14ac:dyDescent="0.2">
      <c r="B1674" s="3">
        <v>77194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f t="shared" si="26"/>
        <v>0</v>
      </c>
    </row>
    <row r="1675" spans="2:14" hidden="1" x14ac:dyDescent="0.2">
      <c r="B1675" s="3">
        <v>77195</v>
      </c>
      <c r="C1675" s="3">
        <v>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f t="shared" si="26"/>
        <v>0</v>
      </c>
    </row>
    <row r="1676" spans="2:14" hidden="1" x14ac:dyDescent="0.2">
      <c r="B1676" s="3">
        <v>77196</v>
      </c>
      <c r="C1676" s="3">
        <v>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f t="shared" si="26"/>
        <v>0</v>
      </c>
    </row>
    <row r="1677" spans="2:14" hidden="1" x14ac:dyDescent="0.2">
      <c r="B1677" s="3">
        <v>77197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f t="shared" si="26"/>
        <v>0</v>
      </c>
    </row>
    <row r="1678" spans="2:14" hidden="1" x14ac:dyDescent="0.2">
      <c r="B1678" s="3">
        <v>77198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f t="shared" si="26"/>
        <v>0</v>
      </c>
    </row>
    <row r="1679" spans="2:14" hidden="1" x14ac:dyDescent="0.2">
      <c r="B1679" s="3">
        <v>78168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f t="shared" si="26"/>
        <v>0</v>
      </c>
    </row>
    <row r="1680" spans="2:14" hidden="1" x14ac:dyDescent="0.2">
      <c r="B1680" s="3">
        <v>78169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f t="shared" si="26"/>
        <v>0</v>
      </c>
    </row>
    <row r="1681" spans="2:14" hidden="1" x14ac:dyDescent="0.2">
      <c r="B1681" s="3">
        <v>78170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f t="shared" si="26"/>
        <v>0</v>
      </c>
    </row>
    <row r="1682" spans="2:14" hidden="1" x14ac:dyDescent="0.2">
      <c r="B1682" s="3">
        <v>78171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f t="shared" si="26"/>
        <v>0</v>
      </c>
    </row>
    <row r="1683" spans="2:14" hidden="1" x14ac:dyDescent="0.2">
      <c r="B1683" s="3">
        <v>78172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f t="shared" si="26"/>
        <v>0</v>
      </c>
    </row>
    <row r="1684" spans="2:14" hidden="1" x14ac:dyDescent="0.2">
      <c r="B1684" s="3">
        <v>78173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f t="shared" si="26"/>
        <v>0</v>
      </c>
    </row>
    <row r="1685" spans="2:14" hidden="1" x14ac:dyDescent="0.2">
      <c r="B1685" s="3">
        <v>78174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f t="shared" si="26"/>
        <v>0</v>
      </c>
    </row>
    <row r="1686" spans="2:14" hidden="1" x14ac:dyDescent="0.2">
      <c r="B1686" s="3">
        <v>78175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f t="shared" si="26"/>
        <v>0</v>
      </c>
    </row>
    <row r="1687" spans="2:14" hidden="1" x14ac:dyDescent="0.2">
      <c r="B1687" s="3">
        <v>78176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f t="shared" si="26"/>
        <v>0</v>
      </c>
    </row>
    <row r="1688" spans="2:14" hidden="1" x14ac:dyDescent="0.2">
      <c r="B1688" s="3">
        <v>78177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f t="shared" si="26"/>
        <v>0</v>
      </c>
    </row>
    <row r="1689" spans="2:14" hidden="1" x14ac:dyDescent="0.2">
      <c r="B1689" s="3">
        <v>78178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f t="shared" si="26"/>
        <v>0</v>
      </c>
    </row>
    <row r="1690" spans="2:14" hidden="1" x14ac:dyDescent="0.2">
      <c r="B1690" s="3">
        <v>78179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f t="shared" si="26"/>
        <v>0</v>
      </c>
    </row>
    <row r="1691" spans="2:14" hidden="1" x14ac:dyDescent="0.2">
      <c r="B1691" s="3">
        <v>78180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f t="shared" si="26"/>
        <v>0</v>
      </c>
    </row>
    <row r="1692" spans="2:14" hidden="1" x14ac:dyDescent="0.2">
      <c r="B1692" s="3">
        <v>78181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f t="shared" si="26"/>
        <v>0</v>
      </c>
    </row>
    <row r="1693" spans="2:14" hidden="1" x14ac:dyDescent="0.2">
      <c r="B1693" s="3">
        <v>78182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f t="shared" si="26"/>
        <v>0</v>
      </c>
    </row>
    <row r="1694" spans="2:14" hidden="1" x14ac:dyDescent="0.2">
      <c r="B1694" s="3">
        <v>78183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f t="shared" si="26"/>
        <v>0</v>
      </c>
    </row>
    <row r="1695" spans="2:14" hidden="1" x14ac:dyDescent="0.2">
      <c r="B1695" s="3">
        <v>78184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f t="shared" si="26"/>
        <v>0</v>
      </c>
    </row>
    <row r="1696" spans="2:14" hidden="1" x14ac:dyDescent="0.2">
      <c r="B1696" s="3">
        <v>78185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f t="shared" si="26"/>
        <v>0</v>
      </c>
    </row>
    <row r="1697" spans="2:14" hidden="1" x14ac:dyDescent="0.2">
      <c r="B1697" s="3">
        <v>78186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f t="shared" si="26"/>
        <v>0</v>
      </c>
    </row>
    <row r="1698" spans="2:14" hidden="1" x14ac:dyDescent="0.2">
      <c r="B1698" s="3">
        <v>78187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f t="shared" si="26"/>
        <v>0</v>
      </c>
    </row>
    <row r="1699" spans="2:14" hidden="1" x14ac:dyDescent="0.2">
      <c r="B1699" s="3">
        <v>78188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f t="shared" si="26"/>
        <v>0</v>
      </c>
    </row>
    <row r="1700" spans="2:14" hidden="1" x14ac:dyDescent="0.2">
      <c r="B1700" s="3">
        <v>78189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f t="shared" si="26"/>
        <v>0</v>
      </c>
    </row>
    <row r="1701" spans="2:14" hidden="1" x14ac:dyDescent="0.2">
      <c r="B1701" s="3">
        <v>78190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f t="shared" si="26"/>
        <v>0</v>
      </c>
    </row>
    <row r="1702" spans="2:14" hidden="1" x14ac:dyDescent="0.2">
      <c r="B1702" s="3">
        <v>78191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f t="shared" si="26"/>
        <v>0</v>
      </c>
    </row>
    <row r="1703" spans="2:14" hidden="1" x14ac:dyDescent="0.2">
      <c r="B1703" s="3">
        <v>78192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f t="shared" si="26"/>
        <v>0</v>
      </c>
    </row>
    <row r="1704" spans="2:14" hidden="1" x14ac:dyDescent="0.2">
      <c r="B1704" s="3">
        <v>78193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f t="shared" si="26"/>
        <v>0</v>
      </c>
    </row>
    <row r="1705" spans="2:14" hidden="1" x14ac:dyDescent="0.2">
      <c r="B1705" s="3">
        <v>78194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f t="shared" si="26"/>
        <v>0</v>
      </c>
    </row>
    <row r="1706" spans="2:14" hidden="1" x14ac:dyDescent="0.2">
      <c r="B1706" s="3">
        <v>78195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f t="shared" si="26"/>
        <v>0</v>
      </c>
    </row>
    <row r="1707" spans="2:14" hidden="1" x14ac:dyDescent="0.2">
      <c r="B1707" s="3">
        <v>78196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f t="shared" si="26"/>
        <v>0</v>
      </c>
    </row>
    <row r="1708" spans="2:14" hidden="1" x14ac:dyDescent="0.2">
      <c r="B1708" s="3">
        <v>78197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f t="shared" si="26"/>
        <v>0</v>
      </c>
    </row>
    <row r="1709" spans="2:14" hidden="1" x14ac:dyDescent="0.2">
      <c r="B1709" s="3">
        <v>78198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f t="shared" si="26"/>
        <v>0</v>
      </c>
    </row>
    <row r="1710" spans="2:14" hidden="1" x14ac:dyDescent="0.2">
      <c r="B1710" s="3">
        <v>78199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f t="shared" si="26"/>
        <v>0</v>
      </c>
    </row>
    <row r="1711" spans="2:14" hidden="1" x14ac:dyDescent="0.2">
      <c r="B1711" s="3">
        <v>78200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f t="shared" si="26"/>
        <v>0</v>
      </c>
    </row>
    <row r="1712" spans="2:14" hidden="1" x14ac:dyDescent="0.2">
      <c r="B1712" s="3">
        <v>78201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f t="shared" si="26"/>
        <v>0</v>
      </c>
    </row>
    <row r="1713" spans="2:14" hidden="1" x14ac:dyDescent="0.2">
      <c r="B1713" s="3">
        <v>79175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f t="shared" si="26"/>
        <v>0</v>
      </c>
    </row>
    <row r="1714" spans="2:14" hidden="1" x14ac:dyDescent="0.2">
      <c r="B1714" s="3">
        <v>79176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f t="shared" si="26"/>
        <v>0</v>
      </c>
    </row>
    <row r="1715" spans="2:14" hidden="1" x14ac:dyDescent="0.2">
      <c r="B1715" s="3">
        <v>79177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f t="shared" si="26"/>
        <v>0</v>
      </c>
    </row>
    <row r="1716" spans="2:14" hidden="1" x14ac:dyDescent="0.2">
      <c r="B1716" s="3">
        <v>79178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f t="shared" si="26"/>
        <v>0</v>
      </c>
    </row>
    <row r="1717" spans="2:14" hidden="1" x14ac:dyDescent="0.2">
      <c r="B1717" s="3">
        <v>79179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f t="shared" si="26"/>
        <v>0</v>
      </c>
    </row>
    <row r="1718" spans="2:14" hidden="1" x14ac:dyDescent="0.2">
      <c r="B1718" s="3">
        <v>79180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f t="shared" si="26"/>
        <v>0</v>
      </c>
    </row>
    <row r="1719" spans="2:14" hidden="1" x14ac:dyDescent="0.2">
      <c r="B1719" s="3">
        <v>79181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f t="shared" si="26"/>
        <v>0</v>
      </c>
    </row>
    <row r="1720" spans="2:14" hidden="1" x14ac:dyDescent="0.2">
      <c r="B1720" s="3">
        <v>79182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f t="shared" si="26"/>
        <v>0</v>
      </c>
    </row>
    <row r="1721" spans="2:14" hidden="1" x14ac:dyDescent="0.2">
      <c r="B1721" s="3">
        <v>79183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f t="shared" si="26"/>
        <v>0</v>
      </c>
    </row>
    <row r="1722" spans="2:14" hidden="1" x14ac:dyDescent="0.2">
      <c r="B1722" s="3">
        <v>79184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f t="shared" si="26"/>
        <v>0</v>
      </c>
    </row>
    <row r="1723" spans="2:14" hidden="1" x14ac:dyDescent="0.2">
      <c r="B1723" s="3">
        <v>79185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f t="shared" si="26"/>
        <v>0</v>
      </c>
    </row>
    <row r="1724" spans="2:14" hidden="1" x14ac:dyDescent="0.2">
      <c r="B1724" s="3">
        <v>79186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f t="shared" si="26"/>
        <v>0</v>
      </c>
    </row>
    <row r="1725" spans="2:14" hidden="1" x14ac:dyDescent="0.2">
      <c r="B1725" s="3">
        <v>79187</v>
      </c>
      <c r="C1725" s="3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f t="shared" si="26"/>
        <v>0</v>
      </c>
    </row>
    <row r="1726" spans="2:14" hidden="1" x14ac:dyDescent="0.2">
      <c r="B1726" s="3">
        <v>79188</v>
      </c>
      <c r="C1726" s="3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f t="shared" si="26"/>
        <v>0</v>
      </c>
    </row>
    <row r="1727" spans="2:14" hidden="1" x14ac:dyDescent="0.2">
      <c r="B1727" s="3">
        <v>79189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f t="shared" si="26"/>
        <v>0</v>
      </c>
    </row>
    <row r="1728" spans="2:14" hidden="1" x14ac:dyDescent="0.2">
      <c r="B1728" s="3">
        <v>79190</v>
      </c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f t="shared" si="26"/>
        <v>0</v>
      </c>
    </row>
    <row r="1729" spans="2:14" hidden="1" x14ac:dyDescent="0.2">
      <c r="B1729" s="3">
        <v>79191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f t="shared" si="26"/>
        <v>0</v>
      </c>
    </row>
    <row r="1730" spans="2:14" hidden="1" x14ac:dyDescent="0.2">
      <c r="B1730" s="3">
        <v>79192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f t="shared" si="26"/>
        <v>0</v>
      </c>
    </row>
    <row r="1731" spans="2:14" hidden="1" x14ac:dyDescent="0.2">
      <c r="B1731" s="3">
        <v>79193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f t="shared" si="26"/>
        <v>0</v>
      </c>
    </row>
    <row r="1732" spans="2:14" hidden="1" x14ac:dyDescent="0.2">
      <c r="B1732" s="3">
        <v>79194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f t="shared" si="26"/>
        <v>0</v>
      </c>
    </row>
    <row r="1733" spans="2:14" hidden="1" x14ac:dyDescent="0.2">
      <c r="B1733" s="3">
        <v>79195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f t="shared" si="26"/>
        <v>0</v>
      </c>
    </row>
    <row r="1734" spans="2:14" hidden="1" x14ac:dyDescent="0.2">
      <c r="B1734" s="3">
        <v>79196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f t="shared" ref="N1734:N1797" si="27">SUM(C1734:M1734)</f>
        <v>0</v>
      </c>
    </row>
    <row r="1735" spans="2:14" hidden="1" x14ac:dyDescent="0.2">
      <c r="B1735" s="3">
        <v>79197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f t="shared" si="27"/>
        <v>0</v>
      </c>
    </row>
    <row r="1736" spans="2:14" hidden="1" x14ac:dyDescent="0.2">
      <c r="B1736" s="3">
        <v>79198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f t="shared" si="27"/>
        <v>0</v>
      </c>
    </row>
    <row r="1737" spans="2:14" hidden="1" x14ac:dyDescent="0.2">
      <c r="B1737" s="3">
        <v>79199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f t="shared" si="27"/>
        <v>0</v>
      </c>
    </row>
    <row r="1738" spans="2:14" hidden="1" x14ac:dyDescent="0.2">
      <c r="B1738" s="3">
        <v>79200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f t="shared" si="27"/>
        <v>0</v>
      </c>
    </row>
    <row r="1739" spans="2:14" hidden="1" x14ac:dyDescent="0.2">
      <c r="B1739" s="3">
        <v>79201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f t="shared" si="27"/>
        <v>0</v>
      </c>
    </row>
    <row r="1740" spans="2:14" hidden="1" x14ac:dyDescent="0.2">
      <c r="B1740" s="3">
        <v>79202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f t="shared" si="27"/>
        <v>0</v>
      </c>
    </row>
    <row r="1741" spans="2:14" hidden="1" x14ac:dyDescent="0.2">
      <c r="B1741" s="3">
        <v>79203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f t="shared" si="27"/>
        <v>0</v>
      </c>
    </row>
    <row r="1742" spans="2:14" hidden="1" x14ac:dyDescent="0.2">
      <c r="B1742" s="3">
        <v>79204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f t="shared" si="27"/>
        <v>0</v>
      </c>
    </row>
    <row r="1743" spans="2:14" hidden="1" x14ac:dyDescent="0.2">
      <c r="B1743" s="3">
        <v>80177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f t="shared" si="27"/>
        <v>0</v>
      </c>
    </row>
    <row r="1744" spans="2:14" hidden="1" x14ac:dyDescent="0.2">
      <c r="B1744" s="3">
        <v>80178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f t="shared" si="27"/>
        <v>0</v>
      </c>
    </row>
    <row r="1745" spans="2:14" hidden="1" x14ac:dyDescent="0.2">
      <c r="B1745" s="3">
        <v>80179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f t="shared" si="27"/>
        <v>0</v>
      </c>
    </row>
    <row r="1746" spans="2:14" hidden="1" x14ac:dyDescent="0.2">
      <c r="B1746" s="3">
        <v>80180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f t="shared" si="27"/>
        <v>0</v>
      </c>
    </row>
    <row r="1747" spans="2:14" hidden="1" x14ac:dyDescent="0.2">
      <c r="B1747" s="3">
        <v>80181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f t="shared" si="27"/>
        <v>0</v>
      </c>
    </row>
    <row r="1748" spans="2:14" hidden="1" x14ac:dyDescent="0.2">
      <c r="B1748" s="3">
        <v>80182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f t="shared" si="27"/>
        <v>0</v>
      </c>
    </row>
    <row r="1749" spans="2:14" hidden="1" x14ac:dyDescent="0.2">
      <c r="B1749" s="3">
        <v>80183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f t="shared" si="27"/>
        <v>0</v>
      </c>
    </row>
    <row r="1750" spans="2:14" hidden="1" x14ac:dyDescent="0.2">
      <c r="B1750" s="3">
        <v>80184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f t="shared" si="27"/>
        <v>0</v>
      </c>
    </row>
    <row r="1751" spans="2:14" hidden="1" x14ac:dyDescent="0.2">
      <c r="B1751" s="3">
        <v>80185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f t="shared" si="27"/>
        <v>0</v>
      </c>
    </row>
    <row r="1752" spans="2:14" hidden="1" x14ac:dyDescent="0.2">
      <c r="B1752" s="3">
        <v>80186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f t="shared" si="27"/>
        <v>0</v>
      </c>
    </row>
    <row r="1753" spans="2:14" hidden="1" x14ac:dyDescent="0.2">
      <c r="B1753" s="3">
        <v>80187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f t="shared" si="27"/>
        <v>0</v>
      </c>
    </row>
    <row r="1754" spans="2:14" hidden="1" x14ac:dyDescent="0.2">
      <c r="B1754" s="3">
        <v>80188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f t="shared" si="27"/>
        <v>0</v>
      </c>
    </row>
    <row r="1755" spans="2:14" hidden="1" x14ac:dyDescent="0.2">
      <c r="B1755" s="3">
        <v>80189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f t="shared" si="27"/>
        <v>0</v>
      </c>
    </row>
    <row r="1756" spans="2:14" hidden="1" x14ac:dyDescent="0.2">
      <c r="B1756" s="3">
        <v>80190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f t="shared" si="27"/>
        <v>0</v>
      </c>
    </row>
    <row r="1757" spans="2:14" hidden="1" x14ac:dyDescent="0.2">
      <c r="B1757" s="3">
        <v>80191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f t="shared" si="27"/>
        <v>0</v>
      </c>
    </row>
    <row r="1758" spans="2:14" hidden="1" x14ac:dyDescent="0.2">
      <c r="B1758" s="3">
        <v>80192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f t="shared" si="27"/>
        <v>0</v>
      </c>
    </row>
    <row r="1759" spans="2:14" hidden="1" x14ac:dyDescent="0.2">
      <c r="B1759" s="3">
        <v>80193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f t="shared" si="27"/>
        <v>0</v>
      </c>
    </row>
    <row r="1760" spans="2:14" hidden="1" x14ac:dyDescent="0.2">
      <c r="B1760" s="3">
        <v>80194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f t="shared" si="27"/>
        <v>0</v>
      </c>
    </row>
    <row r="1761" spans="2:14" hidden="1" x14ac:dyDescent="0.2">
      <c r="B1761" s="3">
        <v>80195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f t="shared" si="27"/>
        <v>0</v>
      </c>
    </row>
    <row r="1762" spans="2:14" hidden="1" x14ac:dyDescent="0.2">
      <c r="B1762" s="3">
        <v>80196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f t="shared" si="27"/>
        <v>0</v>
      </c>
    </row>
    <row r="1763" spans="2:14" hidden="1" x14ac:dyDescent="0.2">
      <c r="B1763" s="3">
        <v>80197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f t="shared" si="27"/>
        <v>0</v>
      </c>
    </row>
    <row r="1764" spans="2:14" hidden="1" x14ac:dyDescent="0.2">
      <c r="B1764" s="3">
        <v>80198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f t="shared" si="27"/>
        <v>0</v>
      </c>
    </row>
    <row r="1765" spans="2:14" hidden="1" x14ac:dyDescent="0.2">
      <c r="B1765" s="3">
        <v>80199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f t="shared" si="27"/>
        <v>0</v>
      </c>
    </row>
    <row r="1766" spans="2:14" hidden="1" x14ac:dyDescent="0.2">
      <c r="B1766" s="3">
        <v>80200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f t="shared" si="27"/>
        <v>0</v>
      </c>
    </row>
    <row r="1767" spans="2:14" hidden="1" x14ac:dyDescent="0.2">
      <c r="B1767" s="3">
        <v>80201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f t="shared" si="27"/>
        <v>0</v>
      </c>
    </row>
    <row r="1768" spans="2:14" hidden="1" x14ac:dyDescent="0.2">
      <c r="B1768" s="3">
        <v>80202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f t="shared" si="27"/>
        <v>0</v>
      </c>
    </row>
    <row r="1769" spans="2:14" hidden="1" x14ac:dyDescent="0.2">
      <c r="B1769" s="3">
        <v>80203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f t="shared" si="27"/>
        <v>0</v>
      </c>
    </row>
    <row r="1770" spans="2:14" hidden="1" x14ac:dyDescent="0.2">
      <c r="B1770" s="3">
        <v>80204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f t="shared" si="27"/>
        <v>0</v>
      </c>
    </row>
    <row r="1771" spans="2:14" hidden="1" x14ac:dyDescent="0.2">
      <c r="B1771" s="3">
        <v>80205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f t="shared" si="27"/>
        <v>0</v>
      </c>
    </row>
    <row r="1772" spans="2:14" hidden="1" x14ac:dyDescent="0.2">
      <c r="B1772" s="3">
        <v>80206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f t="shared" si="27"/>
        <v>0</v>
      </c>
    </row>
    <row r="1773" spans="2:14" hidden="1" x14ac:dyDescent="0.2">
      <c r="B1773" s="3">
        <v>81184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f t="shared" si="27"/>
        <v>0</v>
      </c>
    </row>
    <row r="1774" spans="2:14" hidden="1" x14ac:dyDescent="0.2">
      <c r="B1774" s="3">
        <v>81185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f t="shared" si="27"/>
        <v>0</v>
      </c>
    </row>
    <row r="1775" spans="2:14" hidden="1" x14ac:dyDescent="0.2">
      <c r="B1775" s="3">
        <v>81186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f t="shared" si="27"/>
        <v>0</v>
      </c>
    </row>
    <row r="1776" spans="2:14" hidden="1" x14ac:dyDescent="0.2">
      <c r="B1776" s="3">
        <v>81187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f t="shared" si="27"/>
        <v>0</v>
      </c>
    </row>
    <row r="1777" spans="2:14" hidden="1" x14ac:dyDescent="0.2">
      <c r="B1777" s="3">
        <v>81188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f t="shared" si="27"/>
        <v>0</v>
      </c>
    </row>
    <row r="1778" spans="2:14" hidden="1" x14ac:dyDescent="0.2">
      <c r="B1778" s="3">
        <v>81189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f t="shared" si="27"/>
        <v>0</v>
      </c>
    </row>
    <row r="1779" spans="2:14" hidden="1" x14ac:dyDescent="0.2">
      <c r="B1779" s="3">
        <v>81190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f t="shared" si="27"/>
        <v>0</v>
      </c>
    </row>
    <row r="1780" spans="2:14" hidden="1" x14ac:dyDescent="0.2">
      <c r="B1780" s="3">
        <v>81191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f t="shared" si="27"/>
        <v>0</v>
      </c>
    </row>
    <row r="1781" spans="2:14" hidden="1" x14ac:dyDescent="0.2">
      <c r="B1781" s="3">
        <v>81192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f t="shared" si="27"/>
        <v>0</v>
      </c>
    </row>
    <row r="1782" spans="2:14" hidden="1" x14ac:dyDescent="0.2">
      <c r="B1782" s="3">
        <v>81193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f t="shared" si="27"/>
        <v>0</v>
      </c>
    </row>
    <row r="1783" spans="2:14" hidden="1" x14ac:dyDescent="0.2">
      <c r="B1783" s="3">
        <v>81194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f t="shared" si="27"/>
        <v>0</v>
      </c>
    </row>
    <row r="1784" spans="2:14" hidden="1" x14ac:dyDescent="0.2">
      <c r="B1784" s="3">
        <v>81195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f t="shared" si="27"/>
        <v>0</v>
      </c>
    </row>
    <row r="1785" spans="2:14" hidden="1" x14ac:dyDescent="0.2">
      <c r="B1785" s="3">
        <v>81196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f t="shared" si="27"/>
        <v>0</v>
      </c>
    </row>
    <row r="1786" spans="2:14" hidden="1" x14ac:dyDescent="0.2">
      <c r="B1786" s="3">
        <v>81197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f t="shared" si="27"/>
        <v>0</v>
      </c>
    </row>
    <row r="1787" spans="2:14" hidden="1" x14ac:dyDescent="0.2">
      <c r="B1787" s="3">
        <v>81198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f t="shared" si="27"/>
        <v>0</v>
      </c>
    </row>
    <row r="1788" spans="2:14" hidden="1" x14ac:dyDescent="0.2">
      <c r="B1788" s="3">
        <v>81199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f t="shared" si="27"/>
        <v>0</v>
      </c>
    </row>
    <row r="1789" spans="2:14" hidden="1" x14ac:dyDescent="0.2">
      <c r="B1789" s="3">
        <v>81200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f t="shared" si="27"/>
        <v>0</v>
      </c>
    </row>
    <row r="1790" spans="2:14" hidden="1" x14ac:dyDescent="0.2">
      <c r="B1790" s="3">
        <v>81201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f t="shared" si="27"/>
        <v>0</v>
      </c>
    </row>
    <row r="1791" spans="2:14" hidden="1" x14ac:dyDescent="0.2">
      <c r="B1791" s="3">
        <v>81202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f t="shared" si="27"/>
        <v>0</v>
      </c>
    </row>
    <row r="1792" spans="2:14" hidden="1" x14ac:dyDescent="0.2">
      <c r="B1792" s="3">
        <v>81203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f t="shared" si="27"/>
        <v>0</v>
      </c>
    </row>
    <row r="1793" spans="2:14" hidden="1" x14ac:dyDescent="0.2">
      <c r="B1793" s="3">
        <v>81204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f t="shared" si="27"/>
        <v>0</v>
      </c>
    </row>
    <row r="1794" spans="2:14" hidden="1" x14ac:dyDescent="0.2">
      <c r="B1794" s="3">
        <v>81205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f t="shared" si="27"/>
        <v>0</v>
      </c>
    </row>
    <row r="1795" spans="2:14" hidden="1" x14ac:dyDescent="0.2">
      <c r="B1795" s="3">
        <v>81206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f t="shared" si="27"/>
        <v>0</v>
      </c>
    </row>
    <row r="1796" spans="2:14" hidden="1" x14ac:dyDescent="0.2">
      <c r="B1796" s="3">
        <v>81207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f t="shared" si="27"/>
        <v>0</v>
      </c>
    </row>
    <row r="1797" spans="2:14" hidden="1" x14ac:dyDescent="0.2">
      <c r="B1797" s="3">
        <v>81208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f t="shared" si="27"/>
        <v>0</v>
      </c>
    </row>
    <row r="1798" spans="2:14" hidden="1" x14ac:dyDescent="0.2">
      <c r="B1798" s="3">
        <v>81209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f t="shared" ref="N1798:N1861" si="28">SUM(C1798:M1798)</f>
        <v>0</v>
      </c>
    </row>
    <row r="1799" spans="2:14" hidden="1" x14ac:dyDescent="0.2">
      <c r="B1799" s="3">
        <v>81210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f t="shared" si="28"/>
        <v>0</v>
      </c>
    </row>
    <row r="1800" spans="2:14" hidden="1" x14ac:dyDescent="0.2">
      <c r="B1800" s="3">
        <v>82183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f t="shared" si="28"/>
        <v>0</v>
      </c>
    </row>
    <row r="1801" spans="2:14" hidden="1" x14ac:dyDescent="0.2">
      <c r="B1801" s="3">
        <v>82184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f t="shared" si="28"/>
        <v>0</v>
      </c>
    </row>
    <row r="1802" spans="2:14" hidden="1" x14ac:dyDescent="0.2">
      <c r="B1802" s="3">
        <v>82185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f t="shared" si="28"/>
        <v>0</v>
      </c>
    </row>
    <row r="1803" spans="2:14" hidden="1" x14ac:dyDescent="0.2">
      <c r="B1803" s="3">
        <v>82186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f t="shared" si="28"/>
        <v>0</v>
      </c>
    </row>
    <row r="1804" spans="2:14" hidden="1" x14ac:dyDescent="0.2">
      <c r="B1804" s="3">
        <v>82187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f t="shared" si="28"/>
        <v>0</v>
      </c>
    </row>
    <row r="1805" spans="2:14" hidden="1" x14ac:dyDescent="0.2">
      <c r="B1805" s="3">
        <v>82188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f t="shared" si="28"/>
        <v>0</v>
      </c>
    </row>
    <row r="1806" spans="2:14" hidden="1" x14ac:dyDescent="0.2">
      <c r="B1806" s="3">
        <v>82189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f t="shared" si="28"/>
        <v>0</v>
      </c>
    </row>
    <row r="1807" spans="2:14" hidden="1" x14ac:dyDescent="0.2">
      <c r="B1807" s="3">
        <v>82190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f t="shared" si="28"/>
        <v>0</v>
      </c>
    </row>
    <row r="1808" spans="2:14" hidden="1" x14ac:dyDescent="0.2">
      <c r="B1808" s="3">
        <v>82191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f t="shared" si="28"/>
        <v>0</v>
      </c>
    </row>
    <row r="1809" spans="2:14" hidden="1" x14ac:dyDescent="0.2">
      <c r="B1809" s="3">
        <v>82192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f t="shared" si="28"/>
        <v>0</v>
      </c>
    </row>
    <row r="1810" spans="2:14" hidden="1" x14ac:dyDescent="0.2">
      <c r="B1810" s="3">
        <v>82193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f t="shared" si="28"/>
        <v>0</v>
      </c>
    </row>
    <row r="1811" spans="2:14" hidden="1" x14ac:dyDescent="0.2">
      <c r="B1811" s="3">
        <v>82194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f t="shared" si="28"/>
        <v>0</v>
      </c>
    </row>
    <row r="1812" spans="2:14" hidden="1" x14ac:dyDescent="0.2">
      <c r="B1812" s="3">
        <v>82195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f t="shared" si="28"/>
        <v>0</v>
      </c>
    </row>
    <row r="1813" spans="2:14" hidden="1" x14ac:dyDescent="0.2">
      <c r="B1813" s="3">
        <v>82196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f t="shared" si="28"/>
        <v>0</v>
      </c>
    </row>
    <row r="1814" spans="2:14" hidden="1" x14ac:dyDescent="0.2">
      <c r="B1814" s="3">
        <v>82197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f t="shared" si="28"/>
        <v>0</v>
      </c>
    </row>
    <row r="1815" spans="2:14" hidden="1" x14ac:dyDescent="0.2">
      <c r="B1815" s="3">
        <v>82198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f t="shared" si="28"/>
        <v>0</v>
      </c>
    </row>
    <row r="1816" spans="2:14" hidden="1" x14ac:dyDescent="0.2">
      <c r="B1816" s="3">
        <v>82199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f t="shared" si="28"/>
        <v>0</v>
      </c>
    </row>
    <row r="1817" spans="2:14" hidden="1" x14ac:dyDescent="0.2">
      <c r="B1817" s="3">
        <v>82200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f t="shared" si="28"/>
        <v>0</v>
      </c>
    </row>
    <row r="1818" spans="2:14" hidden="1" x14ac:dyDescent="0.2">
      <c r="B1818" s="3">
        <v>82201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f t="shared" si="28"/>
        <v>0</v>
      </c>
    </row>
    <row r="1819" spans="2:14" hidden="1" x14ac:dyDescent="0.2">
      <c r="B1819" s="3">
        <v>82202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f t="shared" si="28"/>
        <v>0</v>
      </c>
    </row>
    <row r="1820" spans="2:14" hidden="1" x14ac:dyDescent="0.2">
      <c r="B1820" s="3">
        <v>82203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f t="shared" si="28"/>
        <v>0</v>
      </c>
    </row>
    <row r="1821" spans="2:14" hidden="1" x14ac:dyDescent="0.2">
      <c r="B1821" s="3">
        <v>82204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f t="shared" si="28"/>
        <v>0</v>
      </c>
    </row>
    <row r="1822" spans="2:14" hidden="1" x14ac:dyDescent="0.2">
      <c r="B1822" s="3">
        <v>82205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f t="shared" si="28"/>
        <v>0</v>
      </c>
    </row>
    <row r="1823" spans="2:14" hidden="1" x14ac:dyDescent="0.2">
      <c r="B1823" s="3">
        <v>82206</v>
      </c>
      <c r="C1823" s="3">
        <v>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f t="shared" si="28"/>
        <v>0</v>
      </c>
    </row>
    <row r="1824" spans="2:14" hidden="1" x14ac:dyDescent="0.2">
      <c r="B1824" s="3">
        <v>82207</v>
      </c>
      <c r="C1824" s="3">
        <v>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f t="shared" si="28"/>
        <v>0</v>
      </c>
    </row>
    <row r="1825" spans="2:14" hidden="1" x14ac:dyDescent="0.2">
      <c r="B1825" s="3">
        <v>82208</v>
      </c>
      <c r="C1825" s="3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f t="shared" si="28"/>
        <v>0</v>
      </c>
    </row>
    <row r="1826" spans="2:14" hidden="1" x14ac:dyDescent="0.2">
      <c r="B1826" s="3">
        <v>82209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f t="shared" si="28"/>
        <v>0</v>
      </c>
    </row>
    <row r="1827" spans="2:14" hidden="1" x14ac:dyDescent="0.2">
      <c r="B1827" s="3">
        <v>82210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f t="shared" si="28"/>
        <v>0</v>
      </c>
    </row>
    <row r="1828" spans="2:14" hidden="1" x14ac:dyDescent="0.2">
      <c r="B1828" s="3">
        <v>82211</v>
      </c>
      <c r="C1828" s="3">
        <v>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f t="shared" si="28"/>
        <v>0</v>
      </c>
    </row>
    <row r="1829" spans="2:14" hidden="1" x14ac:dyDescent="0.2">
      <c r="B1829" s="3">
        <v>82212</v>
      </c>
      <c r="C1829" s="3">
        <v>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f t="shared" si="28"/>
        <v>0</v>
      </c>
    </row>
    <row r="1830" spans="2:14" hidden="1" x14ac:dyDescent="0.2">
      <c r="B1830" s="3">
        <v>82213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f t="shared" si="28"/>
        <v>0</v>
      </c>
    </row>
    <row r="1831" spans="2:14" hidden="1" x14ac:dyDescent="0.2">
      <c r="B1831" s="3">
        <v>82214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f t="shared" si="28"/>
        <v>0</v>
      </c>
    </row>
    <row r="1832" spans="2:14" hidden="1" x14ac:dyDescent="0.2">
      <c r="B1832" s="3">
        <v>83188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f t="shared" si="28"/>
        <v>0</v>
      </c>
    </row>
    <row r="1833" spans="2:14" hidden="1" x14ac:dyDescent="0.2">
      <c r="B1833" s="3">
        <v>83189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f t="shared" si="28"/>
        <v>0</v>
      </c>
    </row>
    <row r="1834" spans="2:14" hidden="1" x14ac:dyDescent="0.2">
      <c r="B1834" s="3">
        <v>83190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f t="shared" si="28"/>
        <v>0</v>
      </c>
    </row>
    <row r="1835" spans="2:14" hidden="1" x14ac:dyDescent="0.2">
      <c r="B1835" s="3">
        <v>83191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f t="shared" si="28"/>
        <v>0</v>
      </c>
    </row>
    <row r="1836" spans="2:14" hidden="1" x14ac:dyDescent="0.2">
      <c r="B1836" s="3">
        <v>83192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f t="shared" si="28"/>
        <v>0</v>
      </c>
    </row>
    <row r="1837" spans="2:14" hidden="1" x14ac:dyDescent="0.2">
      <c r="B1837" s="3">
        <v>83193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f t="shared" si="28"/>
        <v>0</v>
      </c>
    </row>
    <row r="1838" spans="2:14" hidden="1" x14ac:dyDescent="0.2">
      <c r="B1838" s="3">
        <v>83194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f t="shared" si="28"/>
        <v>0</v>
      </c>
    </row>
    <row r="1839" spans="2:14" hidden="1" x14ac:dyDescent="0.2">
      <c r="B1839" s="3">
        <v>83195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f t="shared" si="28"/>
        <v>0</v>
      </c>
    </row>
    <row r="1840" spans="2:14" hidden="1" x14ac:dyDescent="0.2">
      <c r="B1840" s="3">
        <v>83196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f t="shared" si="28"/>
        <v>0</v>
      </c>
    </row>
    <row r="1841" spans="2:14" hidden="1" x14ac:dyDescent="0.2">
      <c r="B1841" s="3">
        <v>83197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f t="shared" si="28"/>
        <v>0</v>
      </c>
    </row>
    <row r="1842" spans="2:14" hidden="1" x14ac:dyDescent="0.2">
      <c r="B1842" s="3">
        <v>83198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f t="shared" si="28"/>
        <v>0</v>
      </c>
    </row>
    <row r="1843" spans="2:14" hidden="1" x14ac:dyDescent="0.2">
      <c r="B1843" s="3">
        <v>83199</v>
      </c>
      <c r="C1843" s="3">
        <v>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f t="shared" si="28"/>
        <v>0</v>
      </c>
    </row>
    <row r="1844" spans="2:14" hidden="1" x14ac:dyDescent="0.2">
      <c r="B1844" s="3">
        <v>83200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f t="shared" si="28"/>
        <v>0</v>
      </c>
    </row>
    <row r="1845" spans="2:14" hidden="1" x14ac:dyDescent="0.2">
      <c r="B1845" s="3">
        <v>83201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f t="shared" si="28"/>
        <v>0</v>
      </c>
    </row>
    <row r="1846" spans="2:14" hidden="1" x14ac:dyDescent="0.2">
      <c r="B1846" s="3">
        <v>83202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f t="shared" si="28"/>
        <v>0</v>
      </c>
    </row>
    <row r="1847" spans="2:14" hidden="1" x14ac:dyDescent="0.2">
      <c r="B1847" s="3">
        <v>83203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f t="shared" si="28"/>
        <v>0</v>
      </c>
    </row>
    <row r="1848" spans="2:14" hidden="1" x14ac:dyDescent="0.2">
      <c r="B1848" s="3">
        <v>83204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f t="shared" si="28"/>
        <v>0</v>
      </c>
    </row>
    <row r="1849" spans="2:14" hidden="1" x14ac:dyDescent="0.2">
      <c r="B1849" s="3">
        <v>83205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f t="shared" si="28"/>
        <v>0</v>
      </c>
    </row>
    <row r="1850" spans="2:14" hidden="1" x14ac:dyDescent="0.2">
      <c r="B1850" s="3">
        <v>83206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f t="shared" si="28"/>
        <v>0</v>
      </c>
    </row>
    <row r="1851" spans="2:14" hidden="1" x14ac:dyDescent="0.2">
      <c r="B1851" s="3">
        <v>83207</v>
      </c>
      <c r="C1851" s="3">
        <v>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f t="shared" si="28"/>
        <v>0</v>
      </c>
    </row>
    <row r="1852" spans="2:14" hidden="1" x14ac:dyDescent="0.2">
      <c r="B1852" s="3">
        <v>83208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f t="shared" si="28"/>
        <v>0</v>
      </c>
    </row>
    <row r="1853" spans="2:14" hidden="1" x14ac:dyDescent="0.2">
      <c r="B1853" s="3">
        <v>83209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f t="shared" si="28"/>
        <v>0</v>
      </c>
    </row>
    <row r="1854" spans="2:14" hidden="1" x14ac:dyDescent="0.2">
      <c r="B1854" s="3">
        <v>83210</v>
      </c>
      <c r="C1854" s="3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f t="shared" si="28"/>
        <v>0</v>
      </c>
    </row>
    <row r="1855" spans="2:14" hidden="1" x14ac:dyDescent="0.2">
      <c r="B1855" s="3">
        <v>83211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f t="shared" si="28"/>
        <v>0</v>
      </c>
    </row>
    <row r="1856" spans="2:14" hidden="1" x14ac:dyDescent="0.2">
      <c r="B1856" s="3">
        <v>83212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f t="shared" si="28"/>
        <v>0</v>
      </c>
    </row>
    <row r="1857" spans="2:14" hidden="1" x14ac:dyDescent="0.2">
      <c r="B1857" s="3">
        <v>83213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f t="shared" si="28"/>
        <v>0</v>
      </c>
    </row>
    <row r="1858" spans="2:14" hidden="1" x14ac:dyDescent="0.2">
      <c r="B1858" s="3">
        <v>83214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f t="shared" si="28"/>
        <v>0</v>
      </c>
    </row>
    <row r="1859" spans="2:14" hidden="1" x14ac:dyDescent="0.2">
      <c r="B1859" s="3">
        <v>83215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f t="shared" si="28"/>
        <v>0</v>
      </c>
    </row>
    <row r="1860" spans="2:14" hidden="1" x14ac:dyDescent="0.2">
      <c r="B1860" s="3">
        <v>84192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f t="shared" si="28"/>
        <v>0</v>
      </c>
    </row>
    <row r="1861" spans="2:14" hidden="1" x14ac:dyDescent="0.2">
      <c r="B1861" s="3">
        <v>84193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f t="shared" si="28"/>
        <v>0</v>
      </c>
    </row>
    <row r="1862" spans="2:14" hidden="1" x14ac:dyDescent="0.2">
      <c r="B1862" s="3">
        <v>84194</v>
      </c>
      <c r="C1862" s="3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f t="shared" ref="N1862:N1925" si="29">SUM(C1862:M1862)</f>
        <v>0</v>
      </c>
    </row>
    <row r="1863" spans="2:14" hidden="1" x14ac:dyDescent="0.2">
      <c r="B1863" s="3">
        <v>84195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f t="shared" si="29"/>
        <v>0</v>
      </c>
    </row>
    <row r="1864" spans="2:14" hidden="1" x14ac:dyDescent="0.2">
      <c r="B1864" s="3">
        <v>84196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f t="shared" si="29"/>
        <v>0</v>
      </c>
    </row>
    <row r="1865" spans="2:14" hidden="1" x14ac:dyDescent="0.2">
      <c r="B1865" s="3">
        <v>84197</v>
      </c>
      <c r="C1865" s="3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f t="shared" si="29"/>
        <v>0</v>
      </c>
    </row>
    <row r="1866" spans="2:14" hidden="1" x14ac:dyDescent="0.2">
      <c r="B1866" s="3">
        <v>84198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f t="shared" si="29"/>
        <v>0</v>
      </c>
    </row>
    <row r="1867" spans="2:14" hidden="1" x14ac:dyDescent="0.2">
      <c r="B1867" s="3">
        <v>84199</v>
      </c>
      <c r="C1867" s="3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f t="shared" si="29"/>
        <v>0</v>
      </c>
    </row>
    <row r="1868" spans="2:14" hidden="1" x14ac:dyDescent="0.2">
      <c r="B1868" s="3">
        <v>84200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f t="shared" si="29"/>
        <v>0</v>
      </c>
    </row>
    <row r="1869" spans="2:14" hidden="1" x14ac:dyDescent="0.2">
      <c r="B1869" s="3">
        <v>84201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f t="shared" si="29"/>
        <v>0</v>
      </c>
    </row>
    <row r="1870" spans="2:14" hidden="1" x14ac:dyDescent="0.2">
      <c r="B1870" s="3">
        <v>84202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f t="shared" si="29"/>
        <v>0</v>
      </c>
    </row>
    <row r="1871" spans="2:14" hidden="1" x14ac:dyDescent="0.2">
      <c r="B1871" s="3">
        <v>84203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f t="shared" si="29"/>
        <v>0</v>
      </c>
    </row>
    <row r="1872" spans="2:14" hidden="1" x14ac:dyDescent="0.2">
      <c r="B1872" s="3">
        <v>84204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f t="shared" si="29"/>
        <v>0</v>
      </c>
    </row>
    <row r="1873" spans="2:14" hidden="1" x14ac:dyDescent="0.2">
      <c r="B1873" s="3">
        <v>84205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f t="shared" si="29"/>
        <v>0</v>
      </c>
    </row>
    <row r="1874" spans="2:14" hidden="1" x14ac:dyDescent="0.2">
      <c r="B1874" s="3">
        <v>84206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f t="shared" si="29"/>
        <v>0</v>
      </c>
    </row>
    <row r="1875" spans="2:14" hidden="1" x14ac:dyDescent="0.2">
      <c r="B1875" s="3">
        <v>84207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f t="shared" si="29"/>
        <v>0</v>
      </c>
    </row>
    <row r="1876" spans="2:14" hidden="1" x14ac:dyDescent="0.2">
      <c r="B1876" s="3">
        <v>84208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f t="shared" si="29"/>
        <v>0</v>
      </c>
    </row>
    <row r="1877" spans="2:14" hidden="1" x14ac:dyDescent="0.2">
      <c r="B1877" s="3">
        <v>84209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f t="shared" si="29"/>
        <v>0</v>
      </c>
    </row>
    <row r="1878" spans="2:14" hidden="1" x14ac:dyDescent="0.2">
      <c r="B1878" s="3">
        <v>84210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f t="shared" si="29"/>
        <v>0</v>
      </c>
    </row>
    <row r="1879" spans="2:14" hidden="1" x14ac:dyDescent="0.2">
      <c r="B1879" s="3">
        <v>84211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f t="shared" si="29"/>
        <v>0</v>
      </c>
    </row>
    <row r="1880" spans="2:14" hidden="1" x14ac:dyDescent="0.2">
      <c r="B1880" s="3">
        <v>84212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f t="shared" si="29"/>
        <v>0</v>
      </c>
    </row>
    <row r="1881" spans="2:14" hidden="1" x14ac:dyDescent="0.2">
      <c r="B1881" s="3">
        <v>84213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f t="shared" si="29"/>
        <v>0</v>
      </c>
    </row>
    <row r="1882" spans="2:14" hidden="1" x14ac:dyDescent="0.2">
      <c r="B1882" s="3">
        <v>84214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f t="shared" si="29"/>
        <v>0</v>
      </c>
    </row>
    <row r="1883" spans="2:14" hidden="1" x14ac:dyDescent="0.2">
      <c r="B1883" s="3">
        <v>84215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f t="shared" si="29"/>
        <v>0</v>
      </c>
    </row>
    <row r="1884" spans="2:14" hidden="1" x14ac:dyDescent="0.2">
      <c r="B1884" s="3">
        <v>84216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f t="shared" si="29"/>
        <v>0</v>
      </c>
    </row>
    <row r="1885" spans="2:14" hidden="1" x14ac:dyDescent="0.2">
      <c r="B1885" s="3">
        <v>84217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f t="shared" si="29"/>
        <v>0</v>
      </c>
    </row>
    <row r="1886" spans="2:14" hidden="1" x14ac:dyDescent="0.2">
      <c r="B1886" s="3">
        <v>84218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f t="shared" si="29"/>
        <v>0</v>
      </c>
    </row>
    <row r="1887" spans="2:14" hidden="1" x14ac:dyDescent="0.2">
      <c r="B1887" s="3">
        <v>85196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f t="shared" si="29"/>
        <v>0</v>
      </c>
    </row>
    <row r="1888" spans="2:14" hidden="1" x14ac:dyDescent="0.2">
      <c r="B1888" s="3">
        <v>85197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f t="shared" si="29"/>
        <v>0</v>
      </c>
    </row>
    <row r="1889" spans="2:14" hidden="1" x14ac:dyDescent="0.2">
      <c r="B1889" s="3">
        <v>85198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f t="shared" si="29"/>
        <v>0</v>
      </c>
    </row>
    <row r="1890" spans="2:14" hidden="1" x14ac:dyDescent="0.2">
      <c r="B1890" s="3">
        <v>85199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f t="shared" si="29"/>
        <v>0</v>
      </c>
    </row>
    <row r="1891" spans="2:14" hidden="1" x14ac:dyDescent="0.2">
      <c r="B1891" s="3">
        <v>85200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f t="shared" si="29"/>
        <v>0</v>
      </c>
    </row>
    <row r="1892" spans="2:14" hidden="1" x14ac:dyDescent="0.2">
      <c r="B1892" s="3">
        <v>85201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f t="shared" si="29"/>
        <v>0</v>
      </c>
    </row>
    <row r="1893" spans="2:14" hidden="1" x14ac:dyDescent="0.2">
      <c r="B1893" s="3">
        <v>85202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f t="shared" si="29"/>
        <v>0</v>
      </c>
    </row>
    <row r="1894" spans="2:14" hidden="1" x14ac:dyDescent="0.2">
      <c r="B1894" s="3">
        <v>85203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f t="shared" si="29"/>
        <v>0</v>
      </c>
    </row>
    <row r="1895" spans="2:14" hidden="1" x14ac:dyDescent="0.2">
      <c r="B1895" s="3">
        <v>85204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f t="shared" si="29"/>
        <v>0</v>
      </c>
    </row>
    <row r="1896" spans="2:14" hidden="1" x14ac:dyDescent="0.2">
      <c r="B1896" s="3">
        <v>85205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f t="shared" si="29"/>
        <v>0</v>
      </c>
    </row>
    <row r="1897" spans="2:14" hidden="1" x14ac:dyDescent="0.2">
      <c r="B1897" s="3">
        <v>85206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f t="shared" si="29"/>
        <v>0</v>
      </c>
    </row>
    <row r="1898" spans="2:14" hidden="1" x14ac:dyDescent="0.2">
      <c r="B1898" s="3">
        <v>85207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f t="shared" si="29"/>
        <v>0</v>
      </c>
    </row>
    <row r="1899" spans="2:14" hidden="1" x14ac:dyDescent="0.2">
      <c r="B1899" s="3">
        <v>85208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f t="shared" si="29"/>
        <v>0</v>
      </c>
    </row>
    <row r="1900" spans="2:14" hidden="1" x14ac:dyDescent="0.2">
      <c r="B1900" s="3">
        <v>85209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f t="shared" si="29"/>
        <v>0</v>
      </c>
    </row>
    <row r="1901" spans="2:14" hidden="1" x14ac:dyDescent="0.2">
      <c r="B1901" s="3">
        <v>85210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f t="shared" si="29"/>
        <v>0</v>
      </c>
    </row>
    <row r="1902" spans="2:14" hidden="1" x14ac:dyDescent="0.2">
      <c r="B1902" s="3">
        <v>85211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f t="shared" si="29"/>
        <v>0</v>
      </c>
    </row>
    <row r="1903" spans="2:14" hidden="1" x14ac:dyDescent="0.2">
      <c r="B1903" s="3">
        <v>85212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f t="shared" si="29"/>
        <v>0</v>
      </c>
    </row>
    <row r="1904" spans="2:14" hidden="1" x14ac:dyDescent="0.2">
      <c r="B1904" s="3">
        <v>85213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f t="shared" si="29"/>
        <v>0</v>
      </c>
    </row>
    <row r="1905" spans="2:14" hidden="1" x14ac:dyDescent="0.2">
      <c r="B1905" s="3">
        <v>85214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f t="shared" si="29"/>
        <v>0</v>
      </c>
    </row>
    <row r="1906" spans="2:14" hidden="1" x14ac:dyDescent="0.2">
      <c r="B1906" s="3">
        <v>85215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f t="shared" si="29"/>
        <v>0</v>
      </c>
    </row>
    <row r="1907" spans="2:14" hidden="1" x14ac:dyDescent="0.2">
      <c r="B1907" s="3">
        <v>85216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f t="shared" si="29"/>
        <v>0</v>
      </c>
    </row>
    <row r="1908" spans="2:14" hidden="1" x14ac:dyDescent="0.2">
      <c r="B1908" s="3">
        <v>85217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f t="shared" si="29"/>
        <v>0</v>
      </c>
    </row>
    <row r="1909" spans="2:14" hidden="1" x14ac:dyDescent="0.2">
      <c r="B1909" s="3">
        <v>85218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f t="shared" si="29"/>
        <v>0</v>
      </c>
    </row>
    <row r="1910" spans="2:14" hidden="1" x14ac:dyDescent="0.2">
      <c r="B1910" s="3">
        <v>85219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f t="shared" si="29"/>
        <v>0</v>
      </c>
    </row>
    <row r="1911" spans="2:14" hidden="1" x14ac:dyDescent="0.2">
      <c r="B1911" s="3">
        <v>86199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f t="shared" si="29"/>
        <v>0</v>
      </c>
    </row>
    <row r="1912" spans="2:14" hidden="1" x14ac:dyDescent="0.2">
      <c r="B1912" s="3">
        <v>86200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f t="shared" si="29"/>
        <v>0</v>
      </c>
    </row>
    <row r="1913" spans="2:14" hidden="1" x14ac:dyDescent="0.2">
      <c r="B1913" s="3">
        <v>86201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f t="shared" si="29"/>
        <v>0</v>
      </c>
    </row>
    <row r="1914" spans="2:14" hidden="1" x14ac:dyDescent="0.2">
      <c r="B1914" s="3">
        <v>86202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f t="shared" si="29"/>
        <v>0</v>
      </c>
    </row>
    <row r="1915" spans="2:14" hidden="1" x14ac:dyDescent="0.2">
      <c r="B1915" s="3">
        <v>86203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f t="shared" si="29"/>
        <v>0</v>
      </c>
    </row>
    <row r="1916" spans="2:14" hidden="1" x14ac:dyDescent="0.2">
      <c r="B1916" s="3">
        <v>86204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f t="shared" si="29"/>
        <v>0</v>
      </c>
    </row>
    <row r="1917" spans="2:14" hidden="1" x14ac:dyDescent="0.2">
      <c r="B1917" s="3">
        <v>86205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f t="shared" si="29"/>
        <v>0</v>
      </c>
    </row>
    <row r="1918" spans="2:14" hidden="1" x14ac:dyDescent="0.2">
      <c r="B1918" s="3">
        <v>86206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f t="shared" si="29"/>
        <v>0</v>
      </c>
    </row>
    <row r="1919" spans="2:14" hidden="1" x14ac:dyDescent="0.2">
      <c r="B1919" s="3">
        <v>86207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f t="shared" si="29"/>
        <v>0</v>
      </c>
    </row>
    <row r="1920" spans="2:14" hidden="1" x14ac:dyDescent="0.2">
      <c r="B1920" s="3">
        <v>86208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f t="shared" si="29"/>
        <v>0</v>
      </c>
    </row>
    <row r="1921" spans="2:14" hidden="1" x14ac:dyDescent="0.2">
      <c r="B1921" s="3">
        <v>86209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f t="shared" si="29"/>
        <v>0</v>
      </c>
    </row>
    <row r="1922" spans="2:14" hidden="1" x14ac:dyDescent="0.2">
      <c r="B1922" s="3">
        <v>86210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f t="shared" si="29"/>
        <v>0</v>
      </c>
    </row>
    <row r="1923" spans="2:14" hidden="1" x14ac:dyDescent="0.2">
      <c r="B1923" s="3">
        <v>86211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f t="shared" si="29"/>
        <v>0</v>
      </c>
    </row>
    <row r="1924" spans="2:14" hidden="1" x14ac:dyDescent="0.2">
      <c r="B1924" s="3">
        <v>86212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f t="shared" si="29"/>
        <v>0</v>
      </c>
    </row>
    <row r="1925" spans="2:14" hidden="1" x14ac:dyDescent="0.2">
      <c r="B1925" s="3">
        <v>86213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f t="shared" si="29"/>
        <v>0</v>
      </c>
    </row>
    <row r="1926" spans="2:14" hidden="1" x14ac:dyDescent="0.2">
      <c r="B1926" s="3">
        <v>86214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f t="shared" ref="N1926:N1989" si="30">SUM(C1926:M1926)</f>
        <v>0</v>
      </c>
    </row>
    <row r="1927" spans="2:14" hidden="1" x14ac:dyDescent="0.2">
      <c r="B1927" s="3">
        <v>86215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f t="shared" si="30"/>
        <v>0</v>
      </c>
    </row>
    <row r="1928" spans="2:14" hidden="1" x14ac:dyDescent="0.2">
      <c r="B1928" s="3">
        <v>86216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f t="shared" si="30"/>
        <v>0</v>
      </c>
    </row>
    <row r="1929" spans="2:14" hidden="1" x14ac:dyDescent="0.2">
      <c r="B1929" s="3">
        <v>86217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f t="shared" si="30"/>
        <v>0</v>
      </c>
    </row>
    <row r="1930" spans="2:14" hidden="1" x14ac:dyDescent="0.2">
      <c r="B1930" s="3">
        <v>86218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f t="shared" si="30"/>
        <v>0</v>
      </c>
    </row>
    <row r="1931" spans="2:14" hidden="1" x14ac:dyDescent="0.2">
      <c r="B1931" s="3">
        <v>86219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f t="shared" si="30"/>
        <v>0</v>
      </c>
    </row>
    <row r="1932" spans="2:14" hidden="1" x14ac:dyDescent="0.2">
      <c r="B1932" s="3">
        <v>86220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f t="shared" si="30"/>
        <v>0</v>
      </c>
    </row>
    <row r="1933" spans="2:14" hidden="1" x14ac:dyDescent="0.2">
      <c r="B1933" s="3">
        <v>86221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f t="shared" si="30"/>
        <v>0</v>
      </c>
    </row>
    <row r="1934" spans="2:14" hidden="1" x14ac:dyDescent="0.2">
      <c r="B1934" s="3">
        <v>86222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f t="shared" si="30"/>
        <v>0</v>
      </c>
    </row>
    <row r="1935" spans="2:14" hidden="1" x14ac:dyDescent="0.2">
      <c r="B1935" s="3">
        <v>86223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f t="shared" si="30"/>
        <v>0</v>
      </c>
    </row>
    <row r="1936" spans="2:14" hidden="1" x14ac:dyDescent="0.2">
      <c r="B1936" s="3">
        <v>86224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f t="shared" si="30"/>
        <v>0</v>
      </c>
    </row>
    <row r="1937" spans="2:14" hidden="1" x14ac:dyDescent="0.2">
      <c r="B1937" s="3">
        <v>86225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f t="shared" si="30"/>
        <v>0</v>
      </c>
    </row>
    <row r="1938" spans="2:14" hidden="1" x14ac:dyDescent="0.2">
      <c r="B1938" s="3">
        <v>86226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f t="shared" si="30"/>
        <v>0</v>
      </c>
    </row>
    <row r="1939" spans="2:14" hidden="1" x14ac:dyDescent="0.2">
      <c r="B1939" s="3">
        <v>87201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f t="shared" si="30"/>
        <v>0</v>
      </c>
    </row>
    <row r="1940" spans="2:14" hidden="1" x14ac:dyDescent="0.2">
      <c r="B1940" s="3">
        <v>87202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f t="shared" si="30"/>
        <v>0</v>
      </c>
    </row>
    <row r="1941" spans="2:14" hidden="1" x14ac:dyDescent="0.2">
      <c r="B1941" s="3">
        <v>87203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f t="shared" si="30"/>
        <v>0</v>
      </c>
    </row>
    <row r="1942" spans="2:14" hidden="1" x14ac:dyDescent="0.2">
      <c r="B1942" s="3">
        <v>87204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f t="shared" si="30"/>
        <v>0</v>
      </c>
    </row>
    <row r="1943" spans="2:14" hidden="1" x14ac:dyDescent="0.2">
      <c r="B1943" s="3">
        <v>87205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f t="shared" si="30"/>
        <v>0</v>
      </c>
    </row>
    <row r="1944" spans="2:14" hidden="1" x14ac:dyDescent="0.2">
      <c r="B1944" s="3">
        <v>87206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f t="shared" si="30"/>
        <v>0</v>
      </c>
    </row>
    <row r="1945" spans="2:14" hidden="1" x14ac:dyDescent="0.2">
      <c r="B1945" s="3">
        <v>87207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f t="shared" si="30"/>
        <v>0</v>
      </c>
    </row>
    <row r="1946" spans="2:14" hidden="1" x14ac:dyDescent="0.2">
      <c r="B1946" s="3">
        <v>87208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f t="shared" si="30"/>
        <v>0</v>
      </c>
    </row>
    <row r="1947" spans="2:14" hidden="1" x14ac:dyDescent="0.2">
      <c r="B1947" s="3">
        <v>87209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f t="shared" si="30"/>
        <v>0</v>
      </c>
    </row>
    <row r="1948" spans="2:14" hidden="1" x14ac:dyDescent="0.2">
      <c r="B1948" s="3">
        <v>87210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f t="shared" si="30"/>
        <v>0</v>
      </c>
    </row>
    <row r="1949" spans="2:14" hidden="1" x14ac:dyDescent="0.2">
      <c r="B1949" s="3">
        <v>87211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f t="shared" si="30"/>
        <v>0</v>
      </c>
    </row>
    <row r="1950" spans="2:14" hidden="1" x14ac:dyDescent="0.2">
      <c r="B1950" s="3">
        <v>87212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f t="shared" si="30"/>
        <v>0</v>
      </c>
    </row>
    <row r="1951" spans="2:14" hidden="1" x14ac:dyDescent="0.2">
      <c r="B1951" s="3">
        <v>87213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f t="shared" si="30"/>
        <v>0</v>
      </c>
    </row>
    <row r="1952" spans="2:14" hidden="1" x14ac:dyDescent="0.2">
      <c r="B1952" s="3">
        <v>87214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f t="shared" si="30"/>
        <v>0</v>
      </c>
    </row>
    <row r="1953" spans="2:14" hidden="1" x14ac:dyDescent="0.2">
      <c r="B1953" s="3">
        <v>87215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f t="shared" si="30"/>
        <v>0</v>
      </c>
    </row>
    <row r="1954" spans="2:14" hidden="1" x14ac:dyDescent="0.2">
      <c r="B1954" s="3">
        <v>87216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f t="shared" si="30"/>
        <v>0</v>
      </c>
    </row>
    <row r="1955" spans="2:14" hidden="1" x14ac:dyDescent="0.2">
      <c r="B1955" s="3">
        <v>87217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f t="shared" si="30"/>
        <v>0</v>
      </c>
    </row>
    <row r="1956" spans="2:14" hidden="1" x14ac:dyDescent="0.2">
      <c r="B1956" s="3">
        <v>87218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f t="shared" si="30"/>
        <v>0</v>
      </c>
    </row>
    <row r="1957" spans="2:14" hidden="1" x14ac:dyDescent="0.2">
      <c r="B1957" s="3">
        <v>87219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f t="shared" si="30"/>
        <v>0</v>
      </c>
    </row>
    <row r="1958" spans="2:14" hidden="1" x14ac:dyDescent="0.2">
      <c r="B1958" s="3">
        <v>87220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f t="shared" si="30"/>
        <v>0</v>
      </c>
    </row>
    <row r="1959" spans="2:14" hidden="1" x14ac:dyDescent="0.2">
      <c r="B1959" s="3">
        <v>87221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f t="shared" si="30"/>
        <v>0</v>
      </c>
    </row>
    <row r="1960" spans="2:14" hidden="1" x14ac:dyDescent="0.2">
      <c r="B1960" s="3">
        <v>87222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f t="shared" si="30"/>
        <v>0</v>
      </c>
    </row>
    <row r="1961" spans="2:14" hidden="1" x14ac:dyDescent="0.2">
      <c r="B1961" s="3">
        <v>87223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f t="shared" si="30"/>
        <v>0</v>
      </c>
    </row>
    <row r="1962" spans="2:14" hidden="1" x14ac:dyDescent="0.2">
      <c r="B1962" s="3">
        <v>87224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f t="shared" si="30"/>
        <v>0</v>
      </c>
    </row>
    <row r="1963" spans="2:14" hidden="1" x14ac:dyDescent="0.2">
      <c r="B1963" s="3">
        <v>87225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f t="shared" si="30"/>
        <v>0</v>
      </c>
    </row>
    <row r="1964" spans="2:14" hidden="1" x14ac:dyDescent="0.2">
      <c r="B1964" s="3">
        <v>87226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f t="shared" si="30"/>
        <v>0</v>
      </c>
    </row>
    <row r="1965" spans="2:14" hidden="1" x14ac:dyDescent="0.2">
      <c r="B1965" s="3">
        <v>87227</v>
      </c>
      <c r="C1965" s="3">
        <v>0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f t="shared" si="30"/>
        <v>0</v>
      </c>
    </row>
    <row r="1966" spans="2:14" hidden="1" x14ac:dyDescent="0.2">
      <c r="B1966" s="3">
        <v>87228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f t="shared" si="30"/>
        <v>0</v>
      </c>
    </row>
    <row r="1967" spans="2:14" hidden="1" x14ac:dyDescent="0.2">
      <c r="B1967" s="3">
        <v>87229</v>
      </c>
      <c r="C1967" s="3">
        <v>0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f t="shared" si="30"/>
        <v>0</v>
      </c>
    </row>
    <row r="1968" spans="2:14" hidden="1" x14ac:dyDescent="0.2">
      <c r="B1968" s="3">
        <v>88206</v>
      </c>
      <c r="C1968" s="3">
        <v>0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f t="shared" si="30"/>
        <v>0</v>
      </c>
    </row>
    <row r="1969" spans="2:14" hidden="1" x14ac:dyDescent="0.2">
      <c r="B1969" s="3">
        <v>88207</v>
      </c>
      <c r="C1969" s="3">
        <v>0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f t="shared" si="30"/>
        <v>0</v>
      </c>
    </row>
    <row r="1970" spans="2:14" hidden="1" x14ac:dyDescent="0.2">
      <c r="B1970" s="3">
        <v>88208</v>
      </c>
      <c r="C1970" s="3">
        <v>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f t="shared" si="30"/>
        <v>0</v>
      </c>
    </row>
    <row r="1971" spans="2:14" hidden="1" x14ac:dyDescent="0.2">
      <c r="B1971" s="3">
        <v>88209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f t="shared" si="30"/>
        <v>0</v>
      </c>
    </row>
    <row r="1972" spans="2:14" hidden="1" x14ac:dyDescent="0.2">
      <c r="B1972" s="3">
        <v>88210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f t="shared" si="30"/>
        <v>0</v>
      </c>
    </row>
    <row r="1973" spans="2:14" hidden="1" x14ac:dyDescent="0.2">
      <c r="B1973" s="3">
        <v>88211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f t="shared" si="30"/>
        <v>0</v>
      </c>
    </row>
    <row r="1974" spans="2:14" hidden="1" x14ac:dyDescent="0.2">
      <c r="B1974" s="3">
        <v>88212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f t="shared" si="30"/>
        <v>0</v>
      </c>
    </row>
    <row r="1975" spans="2:14" hidden="1" x14ac:dyDescent="0.2">
      <c r="B1975" s="3">
        <v>88213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f t="shared" si="30"/>
        <v>0</v>
      </c>
    </row>
    <row r="1976" spans="2:14" hidden="1" x14ac:dyDescent="0.2">
      <c r="B1976" s="3">
        <v>88214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f t="shared" si="30"/>
        <v>0</v>
      </c>
    </row>
    <row r="1977" spans="2:14" hidden="1" x14ac:dyDescent="0.2">
      <c r="B1977" s="3">
        <v>88215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f t="shared" si="30"/>
        <v>0</v>
      </c>
    </row>
    <row r="1978" spans="2:14" hidden="1" x14ac:dyDescent="0.2">
      <c r="B1978" s="3">
        <v>88216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f t="shared" si="30"/>
        <v>0</v>
      </c>
    </row>
    <row r="1979" spans="2:14" hidden="1" x14ac:dyDescent="0.2">
      <c r="B1979" s="3">
        <v>88217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f t="shared" si="30"/>
        <v>0</v>
      </c>
    </row>
    <row r="1980" spans="2:14" hidden="1" x14ac:dyDescent="0.2">
      <c r="B1980" s="3">
        <v>88218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f t="shared" si="30"/>
        <v>0</v>
      </c>
    </row>
    <row r="1981" spans="2:14" hidden="1" x14ac:dyDescent="0.2">
      <c r="B1981" s="3">
        <v>88219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f t="shared" si="30"/>
        <v>0</v>
      </c>
    </row>
    <row r="1982" spans="2:14" hidden="1" x14ac:dyDescent="0.2">
      <c r="B1982" s="3">
        <v>88220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f t="shared" si="30"/>
        <v>0</v>
      </c>
    </row>
    <row r="1983" spans="2:14" hidden="1" x14ac:dyDescent="0.2">
      <c r="B1983" s="3">
        <v>88221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f t="shared" si="30"/>
        <v>0</v>
      </c>
    </row>
    <row r="1984" spans="2:14" hidden="1" x14ac:dyDescent="0.2">
      <c r="B1984" s="3">
        <v>88222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f t="shared" si="30"/>
        <v>0</v>
      </c>
    </row>
    <row r="1985" spans="2:14" hidden="1" x14ac:dyDescent="0.2">
      <c r="B1985" s="3">
        <v>88223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f t="shared" si="30"/>
        <v>0</v>
      </c>
    </row>
    <row r="1986" spans="2:14" hidden="1" x14ac:dyDescent="0.2">
      <c r="B1986" s="3">
        <v>88224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f t="shared" si="30"/>
        <v>0</v>
      </c>
    </row>
    <row r="1987" spans="2:14" hidden="1" x14ac:dyDescent="0.2">
      <c r="B1987" s="3">
        <v>88225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f t="shared" si="30"/>
        <v>0</v>
      </c>
    </row>
    <row r="1988" spans="2:14" hidden="1" x14ac:dyDescent="0.2">
      <c r="B1988" s="3">
        <v>88226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f t="shared" si="30"/>
        <v>0</v>
      </c>
    </row>
    <row r="1989" spans="2:14" hidden="1" x14ac:dyDescent="0.2">
      <c r="B1989" s="3">
        <v>88227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f t="shared" si="30"/>
        <v>0</v>
      </c>
    </row>
    <row r="1990" spans="2:14" hidden="1" x14ac:dyDescent="0.2">
      <c r="B1990" s="3">
        <v>88228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f t="shared" ref="N1990:N2053" si="31">SUM(C1990:M1990)</f>
        <v>0</v>
      </c>
    </row>
    <row r="1991" spans="2:14" hidden="1" x14ac:dyDescent="0.2">
      <c r="B1991" s="3">
        <v>88229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f t="shared" si="31"/>
        <v>0</v>
      </c>
    </row>
    <row r="1992" spans="2:14" hidden="1" x14ac:dyDescent="0.2">
      <c r="B1992" s="3">
        <v>88230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f t="shared" si="31"/>
        <v>0</v>
      </c>
    </row>
    <row r="1993" spans="2:14" hidden="1" x14ac:dyDescent="0.2">
      <c r="B1993" s="3">
        <v>89209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f t="shared" si="31"/>
        <v>0</v>
      </c>
    </row>
    <row r="1994" spans="2:14" hidden="1" x14ac:dyDescent="0.2">
      <c r="B1994" s="3">
        <v>89210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f t="shared" si="31"/>
        <v>0</v>
      </c>
    </row>
    <row r="1995" spans="2:14" hidden="1" x14ac:dyDescent="0.2">
      <c r="B1995" s="3">
        <v>89211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f t="shared" si="31"/>
        <v>0</v>
      </c>
    </row>
    <row r="1996" spans="2:14" hidden="1" x14ac:dyDescent="0.2">
      <c r="B1996" s="3">
        <v>89212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f t="shared" si="31"/>
        <v>0</v>
      </c>
    </row>
    <row r="1997" spans="2:14" hidden="1" x14ac:dyDescent="0.2">
      <c r="B1997" s="3">
        <v>89213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f t="shared" si="31"/>
        <v>0</v>
      </c>
    </row>
    <row r="1998" spans="2:14" hidden="1" x14ac:dyDescent="0.2">
      <c r="B1998" s="3">
        <v>89214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f t="shared" si="31"/>
        <v>0</v>
      </c>
    </row>
    <row r="1999" spans="2:14" hidden="1" x14ac:dyDescent="0.2">
      <c r="B1999" s="3">
        <v>89215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f t="shared" si="31"/>
        <v>0</v>
      </c>
    </row>
    <row r="2000" spans="2:14" hidden="1" x14ac:dyDescent="0.2">
      <c r="B2000" s="3">
        <v>89216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f t="shared" si="31"/>
        <v>0</v>
      </c>
    </row>
    <row r="2001" spans="2:14" hidden="1" x14ac:dyDescent="0.2">
      <c r="B2001" s="3">
        <v>89217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f t="shared" si="31"/>
        <v>0</v>
      </c>
    </row>
    <row r="2002" spans="2:14" hidden="1" x14ac:dyDescent="0.2">
      <c r="B2002" s="3">
        <v>89218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f t="shared" si="31"/>
        <v>0</v>
      </c>
    </row>
    <row r="2003" spans="2:14" hidden="1" x14ac:dyDescent="0.2">
      <c r="B2003" s="3">
        <v>89219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f t="shared" si="31"/>
        <v>0</v>
      </c>
    </row>
    <row r="2004" spans="2:14" hidden="1" x14ac:dyDescent="0.2">
      <c r="B2004" s="3">
        <v>89220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f t="shared" si="31"/>
        <v>0</v>
      </c>
    </row>
    <row r="2005" spans="2:14" hidden="1" x14ac:dyDescent="0.2">
      <c r="B2005" s="3">
        <v>89221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f t="shared" si="31"/>
        <v>0</v>
      </c>
    </row>
    <row r="2006" spans="2:14" hidden="1" x14ac:dyDescent="0.2">
      <c r="B2006" s="3">
        <v>89222</v>
      </c>
      <c r="C2006" s="3">
        <v>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f t="shared" si="31"/>
        <v>0</v>
      </c>
    </row>
    <row r="2007" spans="2:14" hidden="1" x14ac:dyDescent="0.2">
      <c r="B2007" s="3">
        <v>89223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f t="shared" si="31"/>
        <v>0</v>
      </c>
    </row>
    <row r="2008" spans="2:14" hidden="1" x14ac:dyDescent="0.2">
      <c r="B2008" s="3">
        <v>89224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f t="shared" si="31"/>
        <v>0</v>
      </c>
    </row>
    <row r="2009" spans="2:14" hidden="1" x14ac:dyDescent="0.2">
      <c r="B2009" s="3">
        <v>89225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f t="shared" si="31"/>
        <v>0</v>
      </c>
    </row>
    <row r="2010" spans="2:14" hidden="1" x14ac:dyDescent="0.2">
      <c r="B2010" s="3">
        <v>89226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f t="shared" si="31"/>
        <v>0</v>
      </c>
    </row>
    <row r="2011" spans="2:14" hidden="1" x14ac:dyDescent="0.2">
      <c r="B2011" s="3">
        <v>89227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f t="shared" si="31"/>
        <v>0</v>
      </c>
    </row>
    <row r="2012" spans="2:14" hidden="1" x14ac:dyDescent="0.2">
      <c r="B2012" s="3">
        <v>89228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f t="shared" si="31"/>
        <v>0</v>
      </c>
    </row>
    <row r="2013" spans="2:14" hidden="1" x14ac:dyDescent="0.2">
      <c r="B2013" s="3">
        <v>89229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f t="shared" si="31"/>
        <v>0</v>
      </c>
    </row>
    <row r="2014" spans="2:14" hidden="1" x14ac:dyDescent="0.2">
      <c r="B2014" s="3">
        <v>89230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f t="shared" si="31"/>
        <v>0</v>
      </c>
    </row>
    <row r="2015" spans="2:14" hidden="1" x14ac:dyDescent="0.2">
      <c r="B2015" s="3">
        <v>89231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f t="shared" si="31"/>
        <v>0</v>
      </c>
    </row>
    <row r="2016" spans="2:14" hidden="1" x14ac:dyDescent="0.2">
      <c r="B2016" s="3">
        <v>89232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f t="shared" si="31"/>
        <v>0</v>
      </c>
    </row>
    <row r="2017" spans="2:14" hidden="1" x14ac:dyDescent="0.2">
      <c r="B2017" s="3">
        <v>90212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f t="shared" si="31"/>
        <v>0</v>
      </c>
    </row>
    <row r="2018" spans="2:14" hidden="1" x14ac:dyDescent="0.2">
      <c r="B2018" s="3">
        <v>90213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f t="shared" si="31"/>
        <v>0</v>
      </c>
    </row>
    <row r="2019" spans="2:14" hidden="1" x14ac:dyDescent="0.2">
      <c r="B2019" s="3">
        <v>90214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f t="shared" si="31"/>
        <v>0</v>
      </c>
    </row>
    <row r="2020" spans="2:14" hidden="1" x14ac:dyDescent="0.2">
      <c r="B2020" s="3">
        <v>90215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f t="shared" si="31"/>
        <v>0</v>
      </c>
    </row>
    <row r="2021" spans="2:14" hidden="1" x14ac:dyDescent="0.2">
      <c r="B2021" s="3">
        <v>90216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f t="shared" si="31"/>
        <v>0</v>
      </c>
    </row>
    <row r="2022" spans="2:14" hidden="1" x14ac:dyDescent="0.2">
      <c r="B2022" s="3">
        <v>90217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f t="shared" si="31"/>
        <v>0</v>
      </c>
    </row>
    <row r="2023" spans="2:14" hidden="1" x14ac:dyDescent="0.2">
      <c r="B2023" s="3">
        <v>90218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f t="shared" si="31"/>
        <v>0</v>
      </c>
    </row>
    <row r="2024" spans="2:14" hidden="1" x14ac:dyDescent="0.2">
      <c r="B2024" s="3">
        <v>90219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f t="shared" si="31"/>
        <v>0</v>
      </c>
    </row>
    <row r="2025" spans="2:14" hidden="1" x14ac:dyDescent="0.2">
      <c r="B2025" s="3">
        <v>90220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f t="shared" si="31"/>
        <v>0</v>
      </c>
    </row>
    <row r="2026" spans="2:14" hidden="1" x14ac:dyDescent="0.2">
      <c r="B2026" s="3">
        <v>90221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f t="shared" si="31"/>
        <v>0</v>
      </c>
    </row>
    <row r="2027" spans="2:14" hidden="1" x14ac:dyDescent="0.2">
      <c r="B2027" s="3">
        <v>90222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f t="shared" si="31"/>
        <v>0</v>
      </c>
    </row>
    <row r="2028" spans="2:14" hidden="1" x14ac:dyDescent="0.2">
      <c r="B2028" s="3">
        <v>90223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f t="shared" si="31"/>
        <v>0</v>
      </c>
    </row>
    <row r="2029" spans="2:14" hidden="1" x14ac:dyDescent="0.2">
      <c r="B2029" s="3">
        <v>90224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f t="shared" si="31"/>
        <v>0</v>
      </c>
    </row>
    <row r="2030" spans="2:14" hidden="1" x14ac:dyDescent="0.2">
      <c r="B2030" s="3">
        <v>90225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f t="shared" si="31"/>
        <v>0</v>
      </c>
    </row>
    <row r="2031" spans="2:14" hidden="1" x14ac:dyDescent="0.2">
      <c r="B2031" s="3">
        <v>90226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f t="shared" si="31"/>
        <v>0</v>
      </c>
    </row>
    <row r="2032" spans="2:14" hidden="1" x14ac:dyDescent="0.2">
      <c r="B2032" s="3">
        <v>90227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f t="shared" si="31"/>
        <v>0</v>
      </c>
    </row>
    <row r="2033" spans="2:14" hidden="1" x14ac:dyDescent="0.2">
      <c r="B2033" s="3">
        <v>90228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f t="shared" si="31"/>
        <v>0</v>
      </c>
    </row>
    <row r="2034" spans="2:14" hidden="1" x14ac:dyDescent="0.2">
      <c r="B2034" s="3">
        <v>90229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f t="shared" si="31"/>
        <v>0</v>
      </c>
    </row>
    <row r="2035" spans="2:14" hidden="1" x14ac:dyDescent="0.2">
      <c r="B2035" s="3">
        <v>90230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f t="shared" si="31"/>
        <v>0</v>
      </c>
    </row>
    <row r="2036" spans="2:14" hidden="1" x14ac:dyDescent="0.2">
      <c r="B2036" s="3">
        <v>90231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f t="shared" si="31"/>
        <v>0</v>
      </c>
    </row>
    <row r="2037" spans="2:14" hidden="1" x14ac:dyDescent="0.2">
      <c r="B2037" s="3">
        <v>90232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f t="shared" si="31"/>
        <v>0</v>
      </c>
    </row>
    <row r="2038" spans="2:14" hidden="1" x14ac:dyDescent="0.2">
      <c r="B2038" s="3">
        <v>90233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f t="shared" si="31"/>
        <v>0</v>
      </c>
    </row>
    <row r="2039" spans="2:14" hidden="1" x14ac:dyDescent="0.2">
      <c r="B2039" s="3">
        <v>90234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f t="shared" si="31"/>
        <v>0</v>
      </c>
    </row>
    <row r="2040" spans="2:14" hidden="1" x14ac:dyDescent="0.2">
      <c r="B2040" s="3">
        <v>90235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f t="shared" si="31"/>
        <v>0</v>
      </c>
    </row>
    <row r="2041" spans="2:14" hidden="1" x14ac:dyDescent="0.2">
      <c r="B2041" s="3">
        <v>90236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f t="shared" si="31"/>
        <v>0</v>
      </c>
    </row>
    <row r="2042" spans="2:14" hidden="1" x14ac:dyDescent="0.2">
      <c r="B2042" s="3">
        <v>91215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f t="shared" si="31"/>
        <v>0</v>
      </c>
    </row>
    <row r="2043" spans="2:14" hidden="1" x14ac:dyDescent="0.2">
      <c r="B2043" s="3">
        <v>91216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f t="shared" si="31"/>
        <v>0</v>
      </c>
    </row>
    <row r="2044" spans="2:14" hidden="1" x14ac:dyDescent="0.2">
      <c r="B2044" s="3">
        <v>91217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f t="shared" si="31"/>
        <v>0</v>
      </c>
    </row>
    <row r="2045" spans="2:14" hidden="1" x14ac:dyDescent="0.2">
      <c r="B2045" s="3">
        <v>91218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f t="shared" si="31"/>
        <v>0</v>
      </c>
    </row>
    <row r="2046" spans="2:14" hidden="1" x14ac:dyDescent="0.2">
      <c r="B2046" s="3">
        <v>91219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f t="shared" si="31"/>
        <v>0</v>
      </c>
    </row>
    <row r="2047" spans="2:14" hidden="1" x14ac:dyDescent="0.2">
      <c r="B2047" s="3">
        <v>91220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f t="shared" si="31"/>
        <v>0</v>
      </c>
    </row>
    <row r="2048" spans="2:14" hidden="1" x14ac:dyDescent="0.2">
      <c r="B2048" s="3">
        <v>91221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f t="shared" si="31"/>
        <v>0</v>
      </c>
    </row>
    <row r="2049" spans="2:14" hidden="1" x14ac:dyDescent="0.2">
      <c r="B2049" s="3">
        <v>91222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f t="shared" si="31"/>
        <v>0</v>
      </c>
    </row>
    <row r="2050" spans="2:14" hidden="1" x14ac:dyDescent="0.2">
      <c r="B2050" s="3">
        <v>91223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f t="shared" si="31"/>
        <v>0</v>
      </c>
    </row>
    <row r="2051" spans="2:14" hidden="1" x14ac:dyDescent="0.2">
      <c r="B2051" s="3">
        <v>91224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f t="shared" si="31"/>
        <v>0</v>
      </c>
    </row>
    <row r="2052" spans="2:14" hidden="1" x14ac:dyDescent="0.2">
      <c r="B2052" s="3">
        <v>91225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f t="shared" si="31"/>
        <v>0</v>
      </c>
    </row>
    <row r="2053" spans="2:14" hidden="1" x14ac:dyDescent="0.2">
      <c r="B2053" s="3">
        <v>91226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f t="shared" si="31"/>
        <v>0</v>
      </c>
    </row>
    <row r="2054" spans="2:14" hidden="1" x14ac:dyDescent="0.2">
      <c r="B2054" s="3">
        <v>91227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f t="shared" ref="N2054:N2117" si="32">SUM(C2054:M2054)</f>
        <v>0</v>
      </c>
    </row>
    <row r="2055" spans="2:14" hidden="1" x14ac:dyDescent="0.2">
      <c r="B2055" s="3">
        <v>91228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f t="shared" si="32"/>
        <v>0</v>
      </c>
    </row>
    <row r="2056" spans="2:14" hidden="1" x14ac:dyDescent="0.2">
      <c r="B2056" s="3">
        <v>91229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f t="shared" si="32"/>
        <v>0</v>
      </c>
    </row>
    <row r="2057" spans="2:14" hidden="1" x14ac:dyDescent="0.2">
      <c r="B2057" s="3">
        <v>91230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f t="shared" si="32"/>
        <v>0</v>
      </c>
    </row>
    <row r="2058" spans="2:14" hidden="1" x14ac:dyDescent="0.2">
      <c r="B2058" s="3">
        <v>91231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f t="shared" si="32"/>
        <v>0</v>
      </c>
    </row>
    <row r="2059" spans="2:14" hidden="1" x14ac:dyDescent="0.2">
      <c r="B2059" s="3">
        <v>91232</v>
      </c>
      <c r="C2059" s="3">
        <v>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f t="shared" si="32"/>
        <v>0</v>
      </c>
    </row>
    <row r="2060" spans="2:14" hidden="1" x14ac:dyDescent="0.2">
      <c r="B2060" s="3">
        <v>91233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f t="shared" si="32"/>
        <v>0</v>
      </c>
    </row>
    <row r="2061" spans="2:14" hidden="1" x14ac:dyDescent="0.2">
      <c r="B2061" s="3">
        <v>91234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f t="shared" si="32"/>
        <v>0</v>
      </c>
    </row>
    <row r="2062" spans="2:14" hidden="1" x14ac:dyDescent="0.2">
      <c r="B2062" s="3">
        <v>91235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f t="shared" si="32"/>
        <v>0</v>
      </c>
    </row>
    <row r="2063" spans="2:14" hidden="1" x14ac:dyDescent="0.2">
      <c r="B2063" s="3">
        <v>91236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f t="shared" si="32"/>
        <v>0</v>
      </c>
    </row>
    <row r="2064" spans="2:14" hidden="1" x14ac:dyDescent="0.2">
      <c r="B2064" s="3">
        <v>91237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f t="shared" si="32"/>
        <v>0</v>
      </c>
    </row>
    <row r="2065" spans="2:14" hidden="1" x14ac:dyDescent="0.2">
      <c r="B2065" s="3">
        <v>91238</v>
      </c>
      <c r="C2065" s="3">
        <v>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f t="shared" si="32"/>
        <v>0</v>
      </c>
    </row>
    <row r="2066" spans="2:14" hidden="1" x14ac:dyDescent="0.2">
      <c r="B2066" s="3">
        <v>92222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f t="shared" si="32"/>
        <v>0</v>
      </c>
    </row>
    <row r="2067" spans="2:14" hidden="1" x14ac:dyDescent="0.2">
      <c r="B2067" s="3">
        <v>92223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f t="shared" si="32"/>
        <v>0</v>
      </c>
    </row>
    <row r="2068" spans="2:14" hidden="1" x14ac:dyDescent="0.2">
      <c r="B2068" s="3">
        <v>92224</v>
      </c>
      <c r="C2068" s="3">
        <v>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f t="shared" si="32"/>
        <v>0</v>
      </c>
    </row>
    <row r="2069" spans="2:14" hidden="1" x14ac:dyDescent="0.2">
      <c r="B2069" s="3">
        <v>92225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f t="shared" si="32"/>
        <v>0</v>
      </c>
    </row>
    <row r="2070" spans="2:14" hidden="1" x14ac:dyDescent="0.2">
      <c r="B2070" s="3">
        <v>92226</v>
      </c>
      <c r="C2070" s="3">
        <v>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f t="shared" si="32"/>
        <v>0</v>
      </c>
    </row>
    <row r="2071" spans="2:14" hidden="1" x14ac:dyDescent="0.2">
      <c r="B2071" s="3">
        <v>92227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f t="shared" si="32"/>
        <v>0</v>
      </c>
    </row>
    <row r="2072" spans="2:14" hidden="1" x14ac:dyDescent="0.2">
      <c r="B2072" s="3">
        <v>92228</v>
      </c>
      <c r="C2072" s="3">
        <v>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f t="shared" si="32"/>
        <v>0</v>
      </c>
    </row>
    <row r="2073" spans="2:14" hidden="1" x14ac:dyDescent="0.2">
      <c r="B2073" s="3">
        <v>92229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f t="shared" si="32"/>
        <v>0</v>
      </c>
    </row>
    <row r="2074" spans="2:14" hidden="1" x14ac:dyDescent="0.2">
      <c r="B2074" s="3">
        <v>92230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f t="shared" si="32"/>
        <v>0</v>
      </c>
    </row>
    <row r="2075" spans="2:14" hidden="1" x14ac:dyDescent="0.2">
      <c r="B2075" s="3">
        <v>92231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f t="shared" si="32"/>
        <v>0</v>
      </c>
    </row>
    <row r="2076" spans="2:14" hidden="1" x14ac:dyDescent="0.2">
      <c r="B2076" s="3">
        <v>92232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f t="shared" si="32"/>
        <v>0</v>
      </c>
    </row>
    <row r="2077" spans="2:14" hidden="1" x14ac:dyDescent="0.2">
      <c r="B2077" s="3">
        <v>92233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f t="shared" si="32"/>
        <v>0</v>
      </c>
    </row>
    <row r="2078" spans="2:14" hidden="1" x14ac:dyDescent="0.2">
      <c r="B2078" s="3">
        <v>92234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f t="shared" si="32"/>
        <v>0</v>
      </c>
    </row>
    <row r="2079" spans="2:14" hidden="1" x14ac:dyDescent="0.2">
      <c r="B2079" s="3">
        <v>92235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f t="shared" si="32"/>
        <v>0</v>
      </c>
    </row>
    <row r="2080" spans="2:14" hidden="1" x14ac:dyDescent="0.2">
      <c r="B2080" s="3">
        <v>92236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f t="shared" si="32"/>
        <v>0</v>
      </c>
    </row>
    <row r="2081" spans="2:14" hidden="1" x14ac:dyDescent="0.2">
      <c r="B2081" s="3">
        <v>92237</v>
      </c>
      <c r="C2081" s="3">
        <v>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f t="shared" si="32"/>
        <v>0</v>
      </c>
    </row>
    <row r="2082" spans="2:14" hidden="1" x14ac:dyDescent="0.2">
      <c r="B2082" s="3">
        <v>92238</v>
      </c>
      <c r="C2082" s="3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f t="shared" si="32"/>
        <v>0</v>
      </c>
    </row>
    <row r="2083" spans="2:14" hidden="1" x14ac:dyDescent="0.2">
      <c r="B2083" s="3">
        <v>92239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f t="shared" si="32"/>
        <v>0</v>
      </c>
    </row>
    <row r="2084" spans="2:14" hidden="1" x14ac:dyDescent="0.2">
      <c r="B2084" s="3">
        <v>92240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f t="shared" si="32"/>
        <v>0</v>
      </c>
    </row>
    <row r="2085" spans="2:14" hidden="1" x14ac:dyDescent="0.2">
      <c r="B2085" s="3">
        <v>92241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f t="shared" si="32"/>
        <v>0</v>
      </c>
    </row>
    <row r="2086" spans="2:14" hidden="1" x14ac:dyDescent="0.2">
      <c r="B2086" s="3">
        <v>92242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f t="shared" si="32"/>
        <v>0</v>
      </c>
    </row>
    <row r="2087" spans="2:14" hidden="1" x14ac:dyDescent="0.2">
      <c r="B2087" s="3">
        <v>93227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f t="shared" si="32"/>
        <v>0</v>
      </c>
    </row>
    <row r="2088" spans="2:14" hidden="1" x14ac:dyDescent="0.2">
      <c r="B2088" s="3">
        <v>93228</v>
      </c>
      <c r="C2088" s="3">
        <v>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f t="shared" si="32"/>
        <v>0</v>
      </c>
    </row>
    <row r="2089" spans="2:14" hidden="1" x14ac:dyDescent="0.2">
      <c r="B2089" s="3">
        <v>93229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f t="shared" si="32"/>
        <v>0</v>
      </c>
    </row>
    <row r="2090" spans="2:14" hidden="1" x14ac:dyDescent="0.2">
      <c r="B2090" s="3">
        <v>93230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f t="shared" si="32"/>
        <v>0</v>
      </c>
    </row>
    <row r="2091" spans="2:14" hidden="1" x14ac:dyDescent="0.2">
      <c r="B2091" s="3">
        <v>93231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f t="shared" si="32"/>
        <v>0</v>
      </c>
    </row>
    <row r="2092" spans="2:14" hidden="1" x14ac:dyDescent="0.2">
      <c r="B2092" s="3">
        <v>93232</v>
      </c>
      <c r="C2092" s="3">
        <v>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f t="shared" si="32"/>
        <v>0</v>
      </c>
    </row>
    <row r="2093" spans="2:14" hidden="1" x14ac:dyDescent="0.2">
      <c r="B2093" s="3">
        <v>93233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f t="shared" si="32"/>
        <v>0</v>
      </c>
    </row>
    <row r="2094" spans="2:14" hidden="1" x14ac:dyDescent="0.2">
      <c r="B2094" s="3">
        <v>93234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f t="shared" si="32"/>
        <v>0</v>
      </c>
    </row>
    <row r="2095" spans="2:14" hidden="1" x14ac:dyDescent="0.2">
      <c r="B2095" s="3">
        <v>93235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f t="shared" si="32"/>
        <v>0</v>
      </c>
    </row>
    <row r="2096" spans="2:14" hidden="1" x14ac:dyDescent="0.2">
      <c r="B2096" s="3">
        <v>93236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f t="shared" si="32"/>
        <v>0</v>
      </c>
    </row>
    <row r="2097" spans="2:14" hidden="1" x14ac:dyDescent="0.2">
      <c r="B2097" s="3">
        <v>93237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f t="shared" si="32"/>
        <v>0</v>
      </c>
    </row>
    <row r="2098" spans="2:14" hidden="1" x14ac:dyDescent="0.2">
      <c r="B2098" s="3">
        <v>93238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f t="shared" si="32"/>
        <v>0</v>
      </c>
    </row>
    <row r="2099" spans="2:14" hidden="1" x14ac:dyDescent="0.2">
      <c r="B2099" s="3">
        <v>93239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f t="shared" si="32"/>
        <v>0</v>
      </c>
    </row>
    <row r="2100" spans="2:14" hidden="1" x14ac:dyDescent="0.2">
      <c r="B2100" s="3">
        <v>93240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f t="shared" si="32"/>
        <v>0</v>
      </c>
    </row>
    <row r="2101" spans="2:14" hidden="1" x14ac:dyDescent="0.2">
      <c r="B2101" s="3">
        <v>93241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f t="shared" si="32"/>
        <v>0</v>
      </c>
    </row>
    <row r="2102" spans="2:14" hidden="1" x14ac:dyDescent="0.2">
      <c r="B2102" s="3">
        <v>93242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f t="shared" si="32"/>
        <v>0</v>
      </c>
    </row>
    <row r="2103" spans="2:14" hidden="1" x14ac:dyDescent="0.2">
      <c r="B2103" s="3">
        <v>94232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f t="shared" si="32"/>
        <v>0</v>
      </c>
    </row>
    <row r="2104" spans="2:14" hidden="1" x14ac:dyDescent="0.2">
      <c r="B2104" s="3">
        <v>94233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f t="shared" si="32"/>
        <v>0</v>
      </c>
    </row>
    <row r="2105" spans="2:14" hidden="1" x14ac:dyDescent="0.2">
      <c r="B2105" s="3">
        <v>94234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f t="shared" si="32"/>
        <v>0</v>
      </c>
    </row>
    <row r="2106" spans="2:14" hidden="1" x14ac:dyDescent="0.2">
      <c r="B2106" s="3">
        <v>94235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f t="shared" si="32"/>
        <v>0</v>
      </c>
    </row>
    <row r="2107" spans="2:14" hidden="1" x14ac:dyDescent="0.2">
      <c r="B2107" s="3">
        <v>94236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f t="shared" si="32"/>
        <v>0</v>
      </c>
    </row>
    <row r="2108" spans="2:14" hidden="1" x14ac:dyDescent="0.2">
      <c r="B2108" s="3">
        <v>94237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f t="shared" si="32"/>
        <v>0</v>
      </c>
    </row>
    <row r="2109" spans="2:14" hidden="1" x14ac:dyDescent="0.2">
      <c r="B2109" s="3">
        <v>94238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f t="shared" si="32"/>
        <v>0</v>
      </c>
    </row>
    <row r="2110" spans="2:14" hidden="1" x14ac:dyDescent="0.2">
      <c r="B2110" s="3">
        <v>94239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f t="shared" si="32"/>
        <v>0</v>
      </c>
    </row>
    <row r="2111" spans="2:14" hidden="1" x14ac:dyDescent="0.2">
      <c r="B2111" s="3">
        <v>94240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f t="shared" si="32"/>
        <v>0</v>
      </c>
    </row>
    <row r="2112" spans="2:14" hidden="1" x14ac:dyDescent="0.2">
      <c r="B2112" s="3">
        <v>94241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f t="shared" si="32"/>
        <v>0</v>
      </c>
    </row>
    <row r="2113" spans="2:14" hidden="1" x14ac:dyDescent="0.2">
      <c r="B2113" s="3">
        <v>94242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f t="shared" si="32"/>
        <v>0</v>
      </c>
    </row>
    <row r="2114" spans="2:14" hidden="1" x14ac:dyDescent="0.2">
      <c r="B2114" s="3">
        <v>94243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f t="shared" si="32"/>
        <v>0</v>
      </c>
    </row>
    <row r="2115" spans="2:14" hidden="1" x14ac:dyDescent="0.2">
      <c r="B2115" s="3">
        <v>94244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f t="shared" si="32"/>
        <v>0</v>
      </c>
    </row>
    <row r="2116" spans="2:14" hidden="1" x14ac:dyDescent="0.2">
      <c r="B2116" s="3">
        <v>94245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f t="shared" si="32"/>
        <v>0</v>
      </c>
    </row>
    <row r="2117" spans="2:14" hidden="1" x14ac:dyDescent="0.2">
      <c r="B2117" s="3">
        <v>94246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f t="shared" si="32"/>
        <v>0</v>
      </c>
    </row>
    <row r="2118" spans="2:14" hidden="1" x14ac:dyDescent="0.2">
      <c r="B2118" s="3">
        <v>95232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f t="shared" ref="N2118:N2181" si="33">SUM(C2118:M2118)</f>
        <v>0</v>
      </c>
    </row>
    <row r="2119" spans="2:14" hidden="1" x14ac:dyDescent="0.2">
      <c r="B2119" s="3">
        <v>95233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f t="shared" si="33"/>
        <v>0</v>
      </c>
    </row>
    <row r="2120" spans="2:14" hidden="1" x14ac:dyDescent="0.2">
      <c r="B2120" s="3">
        <v>95234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f t="shared" si="33"/>
        <v>0</v>
      </c>
    </row>
    <row r="2121" spans="2:14" hidden="1" x14ac:dyDescent="0.2">
      <c r="B2121" s="3">
        <v>95235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f t="shared" si="33"/>
        <v>0</v>
      </c>
    </row>
    <row r="2122" spans="2:14" hidden="1" x14ac:dyDescent="0.2">
      <c r="B2122" s="3">
        <v>95236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f t="shared" si="33"/>
        <v>0</v>
      </c>
    </row>
    <row r="2123" spans="2:14" hidden="1" x14ac:dyDescent="0.2">
      <c r="B2123" s="3">
        <v>95237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f t="shared" si="33"/>
        <v>0</v>
      </c>
    </row>
    <row r="2124" spans="2:14" hidden="1" x14ac:dyDescent="0.2">
      <c r="B2124" s="3">
        <v>95238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f t="shared" si="33"/>
        <v>0</v>
      </c>
    </row>
    <row r="2125" spans="2:14" hidden="1" x14ac:dyDescent="0.2">
      <c r="B2125" s="3">
        <v>95239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f t="shared" si="33"/>
        <v>0</v>
      </c>
    </row>
    <row r="2126" spans="2:14" hidden="1" x14ac:dyDescent="0.2">
      <c r="B2126" s="3">
        <v>95240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f t="shared" si="33"/>
        <v>0</v>
      </c>
    </row>
    <row r="2127" spans="2:14" hidden="1" x14ac:dyDescent="0.2">
      <c r="B2127" s="3">
        <v>95241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f t="shared" si="33"/>
        <v>0</v>
      </c>
    </row>
    <row r="2128" spans="2:14" hidden="1" x14ac:dyDescent="0.2">
      <c r="B2128" s="3">
        <v>95242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f t="shared" si="33"/>
        <v>0</v>
      </c>
    </row>
    <row r="2129" spans="2:14" hidden="1" x14ac:dyDescent="0.2">
      <c r="B2129" s="3">
        <v>95243</v>
      </c>
      <c r="C2129" s="3">
        <v>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f t="shared" si="33"/>
        <v>0</v>
      </c>
    </row>
    <row r="2130" spans="2:14" hidden="1" x14ac:dyDescent="0.2">
      <c r="B2130" s="3">
        <v>95244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f t="shared" si="33"/>
        <v>0</v>
      </c>
    </row>
    <row r="2131" spans="2:14" hidden="1" x14ac:dyDescent="0.2">
      <c r="B2131" s="3">
        <v>95245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f t="shared" si="33"/>
        <v>0</v>
      </c>
    </row>
    <row r="2132" spans="2:14" hidden="1" x14ac:dyDescent="0.2">
      <c r="B2132" s="3">
        <v>95246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f t="shared" si="33"/>
        <v>0</v>
      </c>
    </row>
    <row r="2133" spans="2:14" hidden="1" x14ac:dyDescent="0.2">
      <c r="B2133" s="3">
        <v>95247</v>
      </c>
      <c r="C2133" s="3">
        <v>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f t="shared" si="33"/>
        <v>0</v>
      </c>
    </row>
    <row r="2134" spans="2:14" hidden="1" x14ac:dyDescent="0.2">
      <c r="B2134" s="3">
        <v>96238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f t="shared" si="33"/>
        <v>0</v>
      </c>
    </row>
    <row r="2135" spans="2:14" hidden="1" x14ac:dyDescent="0.2">
      <c r="B2135" s="3">
        <v>96239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f t="shared" si="33"/>
        <v>0</v>
      </c>
    </row>
    <row r="2136" spans="2:14" hidden="1" x14ac:dyDescent="0.2">
      <c r="B2136" s="3">
        <v>96240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f t="shared" si="33"/>
        <v>0</v>
      </c>
    </row>
    <row r="2137" spans="2:14" hidden="1" x14ac:dyDescent="0.2">
      <c r="B2137" s="3">
        <v>96241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f t="shared" si="33"/>
        <v>0</v>
      </c>
    </row>
    <row r="2138" spans="2:14" hidden="1" x14ac:dyDescent="0.2">
      <c r="B2138" s="3">
        <v>96242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f t="shared" si="33"/>
        <v>0</v>
      </c>
    </row>
    <row r="2139" spans="2:14" hidden="1" x14ac:dyDescent="0.2">
      <c r="B2139" s="3">
        <v>96243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f t="shared" si="33"/>
        <v>0</v>
      </c>
    </row>
    <row r="2140" spans="2:14" hidden="1" x14ac:dyDescent="0.2">
      <c r="B2140" s="3">
        <v>96244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f t="shared" si="33"/>
        <v>0</v>
      </c>
    </row>
    <row r="2141" spans="2:14" hidden="1" x14ac:dyDescent="0.2">
      <c r="B2141" s="3">
        <v>96245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f t="shared" si="33"/>
        <v>0</v>
      </c>
    </row>
    <row r="2142" spans="2:14" hidden="1" x14ac:dyDescent="0.2">
      <c r="B2142" s="3">
        <v>96246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f t="shared" si="33"/>
        <v>0</v>
      </c>
    </row>
    <row r="2143" spans="2:14" hidden="1" x14ac:dyDescent="0.2">
      <c r="B2143" s="3">
        <v>96247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f t="shared" si="33"/>
        <v>0</v>
      </c>
    </row>
    <row r="2144" spans="2:14" hidden="1" x14ac:dyDescent="0.2">
      <c r="B2144" s="3">
        <v>96248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f t="shared" si="33"/>
        <v>0</v>
      </c>
    </row>
    <row r="2145" spans="2:14" hidden="1" x14ac:dyDescent="0.2">
      <c r="B2145" s="3">
        <v>96249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f t="shared" si="33"/>
        <v>0</v>
      </c>
    </row>
    <row r="2146" spans="2:14" hidden="1" x14ac:dyDescent="0.2">
      <c r="B2146" s="3">
        <v>96250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f t="shared" si="33"/>
        <v>0</v>
      </c>
    </row>
    <row r="2147" spans="2:14" hidden="1" x14ac:dyDescent="0.2">
      <c r="B2147" s="3">
        <v>96251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f t="shared" si="33"/>
        <v>0</v>
      </c>
    </row>
    <row r="2148" spans="2:14" hidden="1" x14ac:dyDescent="0.2">
      <c r="B2148" s="3">
        <v>97240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f t="shared" si="33"/>
        <v>0</v>
      </c>
    </row>
    <row r="2149" spans="2:14" hidden="1" x14ac:dyDescent="0.2">
      <c r="B2149" s="3">
        <v>97241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f t="shared" si="33"/>
        <v>0</v>
      </c>
    </row>
    <row r="2150" spans="2:14" hidden="1" x14ac:dyDescent="0.2">
      <c r="B2150" s="3">
        <v>97242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f t="shared" si="33"/>
        <v>0</v>
      </c>
    </row>
    <row r="2151" spans="2:14" hidden="1" x14ac:dyDescent="0.2">
      <c r="B2151" s="3">
        <v>97243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f t="shared" si="33"/>
        <v>0</v>
      </c>
    </row>
    <row r="2152" spans="2:14" hidden="1" x14ac:dyDescent="0.2">
      <c r="B2152" s="3">
        <v>97244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f t="shared" si="33"/>
        <v>0</v>
      </c>
    </row>
    <row r="2153" spans="2:14" hidden="1" x14ac:dyDescent="0.2">
      <c r="B2153" s="3">
        <v>97245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f t="shared" si="33"/>
        <v>0</v>
      </c>
    </row>
    <row r="2154" spans="2:14" hidden="1" x14ac:dyDescent="0.2">
      <c r="B2154" s="3">
        <v>97246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f t="shared" si="33"/>
        <v>0</v>
      </c>
    </row>
    <row r="2155" spans="2:14" hidden="1" x14ac:dyDescent="0.2">
      <c r="B2155" s="3">
        <v>97247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f t="shared" si="33"/>
        <v>0</v>
      </c>
    </row>
    <row r="2156" spans="2:14" hidden="1" x14ac:dyDescent="0.2">
      <c r="B2156" s="3">
        <v>97248</v>
      </c>
      <c r="C2156" s="3">
        <v>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f t="shared" si="33"/>
        <v>0</v>
      </c>
    </row>
    <row r="2157" spans="2:14" hidden="1" x14ac:dyDescent="0.2">
      <c r="B2157" s="3">
        <v>97249</v>
      </c>
      <c r="C2157" s="3">
        <v>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f t="shared" si="33"/>
        <v>0</v>
      </c>
    </row>
    <row r="2158" spans="2:14" hidden="1" x14ac:dyDescent="0.2">
      <c r="B2158" s="3">
        <v>97250</v>
      </c>
      <c r="C2158" s="3">
        <v>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f t="shared" si="33"/>
        <v>0</v>
      </c>
    </row>
    <row r="2159" spans="2:14" hidden="1" x14ac:dyDescent="0.2">
      <c r="B2159" s="3">
        <v>97251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f t="shared" si="33"/>
        <v>0</v>
      </c>
    </row>
    <row r="2160" spans="2:14" hidden="1" x14ac:dyDescent="0.2">
      <c r="B2160" s="3">
        <v>98239</v>
      </c>
      <c r="C2160" s="3">
        <v>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f t="shared" si="33"/>
        <v>0</v>
      </c>
    </row>
    <row r="2161" spans="2:14" hidden="1" x14ac:dyDescent="0.2">
      <c r="B2161" s="3">
        <v>98240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f t="shared" si="33"/>
        <v>0</v>
      </c>
    </row>
    <row r="2162" spans="2:14" hidden="1" x14ac:dyDescent="0.2">
      <c r="B2162" s="3">
        <v>98241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f t="shared" si="33"/>
        <v>0</v>
      </c>
    </row>
    <row r="2163" spans="2:14" hidden="1" x14ac:dyDescent="0.2">
      <c r="B2163" s="3">
        <v>98242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f t="shared" si="33"/>
        <v>0</v>
      </c>
    </row>
    <row r="2164" spans="2:14" hidden="1" x14ac:dyDescent="0.2">
      <c r="B2164" s="3">
        <v>98243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f t="shared" si="33"/>
        <v>0</v>
      </c>
    </row>
    <row r="2165" spans="2:14" hidden="1" x14ac:dyDescent="0.2">
      <c r="B2165" s="3">
        <v>98244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f t="shared" si="33"/>
        <v>0</v>
      </c>
    </row>
    <row r="2166" spans="2:14" hidden="1" x14ac:dyDescent="0.2">
      <c r="B2166" s="3">
        <v>98245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f t="shared" si="33"/>
        <v>0</v>
      </c>
    </row>
    <row r="2167" spans="2:14" hidden="1" x14ac:dyDescent="0.2">
      <c r="B2167" s="3">
        <v>98246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f t="shared" si="33"/>
        <v>0</v>
      </c>
    </row>
    <row r="2168" spans="2:14" hidden="1" x14ac:dyDescent="0.2">
      <c r="B2168" s="3">
        <v>98247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f t="shared" si="33"/>
        <v>0</v>
      </c>
    </row>
    <row r="2169" spans="2:14" hidden="1" x14ac:dyDescent="0.2">
      <c r="B2169" s="3">
        <v>98248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f t="shared" si="33"/>
        <v>0</v>
      </c>
    </row>
    <row r="2170" spans="2:14" hidden="1" x14ac:dyDescent="0.2">
      <c r="B2170" s="3">
        <v>98249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f t="shared" si="33"/>
        <v>0</v>
      </c>
    </row>
    <row r="2171" spans="2:14" hidden="1" x14ac:dyDescent="0.2">
      <c r="B2171" s="3">
        <v>98250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f t="shared" si="33"/>
        <v>0</v>
      </c>
    </row>
    <row r="2172" spans="2:14" hidden="1" x14ac:dyDescent="0.2">
      <c r="B2172" s="3">
        <v>98251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f t="shared" si="33"/>
        <v>0</v>
      </c>
    </row>
    <row r="2173" spans="2:14" hidden="1" x14ac:dyDescent="0.2">
      <c r="B2173" s="3">
        <v>98252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f t="shared" si="33"/>
        <v>0</v>
      </c>
    </row>
    <row r="2174" spans="2:14" hidden="1" x14ac:dyDescent="0.2">
      <c r="B2174" s="3">
        <v>98253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f t="shared" si="33"/>
        <v>0</v>
      </c>
    </row>
    <row r="2175" spans="2:14" hidden="1" x14ac:dyDescent="0.2">
      <c r="B2175" s="3">
        <v>98254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f t="shared" si="33"/>
        <v>0</v>
      </c>
    </row>
    <row r="2176" spans="2:14" hidden="1" x14ac:dyDescent="0.2">
      <c r="B2176" s="3">
        <v>98255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f t="shared" si="33"/>
        <v>0</v>
      </c>
    </row>
    <row r="2177" spans="2:14" hidden="1" x14ac:dyDescent="0.2">
      <c r="B2177" s="3">
        <v>98256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f t="shared" si="33"/>
        <v>0</v>
      </c>
    </row>
    <row r="2178" spans="2:14" hidden="1" x14ac:dyDescent="0.2">
      <c r="B2178" s="3">
        <v>99243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f t="shared" si="33"/>
        <v>0</v>
      </c>
    </row>
    <row r="2179" spans="2:14" hidden="1" x14ac:dyDescent="0.2">
      <c r="B2179" s="3">
        <v>99244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f t="shared" si="33"/>
        <v>0</v>
      </c>
    </row>
    <row r="2180" spans="2:14" hidden="1" x14ac:dyDescent="0.2">
      <c r="B2180" s="3">
        <v>99245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f t="shared" si="33"/>
        <v>0</v>
      </c>
    </row>
    <row r="2181" spans="2:14" hidden="1" x14ac:dyDescent="0.2">
      <c r="B2181" s="3">
        <v>99246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f t="shared" si="33"/>
        <v>0</v>
      </c>
    </row>
    <row r="2182" spans="2:14" hidden="1" x14ac:dyDescent="0.2">
      <c r="B2182" s="3">
        <v>99247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f t="shared" ref="N2182:N2209" si="34">SUM(C2182:M2182)</f>
        <v>0</v>
      </c>
    </row>
    <row r="2183" spans="2:14" hidden="1" x14ac:dyDescent="0.2">
      <c r="B2183" s="3">
        <v>99248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f t="shared" si="34"/>
        <v>0</v>
      </c>
    </row>
    <row r="2184" spans="2:14" hidden="1" x14ac:dyDescent="0.2">
      <c r="B2184" s="3">
        <v>99249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f t="shared" si="34"/>
        <v>0</v>
      </c>
    </row>
    <row r="2185" spans="2:14" hidden="1" x14ac:dyDescent="0.2">
      <c r="B2185" s="3">
        <v>99250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f t="shared" si="34"/>
        <v>0</v>
      </c>
    </row>
    <row r="2186" spans="2:14" hidden="1" x14ac:dyDescent="0.2">
      <c r="B2186" s="3">
        <v>99251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f t="shared" si="34"/>
        <v>0</v>
      </c>
    </row>
    <row r="2187" spans="2:14" hidden="1" x14ac:dyDescent="0.2">
      <c r="B2187" s="3">
        <v>99252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f t="shared" si="34"/>
        <v>0</v>
      </c>
    </row>
    <row r="2188" spans="2:14" hidden="1" x14ac:dyDescent="0.2">
      <c r="B2188" s="3">
        <v>99253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f t="shared" si="34"/>
        <v>0</v>
      </c>
    </row>
    <row r="2189" spans="2:14" hidden="1" x14ac:dyDescent="0.2">
      <c r="B2189" s="3">
        <v>99254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f t="shared" si="34"/>
        <v>0</v>
      </c>
    </row>
    <row r="2190" spans="2:14" hidden="1" x14ac:dyDescent="0.2">
      <c r="B2190" s="3">
        <v>99255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f t="shared" si="34"/>
        <v>0</v>
      </c>
    </row>
    <row r="2191" spans="2:14" hidden="1" x14ac:dyDescent="0.2">
      <c r="B2191" s="3">
        <v>99256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f t="shared" si="34"/>
        <v>0</v>
      </c>
    </row>
    <row r="2192" spans="2:14" hidden="1" x14ac:dyDescent="0.2">
      <c r="B2192" s="3">
        <v>100240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f t="shared" si="34"/>
        <v>0</v>
      </c>
    </row>
    <row r="2193" spans="2:14" hidden="1" x14ac:dyDescent="0.2">
      <c r="B2193" s="3">
        <v>100240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f t="shared" si="34"/>
        <v>0</v>
      </c>
    </row>
    <row r="2194" spans="2:14" hidden="1" x14ac:dyDescent="0.2">
      <c r="B2194" s="3">
        <v>100240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f t="shared" si="34"/>
        <v>0</v>
      </c>
    </row>
    <row r="2195" spans="2:14" hidden="1" x14ac:dyDescent="0.2">
      <c r="B2195" s="3">
        <v>100240</v>
      </c>
      <c r="C2195" s="3">
        <v>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f t="shared" si="34"/>
        <v>0</v>
      </c>
    </row>
    <row r="2196" spans="2:14" hidden="1" x14ac:dyDescent="0.2">
      <c r="B2196" s="3">
        <v>100250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f t="shared" si="34"/>
        <v>0</v>
      </c>
    </row>
    <row r="2197" spans="2:14" hidden="1" x14ac:dyDescent="0.2">
      <c r="B2197" s="3">
        <v>100250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f t="shared" si="34"/>
        <v>0</v>
      </c>
    </row>
    <row r="2198" spans="2:14" hidden="1" x14ac:dyDescent="0.2">
      <c r="B2198" s="3">
        <v>100250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f t="shared" si="34"/>
        <v>0</v>
      </c>
    </row>
    <row r="2199" spans="2:14" hidden="1" x14ac:dyDescent="0.2">
      <c r="B2199" s="3">
        <v>100250</v>
      </c>
      <c r="C2199" s="3">
        <v>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f t="shared" si="34"/>
        <v>0</v>
      </c>
    </row>
    <row r="2200" spans="2:14" hidden="1" x14ac:dyDescent="0.2">
      <c r="B2200" s="3">
        <v>100250</v>
      </c>
      <c r="C2200" s="3">
        <v>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f t="shared" si="34"/>
        <v>0</v>
      </c>
    </row>
    <row r="2201" spans="2:14" hidden="1" x14ac:dyDescent="0.2">
      <c r="B2201" s="3">
        <v>100250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f t="shared" si="34"/>
        <v>0</v>
      </c>
    </row>
    <row r="2202" spans="2:14" hidden="1" x14ac:dyDescent="0.2">
      <c r="B2202" s="3">
        <v>100250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f t="shared" si="34"/>
        <v>0</v>
      </c>
    </row>
    <row r="2203" spans="2:14" hidden="1" x14ac:dyDescent="0.2">
      <c r="B2203" s="3">
        <v>100250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f t="shared" si="34"/>
        <v>0</v>
      </c>
    </row>
    <row r="2204" spans="2:14" hidden="1" x14ac:dyDescent="0.2">
      <c r="B2204" s="3">
        <v>100250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f t="shared" si="34"/>
        <v>0</v>
      </c>
    </row>
    <row r="2205" spans="2:14" hidden="1" x14ac:dyDescent="0.2">
      <c r="B2205" s="3">
        <v>100260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f t="shared" si="34"/>
        <v>0</v>
      </c>
    </row>
    <row r="2206" spans="2:14" hidden="1" x14ac:dyDescent="0.2">
      <c r="B2206" s="3">
        <v>100260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f t="shared" si="34"/>
        <v>0</v>
      </c>
    </row>
    <row r="2207" spans="2:14" hidden="1" x14ac:dyDescent="0.2">
      <c r="B2207" s="3">
        <v>100260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f t="shared" si="34"/>
        <v>0</v>
      </c>
    </row>
    <row r="2208" spans="2:14" hidden="1" x14ac:dyDescent="0.2">
      <c r="B2208" s="3">
        <v>100260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f t="shared" si="34"/>
        <v>0</v>
      </c>
    </row>
    <row r="2209" spans="2:14" hidden="1" x14ac:dyDescent="0.2">
      <c r="B2209" s="3">
        <v>100260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f t="shared" si="34"/>
        <v>0</v>
      </c>
    </row>
  </sheetData>
  <autoFilter ref="N4:N2209" xr:uid="{B2852F77-8EA7-43FB-88FD-7EE34EAE8B58}">
    <filterColumn colId="0">
      <filters>
        <filter val="1.00E-10"/>
        <filter val="1.52E-08"/>
        <filter val="1.54E-08"/>
        <filter val="1.67E-08"/>
        <filter val="1.90E-09"/>
        <filter val="2.03E-06"/>
        <filter val="2.62E-07"/>
        <filter val="2.68E-05"/>
        <filter val="2.95E-06"/>
        <filter val="4.00E-10"/>
        <filter val="5.92E-05"/>
        <filter val="8.12E-04"/>
        <filter val="8.24E-06"/>
        <filter val="9.67E-08"/>
        <filter val="9.72E-08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A5BF-E8FE-46F9-8804-57632D582B5C}">
  <sheetPr filterMode="1"/>
  <dimension ref="B1:N20"/>
  <sheetViews>
    <sheetView workbookViewId="0">
      <selection activeCell="J15" sqref="J15"/>
    </sheetView>
  </sheetViews>
  <sheetFormatPr defaultRowHeight="14.25" x14ac:dyDescent="0.2"/>
  <sheetData>
    <row r="1" spans="2:14" x14ac:dyDescent="0.2">
      <c r="B1" s="4" t="s">
        <v>3164</v>
      </c>
      <c r="C1" s="4" t="s">
        <v>3165</v>
      </c>
      <c r="D1" s="4" t="s">
        <v>3166</v>
      </c>
      <c r="E1" s="4" t="s">
        <v>3164</v>
      </c>
      <c r="F1" s="5" t="s">
        <v>3167</v>
      </c>
      <c r="G1" s="5" t="s">
        <v>3167</v>
      </c>
      <c r="H1" s="4" t="s">
        <v>3168</v>
      </c>
      <c r="I1" s="4" t="s">
        <v>3169</v>
      </c>
      <c r="J1" s="4" t="s">
        <v>3170</v>
      </c>
      <c r="K1" s="4" t="s">
        <v>3171</v>
      </c>
      <c r="L1" s="6">
        <v>720</v>
      </c>
      <c r="M1" s="6"/>
      <c r="N1" s="6"/>
    </row>
    <row r="2" spans="2:14" hidden="1" x14ac:dyDescent="0.2"/>
    <row r="3" spans="2:14" hidden="1" x14ac:dyDescent="0.2"/>
    <row r="4" spans="2:14" hidden="1" x14ac:dyDescent="0.2"/>
    <row r="5" spans="2:14" x14ac:dyDescent="0.2">
      <c r="B5" s="3">
        <v>24051</v>
      </c>
      <c r="C5" s="3">
        <v>9.7193878000000011E-8</v>
      </c>
      <c r="E5" t="str">
        <f>VLOOKUP(B5,Nuclides!A:F,5,FALSE)</f>
        <v>Cr51</v>
      </c>
      <c r="F5">
        <f>VLOOKUP(B5,Nuclides!A:F,4,FALSE)</f>
        <v>2393496</v>
      </c>
      <c r="G5" s="3" t="str">
        <f t="shared" ref="G5" si="0">IF(F5="STABLE", "STABLE", IF(F5&lt;60, F5&amp;"s", IF(F5&lt;3600, ROUND(F5/60,2)&amp;"min", IF(F5&lt;86400, ROUND(F5/3600,2)&amp;"h", IF(F5&lt;31536000, ROUND(F5/86400,2)&amp;"d", ROUND(F5/31536000,2)&amp;"y")))))</f>
        <v>27.7d</v>
      </c>
      <c r="H5" s="3">
        <f t="shared" ref="H5" si="1">LN(2)/F5</f>
        <v>2.8959613074763664E-7</v>
      </c>
      <c r="I5" s="3">
        <f t="shared" ref="I5" si="2">100*6240000000000*C5*(1-EXP(-H5*2*3600))</f>
        <v>126326.96386585067</v>
      </c>
      <c r="J5" s="3">
        <f>I5*EXP(-H5*2*3600)</f>
        <v>126063.83492562374</v>
      </c>
      <c r="K5" s="3" t="str">
        <f t="shared" ref="K5" si="3">E5</f>
        <v>Cr51</v>
      </c>
      <c r="L5" s="3" cm="1">
        <f t="array" ref="L5">SUM(($J5*EXP(-$H5*12*3600*_xlfn.SEQUENCE(L$1-1))))+$J5</f>
        <v>10138521.317735352</v>
      </c>
      <c r="M5" s="3"/>
      <c r="N5" s="3"/>
    </row>
    <row r="6" spans="2:14" hidden="1" x14ac:dyDescent="0.2">
      <c r="B6" s="3">
        <v>24053</v>
      </c>
      <c r="C6" s="3">
        <v>2.6151179999999998E-7</v>
      </c>
      <c r="E6" t="str">
        <f>VLOOKUP(B6,Nuclides!A:F,5,FALSE)</f>
        <v>Cr53</v>
      </c>
      <c r="F6" t="str">
        <f>VLOOKUP(B6,Nuclides!A:F,4,FALSE)</f>
        <v>STABLE</v>
      </c>
      <c r="G6" s="3" t="str">
        <f t="shared" ref="G6:G19" si="4">IF(F6="STABLE", "STABLE", IF(F6&lt;60, F6&amp;"s", IF(F6&lt;3600, ROUND(F6/60,2)&amp;"min", IF(F6&lt;86400, ROUND(F6/3600,2)&amp;"h", IF(F6&lt;31536000, ROUND(F6/86400,2)&amp;"d", ROUND(F6/31536000,2)&amp;"y")))))</f>
        <v>STABLE</v>
      </c>
      <c r="H6" s="3" t="e">
        <f t="shared" ref="H6:H19" si="5">LN(2)/F6</f>
        <v>#VALUE!</v>
      </c>
      <c r="I6" s="3" t="e">
        <f t="shared" ref="I6:I19" si="6">100*6240000000000*C6*(1-EXP(-H6*2*3600))</f>
        <v>#VALUE!</v>
      </c>
      <c r="J6" s="3" t="e">
        <f t="shared" ref="J6:J19" si="7">I6*EXP(-H6*2*3600)</f>
        <v>#VALUE!</v>
      </c>
      <c r="K6" s="3" t="str">
        <f t="shared" ref="K6:K19" si="8">E6</f>
        <v>Cr53</v>
      </c>
      <c r="L6" s="3" t="e" cm="1">
        <f t="array" ref="L6">SUM(($J6*EXP(-$H6*12*3600*_xlfn.SEQUENCE(L$1-1))))+$J6</f>
        <v>#VALUE!</v>
      </c>
    </row>
    <row r="7" spans="2:14" hidden="1" x14ac:dyDescent="0.2">
      <c r="B7" s="3">
        <v>24054</v>
      </c>
      <c r="C7" s="3">
        <v>1.5399690000000003E-8</v>
      </c>
      <c r="E7" t="str">
        <f>VLOOKUP(B7,Nuclides!A:F,5,FALSE)</f>
        <v>Cr54</v>
      </c>
      <c r="F7" t="str">
        <f>VLOOKUP(B7,Nuclides!A:F,4,FALSE)</f>
        <v>STABLE</v>
      </c>
      <c r="G7" s="3" t="str">
        <f t="shared" si="4"/>
        <v>STABLE</v>
      </c>
      <c r="H7" s="3" t="e">
        <f t="shared" si="5"/>
        <v>#VALUE!</v>
      </c>
      <c r="I7" s="3" t="e">
        <f t="shared" si="6"/>
        <v>#VALUE!</v>
      </c>
      <c r="J7" s="3" t="e">
        <f t="shared" si="7"/>
        <v>#VALUE!</v>
      </c>
      <c r="K7" s="3" t="str">
        <f t="shared" si="8"/>
        <v>Cr54</v>
      </c>
      <c r="L7" s="3" t="e" cm="1">
        <f t="array" ref="L7">SUM(($J7*EXP(-$H7*12*3600*_xlfn.SEQUENCE(L$1-1))))+$J7</f>
        <v>#VALUE!</v>
      </c>
    </row>
    <row r="8" spans="2:14" hidden="1" x14ac:dyDescent="0.2">
      <c r="B8" s="3">
        <v>24055</v>
      </c>
      <c r="C8" s="3">
        <v>4.0000000000000001E-10</v>
      </c>
      <c r="E8" t="str">
        <f>VLOOKUP(B8,Nuclides!A:F,5,FALSE)</f>
        <v>Cr55</v>
      </c>
      <c r="F8">
        <f>VLOOKUP(B8,Nuclides!A:F,4,FALSE)</f>
        <v>209.82</v>
      </c>
      <c r="G8" s="3" t="str">
        <f t="shared" si="4"/>
        <v>3.5min</v>
      </c>
      <c r="H8" s="3">
        <f t="shared" si="5"/>
        <v>3.3035324590598861E-3</v>
      </c>
      <c r="I8" s="3">
        <f t="shared" si="6"/>
        <v>249599.99998832218</v>
      </c>
      <c r="J8" s="3">
        <f t="shared" si="7"/>
        <v>1.1677825278602149E-5</v>
      </c>
      <c r="K8" s="3" t="str">
        <f t="shared" si="8"/>
        <v>Cr55</v>
      </c>
      <c r="L8" s="3" cm="1">
        <f t="array" ref="L8">SUM(($J8*EXP(-$H8*12*3600*_xlfn.SEQUENCE(L$1-1))))+$J8</f>
        <v>1.1677825278602149E-5</v>
      </c>
    </row>
    <row r="9" spans="2:14" hidden="1" x14ac:dyDescent="0.2">
      <c r="B9" s="3">
        <v>25053</v>
      </c>
      <c r="C9" s="3">
        <v>1.6697639999999999E-8</v>
      </c>
      <c r="E9" t="str">
        <f>VLOOKUP(B9,Nuclides!A:F,5,FALSE)</f>
        <v>Mn53</v>
      </c>
      <c r="F9">
        <f>VLOOKUP(B9,Nuclides!A:F,4,FALSE)</f>
        <v>118025424000000</v>
      </c>
      <c r="G9" s="3" t="str">
        <f t="shared" si="4"/>
        <v>3742561.64y</v>
      </c>
      <c r="H9" s="3">
        <f t="shared" si="5"/>
        <v>5.8728632956230289E-15</v>
      </c>
      <c r="I9" s="3">
        <f t="shared" si="6"/>
        <v>4.4057730067478926E-4</v>
      </c>
      <c r="J9" s="3">
        <f t="shared" si="7"/>
        <v>4.4057730065615963E-4</v>
      </c>
      <c r="K9" s="3" t="str">
        <f t="shared" si="8"/>
        <v>Mn53</v>
      </c>
      <c r="L9" s="3" cm="1">
        <f t="array" ref="L9">SUM(($J9*EXP(-$H9*12*3600*_xlfn.SEQUENCE(L$1-1))))+$J9</f>
        <v>0.31721562753985771</v>
      </c>
    </row>
    <row r="10" spans="2:14" x14ac:dyDescent="0.2">
      <c r="B10" s="3">
        <v>25054</v>
      </c>
      <c r="C10" s="3">
        <v>8.242444899999999E-6</v>
      </c>
      <c r="E10" t="str">
        <f>VLOOKUP(B10,Nuclides!A:F,5,FALSE)</f>
        <v>Mn54</v>
      </c>
      <c r="F10">
        <f>VLOOKUP(B10,Nuclides!A:F,4,FALSE)</f>
        <v>26974080</v>
      </c>
      <c r="G10" s="3" t="str">
        <f t="shared" si="4"/>
        <v>312.2d</v>
      </c>
      <c r="H10" s="3">
        <f t="shared" si="5"/>
        <v>2.5696786713761703E-8</v>
      </c>
      <c r="I10" s="3">
        <f t="shared" si="6"/>
        <v>951506.55227527197</v>
      </c>
      <c r="J10" s="3">
        <f t="shared" si="7"/>
        <v>951330.52380119218</v>
      </c>
      <c r="K10" s="3" t="str">
        <f t="shared" si="8"/>
        <v>Mn54</v>
      </c>
      <c r="L10" s="3" cm="1">
        <f t="array" ref="L10">SUM(($J10*EXP(-$H10*12*3600*_xlfn.SEQUENCE(L$1-1))))+$J10</f>
        <v>471893812.991786</v>
      </c>
      <c r="M10" s="3"/>
      <c r="N10" s="3"/>
    </row>
    <row r="11" spans="2:14" hidden="1" x14ac:dyDescent="0.2">
      <c r="B11" s="3">
        <v>25055</v>
      </c>
      <c r="C11" s="3">
        <v>1.9000000000000001E-9</v>
      </c>
      <c r="E11" t="str">
        <f>VLOOKUP(B11,Nuclides!A:F,5,FALSE)</f>
        <v>Mn55</v>
      </c>
      <c r="F11" t="str">
        <f>VLOOKUP(B11,Nuclides!A:F,4,FALSE)</f>
        <v>STABLE</v>
      </c>
      <c r="G11" s="3" t="str">
        <f t="shared" si="4"/>
        <v>STABLE</v>
      </c>
      <c r="H11" s="3" t="e">
        <f t="shared" si="5"/>
        <v>#VALUE!</v>
      </c>
      <c r="I11" s="3" t="e">
        <f t="shared" si="6"/>
        <v>#VALUE!</v>
      </c>
      <c r="J11" s="3" t="e">
        <f t="shared" si="7"/>
        <v>#VALUE!</v>
      </c>
      <c r="K11" s="3" t="str">
        <f t="shared" si="8"/>
        <v>Mn55</v>
      </c>
      <c r="L11" s="3" t="e" cm="1">
        <f t="array" ref="L11">SUM(($J11*EXP(-$H11*12*3600*_xlfn.SEQUENCE(L$1-1))))+$J11</f>
        <v>#VALUE!</v>
      </c>
    </row>
    <row r="12" spans="2:14" x14ac:dyDescent="0.2">
      <c r="B12" s="3">
        <v>25056</v>
      </c>
      <c r="C12" s="3">
        <v>2.0304935699999996E-6</v>
      </c>
      <c r="E12" t="str">
        <f>VLOOKUP(B12,Nuclides!A:F,5,FALSE)</f>
        <v>Mn56</v>
      </c>
      <c r="F12">
        <f>VLOOKUP(B12,Nuclides!A:F,4,FALSE)</f>
        <v>9284.03999999999</v>
      </c>
      <c r="G12" s="3" t="str">
        <f t="shared" si="4"/>
        <v>2.58h</v>
      </c>
      <c r="H12" s="3">
        <f t="shared" si="5"/>
        <v>7.4660081231871686E-5</v>
      </c>
      <c r="I12" s="3">
        <f t="shared" si="6"/>
        <v>526860359.63435632</v>
      </c>
      <c r="J12" s="3">
        <f>I12*EXP(-H12*10*3600)</f>
        <v>35843871.959361538</v>
      </c>
      <c r="K12" s="3" t="str">
        <f t="shared" si="8"/>
        <v>Mn56</v>
      </c>
      <c r="L12" s="3" cm="1">
        <f t="array" ref="L12">SUM(($J12*EXP(-$H12*12*3600*_xlfn.SEQUENCE(L$1-1))))+$J12</f>
        <v>37327383.113962978</v>
      </c>
    </row>
    <row r="13" spans="2:14" hidden="1" x14ac:dyDescent="0.2">
      <c r="B13" s="3">
        <v>25057</v>
      </c>
      <c r="C13" s="3">
        <v>1.5197200000000001E-8</v>
      </c>
      <c r="E13" t="str">
        <f>VLOOKUP(B13,Nuclides!A:F,5,FALSE)</f>
        <v>Mn57</v>
      </c>
      <c r="F13">
        <f>VLOOKUP(B13,Nuclides!A:F,4,FALSE)</f>
        <v>85.4</v>
      </c>
      <c r="G13" s="3" t="str">
        <f t="shared" si="4"/>
        <v>1.42min</v>
      </c>
      <c r="H13" s="3">
        <f t="shared" si="5"/>
        <v>8.1164775241211393E-3</v>
      </c>
      <c r="I13" s="3">
        <f t="shared" si="6"/>
        <v>9483052.8000000007</v>
      </c>
      <c r="J13" s="3">
        <f t="shared" si="7"/>
        <v>3.9570367152740297E-19</v>
      </c>
      <c r="K13" s="3" t="str">
        <f t="shared" si="8"/>
        <v>Mn57</v>
      </c>
      <c r="L13" s="3" cm="1">
        <f t="array" ref="L13">SUM(($J13*EXP(-$H13*12*3600*_xlfn.SEQUENCE(L$1-1))))+$J13</f>
        <v>3.9570367152740297E-19</v>
      </c>
    </row>
    <row r="14" spans="2:14" hidden="1" x14ac:dyDescent="0.2">
      <c r="B14" s="3">
        <v>25058</v>
      </c>
      <c r="C14" s="3">
        <v>1E-10</v>
      </c>
      <c r="E14" t="str">
        <f>VLOOKUP(B14,Nuclides!A:F,5,FALSE)</f>
        <v>Mn58</v>
      </c>
      <c r="F14">
        <f>VLOOKUP(B14,Nuclides!A:F,4,FALSE)</f>
        <v>3</v>
      </c>
      <c r="G14" s="3" t="str">
        <f t="shared" si="4"/>
        <v>3s</v>
      </c>
      <c r="H14" s="3">
        <f t="shared" si="5"/>
        <v>0.23104906018664842</v>
      </c>
      <c r="I14" s="3">
        <f t="shared" si="6"/>
        <v>62400</v>
      </c>
      <c r="J14" s="3">
        <f t="shared" si="7"/>
        <v>0</v>
      </c>
      <c r="K14" s="3" t="str">
        <f t="shared" si="8"/>
        <v>Mn58</v>
      </c>
      <c r="L14" s="3" cm="1">
        <f t="array" ref="L14">SUM(($J14*EXP(-$H14*12*3600*_xlfn.SEQUENCE(L$1-1))))+$J14</f>
        <v>0</v>
      </c>
    </row>
    <row r="15" spans="2:14" x14ac:dyDescent="0.2">
      <c r="B15" s="3">
        <v>26055</v>
      </c>
      <c r="C15" s="3">
        <v>5.9174494000000004E-5</v>
      </c>
      <c r="E15" t="str">
        <f>VLOOKUP(B15,Nuclides!A:F,5,FALSE)</f>
        <v>Fe55</v>
      </c>
      <c r="F15">
        <f>VLOOKUP(B15,Nuclides!A:F,4,FALSE)</f>
        <v>86594054.400000006</v>
      </c>
      <c r="G15" s="3" t="str">
        <f t="shared" si="4"/>
        <v>2.75y</v>
      </c>
      <c r="H15" s="3">
        <f t="shared" si="5"/>
        <v>8.0045585734803657E-9</v>
      </c>
      <c r="I15" s="3">
        <f t="shared" si="6"/>
        <v>2128023.9490906098</v>
      </c>
      <c r="J15" s="3">
        <f t="shared" si="7"/>
        <v>2127901.3085998092</v>
      </c>
      <c r="K15" s="3" t="str">
        <f t="shared" si="8"/>
        <v>Fe55</v>
      </c>
      <c r="L15" s="3" cm="1">
        <f t="array" ref="L15">SUM(($J15*EXP(-$H15*12*3600*_xlfn.SEQUENCE(L$1-1))))+$J15</f>
        <v>1356488835.5107312</v>
      </c>
      <c r="M15" s="3"/>
      <c r="N15" s="3"/>
    </row>
    <row r="16" spans="2:14" hidden="1" x14ac:dyDescent="0.2">
      <c r="B16" s="3">
        <v>26056</v>
      </c>
      <c r="C16" s="3">
        <v>9.6664826999999994E-8</v>
      </c>
      <c r="E16" t="str">
        <f>VLOOKUP(B16,Nuclides!A:F,5,FALSE)</f>
        <v>Fe56</v>
      </c>
      <c r="F16" t="str">
        <f>VLOOKUP(B16,Nuclides!A:F,4,FALSE)</f>
        <v>STABLE</v>
      </c>
      <c r="G16" s="3" t="str">
        <f t="shared" si="4"/>
        <v>STABLE</v>
      </c>
      <c r="H16" s="3" t="e">
        <f t="shared" si="5"/>
        <v>#VALUE!</v>
      </c>
      <c r="I16" s="3" t="e">
        <f t="shared" si="6"/>
        <v>#VALUE!</v>
      </c>
      <c r="J16" s="3" t="e">
        <f t="shared" si="7"/>
        <v>#VALUE!</v>
      </c>
      <c r="K16" s="3" t="str">
        <f t="shared" si="8"/>
        <v>Fe56</v>
      </c>
      <c r="L16" s="3" t="e" cm="1">
        <f t="array" ref="L16">SUM(($J16*EXP(-$H16*12*3600*_xlfn.SEQUENCE(L$1-1))))+$J16</f>
        <v>#VALUE!</v>
      </c>
    </row>
    <row r="17" spans="2:14" hidden="1" x14ac:dyDescent="0.2">
      <c r="B17" s="3">
        <v>26057</v>
      </c>
      <c r="C17" s="3">
        <v>8.1247688000000008E-4</v>
      </c>
      <c r="E17" t="str">
        <f>VLOOKUP(B17,Nuclides!A:F,5,FALSE)</f>
        <v>Fe57</v>
      </c>
      <c r="F17" t="str">
        <f>VLOOKUP(B17,Nuclides!A:F,4,FALSE)</f>
        <v>STABLE</v>
      </c>
      <c r="G17" s="3" t="str">
        <f t="shared" si="4"/>
        <v>STABLE</v>
      </c>
      <c r="H17" s="3" t="e">
        <f t="shared" si="5"/>
        <v>#VALUE!</v>
      </c>
      <c r="I17" s="3" t="e">
        <f t="shared" si="6"/>
        <v>#VALUE!</v>
      </c>
      <c r="J17" s="3" t="e">
        <f t="shared" si="7"/>
        <v>#VALUE!</v>
      </c>
      <c r="K17" s="3" t="str">
        <f t="shared" si="8"/>
        <v>Fe57</v>
      </c>
      <c r="L17" s="3" t="e" cm="1">
        <f t="array" ref="L17">SUM(($J17*EXP(-$H17*12*3600*_xlfn.SEQUENCE(L$1-1))))+$J17</f>
        <v>#VALUE!</v>
      </c>
    </row>
    <row r="18" spans="2:14" hidden="1" x14ac:dyDescent="0.2">
      <c r="B18" s="3">
        <v>26058</v>
      </c>
      <c r="C18" s="3">
        <v>2.6822863999999998E-5</v>
      </c>
      <c r="E18" t="str">
        <f>VLOOKUP(B18,Nuclides!A:F,5,FALSE)</f>
        <v>Fe58</v>
      </c>
      <c r="F18" t="str">
        <f>VLOOKUP(B18,Nuclides!A:F,4,FALSE)</f>
        <v>STABLE</v>
      </c>
      <c r="G18" s="3" t="str">
        <f t="shared" si="4"/>
        <v>STABLE</v>
      </c>
      <c r="H18" s="3" t="e">
        <f t="shared" si="5"/>
        <v>#VALUE!</v>
      </c>
      <c r="I18" s="3" t="e">
        <f t="shared" si="6"/>
        <v>#VALUE!</v>
      </c>
      <c r="J18" s="3" t="e">
        <f t="shared" si="7"/>
        <v>#VALUE!</v>
      </c>
      <c r="K18" s="3" t="str">
        <f t="shared" si="8"/>
        <v>Fe58</v>
      </c>
      <c r="L18" s="3" t="e" cm="1">
        <f t="array" ref="L18">SUM(($J18*EXP(-$H18*12*3600*_xlfn.SEQUENCE(L$1-1))))+$J18</f>
        <v>#VALUE!</v>
      </c>
    </row>
    <row r="19" spans="2:14" x14ac:dyDescent="0.2">
      <c r="B19" s="3">
        <v>26059</v>
      </c>
      <c r="C19" s="3">
        <v>2.9486484000000003E-6</v>
      </c>
      <c r="E19" t="str">
        <f>VLOOKUP(B19,Nuclides!A:F,5,FALSE)</f>
        <v>Fe59</v>
      </c>
      <c r="F19">
        <f>VLOOKUP(B19,Nuclides!A:F,4,FALSE)</f>
        <v>3844368</v>
      </c>
      <c r="G19" s="3" t="str">
        <f t="shared" si="4"/>
        <v>44.5d</v>
      </c>
      <c r="H19" s="3">
        <f t="shared" si="5"/>
        <v>1.80301984763151E-7</v>
      </c>
      <c r="I19" s="3">
        <f t="shared" si="6"/>
        <v>2387034.6267333487</v>
      </c>
      <c r="J19" s="3">
        <f t="shared" si="7"/>
        <v>2383937.8502635835</v>
      </c>
      <c r="K19" s="3" t="str">
        <f t="shared" si="8"/>
        <v>Fe59</v>
      </c>
      <c r="L19" s="3" cm="1">
        <f t="array" ref="L19">SUM(($J19*EXP(-$H19*12*3600*_xlfn.SEQUENCE(L$1-1))))+$J19</f>
        <v>306129394.57784623</v>
      </c>
      <c r="M19" s="3"/>
      <c r="N19" s="3"/>
    </row>
    <row r="20" spans="2:14" x14ac:dyDescent="0.2">
      <c r="L20" s="3"/>
      <c r="M20" s="3"/>
      <c r="N20" s="3"/>
    </row>
  </sheetData>
  <autoFilter ref="J1:J19" xr:uid="{20DCA5BF-E8FE-46F9-8804-57632D582B5C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FDFD-F70B-438E-9F9F-5A436BC6014C}">
  <sheetPr filterMode="1"/>
  <dimension ref="B1:N2208"/>
  <sheetViews>
    <sheetView zoomScaleNormal="100" workbookViewId="0">
      <selection activeCell="I44" sqref="I44:J44"/>
    </sheetView>
  </sheetViews>
  <sheetFormatPr defaultRowHeight="14.25" x14ac:dyDescent="0.2"/>
  <cols>
    <col min="10" max="10" width="9.875" bestFit="1" customWidth="1"/>
  </cols>
  <sheetData>
    <row r="1" spans="2:14" x14ac:dyDescent="0.2">
      <c r="B1" s="4" t="s">
        <v>3164</v>
      </c>
      <c r="C1" s="4" t="s">
        <v>3165</v>
      </c>
      <c r="D1" s="4" t="s">
        <v>3166</v>
      </c>
      <c r="E1" s="4" t="s">
        <v>3164</v>
      </c>
      <c r="F1" s="5" t="s">
        <v>3167</v>
      </c>
      <c r="G1" s="5" t="s">
        <v>3167</v>
      </c>
      <c r="H1" s="4" t="s">
        <v>3168</v>
      </c>
      <c r="I1" s="4" t="s">
        <v>3169</v>
      </c>
      <c r="J1" s="4" t="s">
        <v>3170</v>
      </c>
      <c r="K1" s="4" t="s">
        <v>3171</v>
      </c>
      <c r="L1" s="6">
        <v>720</v>
      </c>
      <c r="M1" s="6"/>
      <c r="N1" s="6"/>
    </row>
    <row r="3" spans="2:14" hidden="1" x14ac:dyDescent="0.2">
      <c r="B3" s="3">
        <v>1001</v>
      </c>
      <c r="C3" s="3">
        <v>0</v>
      </c>
      <c r="D3">
        <v>0</v>
      </c>
      <c r="E3" t="str">
        <f>VLOOKUP(B3,Nuclides!A:F,5,FALSE)</f>
        <v>H1</v>
      </c>
      <c r="F3">
        <f>VLOOKUP(B3,Nuclides!A:F,4,FALSE)</f>
        <v>613.9</v>
      </c>
      <c r="G3" s="3" t="str">
        <f t="shared" ref="G3" si="0">IF(F3="STABLE", "STABLE", IF(F3&lt;60, F3&amp;"s", IF(F3&lt;3600, ROUND(F3/60,2)&amp;"min", IF(F3&lt;86400, ROUND(F3/3600,2)&amp;"h", IF(F3&lt;31536000, ROUND(F3/86400,2)&amp;"d", ROUND(F3/31536000,2)&amp;"y")))))</f>
        <v>10.23min</v>
      </c>
      <c r="H3" s="3">
        <f t="shared" ref="H3" si="1">LN(2)/F3</f>
        <v>1.1290880934353238E-3</v>
      </c>
      <c r="I3" s="3">
        <f>100*6240000000000*C3*(1-EXP(-H3*2*3600))</f>
        <v>0</v>
      </c>
      <c r="J3" s="3">
        <f>I3*EXP(-H3*10*3600)</f>
        <v>0</v>
      </c>
      <c r="K3" s="3" t="str">
        <f t="shared" ref="K3" si="2">E3</f>
        <v>H1</v>
      </c>
      <c r="L3" s="3" cm="1">
        <f t="array" ref="L3">SUM(($J3*EXP(-$H3*12*3600*_xlfn.SEQUENCE(L$1-1))))+$J3</f>
        <v>0</v>
      </c>
      <c r="M3" s="3"/>
      <c r="N3" s="3"/>
    </row>
    <row r="4" spans="2:14" hidden="1" x14ac:dyDescent="0.2">
      <c r="B4" s="3">
        <v>1002</v>
      </c>
      <c r="C4" s="3">
        <v>8.4071400000000003E-5</v>
      </c>
      <c r="D4">
        <v>1</v>
      </c>
      <c r="E4" t="str">
        <f>VLOOKUP(B4,Nuclides!A:F,5,FALSE)</f>
        <v>H2</v>
      </c>
      <c r="F4" t="str">
        <f>VLOOKUP(B4,Nuclides!A:F,4,FALSE)</f>
        <v>STABLE</v>
      </c>
      <c r="G4" s="3" t="str">
        <f t="shared" ref="G4:G67" si="3">IF(F4="STABLE", "STABLE", IF(F4&lt;60, F4&amp;"s", IF(F4&lt;3600, ROUND(F4/60,2)&amp;"min", IF(F4&lt;86400, ROUND(F4/3600,2)&amp;"h", IF(F4&lt;31536000, ROUND(F4/86400,2)&amp;"d", ROUND(F4/31536000,2)&amp;"y")))))</f>
        <v>STABLE</v>
      </c>
      <c r="H4" s="3" t="e">
        <f t="shared" ref="H4:H67" si="4">LN(2)/F4</f>
        <v>#VALUE!</v>
      </c>
      <c r="I4" s="3" t="e">
        <f t="shared" ref="I4:I67" si="5">100*6240000000000*C4*(1-EXP(-H4*2*3600))</f>
        <v>#VALUE!</v>
      </c>
      <c r="J4" s="3" t="e">
        <f t="shared" ref="J4:J67" si="6">I4*EXP(-H4*10*3600)</f>
        <v>#VALUE!</v>
      </c>
      <c r="K4" s="3" t="str">
        <f t="shared" ref="K4:K67" si="7">E4</f>
        <v>H2</v>
      </c>
      <c r="L4" s="3" t="e" cm="1">
        <f t="array" ref="L4">SUM(($J4*EXP(-$H4*12*3600*_xlfn.SEQUENCE(L$1-1))))+$J4</f>
        <v>#VALUE!</v>
      </c>
      <c r="M4" s="3"/>
      <c r="N4" s="3"/>
    </row>
    <row r="5" spans="2:14" hidden="1" x14ac:dyDescent="0.2">
      <c r="B5" s="3">
        <v>1003</v>
      </c>
      <c r="C5" s="3">
        <v>0</v>
      </c>
      <c r="D5">
        <v>2</v>
      </c>
      <c r="E5" t="str">
        <f>VLOOKUP(B5,Nuclides!A:F,5,FALSE)</f>
        <v>H3</v>
      </c>
      <c r="F5">
        <f>VLOOKUP(B5,Nuclides!A:F,4,FALSE)</f>
        <v>388789632</v>
      </c>
      <c r="G5" s="3" t="str">
        <f t="shared" si="3"/>
        <v>12.33y</v>
      </c>
      <c r="H5" s="3">
        <f t="shared" si="4"/>
        <v>1.7828335004569908E-9</v>
      </c>
      <c r="I5" s="3">
        <f t="shared" si="5"/>
        <v>0</v>
      </c>
      <c r="J5" s="3">
        <f t="shared" si="6"/>
        <v>0</v>
      </c>
      <c r="K5" s="3" t="str">
        <f t="shared" si="7"/>
        <v>H3</v>
      </c>
      <c r="L5" s="3" cm="1">
        <f t="array" ref="L5">SUM(($J5*EXP(-$H5*12*3600*_xlfn.SEQUENCE(L$1-1))))+$J5</f>
        <v>0</v>
      </c>
      <c r="M5" s="3"/>
      <c r="N5" s="3"/>
    </row>
    <row r="6" spans="2:14" hidden="1" x14ac:dyDescent="0.2">
      <c r="B6" s="3">
        <v>2003</v>
      </c>
      <c r="C6" s="3">
        <v>0</v>
      </c>
      <c r="D6">
        <v>3</v>
      </c>
      <c r="E6" t="str">
        <f>VLOOKUP(B6,Nuclides!A:F,5,FALSE)</f>
        <v>He3</v>
      </c>
      <c r="F6" t="str">
        <f>VLOOKUP(B6,Nuclides!A:F,4,FALSE)</f>
        <v>STABLE</v>
      </c>
      <c r="G6" s="3" t="str">
        <f t="shared" si="3"/>
        <v>STABLE</v>
      </c>
      <c r="H6" s="3" t="e">
        <f t="shared" si="4"/>
        <v>#VALUE!</v>
      </c>
      <c r="I6" s="3" t="e">
        <f t="shared" si="5"/>
        <v>#VALUE!</v>
      </c>
      <c r="J6" s="3" t="e">
        <f t="shared" si="6"/>
        <v>#VALUE!</v>
      </c>
      <c r="K6" s="3" t="str">
        <f t="shared" si="7"/>
        <v>He3</v>
      </c>
      <c r="L6" s="3" t="e" cm="1">
        <f t="array" ref="L6">SUM(($J6*EXP(-$H6*12*3600*_xlfn.SEQUENCE(L$1-1))))+$J6</f>
        <v>#VALUE!</v>
      </c>
      <c r="M6" s="3"/>
      <c r="N6" s="3"/>
    </row>
    <row r="7" spans="2:14" hidden="1" x14ac:dyDescent="0.2">
      <c r="B7" s="3">
        <v>2004</v>
      </c>
      <c r="C7" s="3">
        <v>0</v>
      </c>
      <c r="D7">
        <v>4</v>
      </c>
      <c r="E7" t="str">
        <f>VLOOKUP(B7,Nuclides!A:F,5,FALSE)</f>
        <v>He4</v>
      </c>
      <c r="F7" t="str">
        <f>VLOOKUP(B7,Nuclides!A:F,4,FALSE)</f>
        <v>STABLE</v>
      </c>
      <c r="G7" s="3" t="str">
        <f t="shared" si="3"/>
        <v>STABLE</v>
      </c>
      <c r="H7" s="3" t="e">
        <f t="shared" si="4"/>
        <v>#VALUE!</v>
      </c>
      <c r="I7" s="3" t="e">
        <f t="shared" si="5"/>
        <v>#VALUE!</v>
      </c>
      <c r="J7" s="3" t="e">
        <f t="shared" si="6"/>
        <v>#VALUE!</v>
      </c>
      <c r="K7" s="3" t="str">
        <f t="shared" si="7"/>
        <v>He4</v>
      </c>
      <c r="L7" s="3" t="e" cm="1">
        <f t="array" ref="L7">SUM(($J7*EXP(-$H7*12*3600*_xlfn.SEQUENCE(L$1-1))))+$J7</f>
        <v>#VALUE!</v>
      </c>
      <c r="M7" s="3"/>
      <c r="N7" s="3"/>
    </row>
    <row r="8" spans="2:14" hidden="1" x14ac:dyDescent="0.2">
      <c r="B8" s="3">
        <v>2005</v>
      </c>
      <c r="C8" s="3">
        <v>0</v>
      </c>
      <c r="D8">
        <v>5</v>
      </c>
      <c r="E8" t="str">
        <f>VLOOKUP(B8,Nuclides!A:F,5,FALSE)</f>
        <v>He5</v>
      </c>
      <c r="F8">
        <f>VLOOKUP(B8,Nuclides!A:F,4,FALSE)</f>
        <v>7.5950000000000001E-22</v>
      </c>
      <c r="G8" s="3" t="str">
        <f t="shared" si="3"/>
        <v>7.595E-22s</v>
      </c>
      <c r="H8" s="3">
        <f t="shared" si="4"/>
        <v>9.1263618243574104E+20</v>
      </c>
      <c r="I8" s="3">
        <f t="shared" si="5"/>
        <v>0</v>
      </c>
      <c r="J8" s="3">
        <f t="shared" si="6"/>
        <v>0</v>
      </c>
      <c r="K8" s="3" t="str">
        <f t="shared" si="7"/>
        <v>He5</v>
      </c>
      <c r="L8" s="3" cm="1">
        <f t="array" ref="L8">SUM(($J8*EXP(-$H8*12*3600*_xlfn.SEQUENCE(L$1-1))))+$J8</f>
        <v>0</v>
      </c>
      <c r="M8" s="3"/>
      <c r="N8" s="3"/>
    </row>
    <row r="9" spans="2:14" hidden="1" x14ac:dyDescent="0.2">
      <c r="B9" s="3">
        <v>2006</v>
      </c>
      <c r="C9" s="3">
        <v>0</v>
      </c>
      <c r="D9">
        <v>6</v>
      </c>
      <c r="E9" t="str">
        <f>VLOOKUP(B9,Nuclides!A:F,5,FALSE)</f>
        <v>He6</v>
      </c>
      <c r="F9">
        <f>VLOOKUP(B9,Nuclides!A:F,4,FALSE)</f>
        <v>0.80669999999999997</v>
      </c>
      <c r="G9" s="3" t="str">
        <f t="shared" si="3"/>
        <v>0.8067s</v>
      </c>
      <c r="H9" s="3">
        <f t="shared" si="4"/>
        <v>0.85923785863387292</v>
      </c>
      <c r="I9" s="3">
        <f t="shared" si="5"/>
        <v>0</v>
      </c>
      <c r="J9" s="3">
        <f t="shared" si="6"/>
        <v>0</v>
      </c>
      <c r="K9" s="3" t="str">
        <f t="shared" si="7"/>
        <v>He6</v>
      </c>
      <c r="L9" s="3" cm="1">
        <f t="array" ref="L9">SUM(($J9*EXP(-$H9*12*3600*_xlfn.SEQUENCE(L$1-1))))+$J9</f>
        <v>0</v>
      </c>
      <c r="M9" s="3"/>
      <c r="N9" s="3"/>
    </row>
    <row r="10" spans="2:14" hidden="1" x14ac:dyDescent="0.2">
      <c r="B10" s="3">
        <v>2007</v>
      </c>
      <c r="C10" s="3">
        <v>0</v>
      </c>
      <c r="D10">
        <v>7</v>
      </c>
      <c r="E10" t="str">
        <f>VLOOKUP(B10,Nuclides!A:F,5,FALSE)</f>
        <v>He7</v>
      </c>
      <c r="F10">
        <f>VLOOKUP(B10,Nuclides!A:F,4,FALSE)</f>
        <v>3.0380000000000001E-21</v>
      </c>
      <c r="G10" s="3" t="str">
        <f t="shared" si="3"/>
        <v>3.038E-21s</v>
      </c>
      <c r="H10" s="3">
        <f t="shared" si="4"/>
        <v>2.2815904560893526E+20</v>
      </c>
      <c r="I10" s="3">
        <f t="shared" si="5"/>
        <v>0</v>
      </c>
      <c r="J10" s="3">
        <f t="shared" si="6"/>
        <v>0</v>
      </c>
      <c r="K10" s="3" t="str">
        <f t="shared" si="7"/>
        <v>He7</v>
      </c>
      <c r="L10" s="3" cm="1">
        <f t="array" ref="L10">SUM(($J10*EXP(-$H10*12*3600*_xlfn.SEQUENCE(L$1-1))))+$J10</f>
        <v>0</v>
      </c>
      <c r="M10" s="3"/>
      <c r="N10" s="3"/>
    </row>
    <row r="11" spans="2:14" hidden="1" x14ac:dyDescent="0.2">
      <c r="B11" s="3">
        <v>2008</v>
      </c>
      <c r="C11" s="3">
        <v>0</v>
      </c>
      <c r="D11">
        <v>8</v>
      </c>
      <c r="E11" t="str">
        <f>VLOOKUP(B11,Nuclides!A:F,5,FALSE)</f>
        <v>He8</v>
      </c>
      <c r="F11">
        <f>VLOOKUP(B11,Nuclides!A:F,4,FALSE)</f>
        <v>0.1191</v>
      </c>
      <c r="G11" s="3" t="str">
        <f t="shared" si="3"/>
        <v>0.1191s</v>
      </c>
      <c r="H11" s="3">
        <f t="shared" si="4"/>
        <v>5.8198755714521013</v>
      </c>
      <c r="I11" s="3">
        <f t="shared" si="5"/>
        <v>0</v>
      </c>
      <c r="J11" s="3">
        <f t="shared" si="6"/>
        <v>0</v>
      </c>
      <c r="K11" s="3" t="str">
        <f t="shared" si="7"/>
        <v>He8</v>
      </c>
      <c r="L11" s="3" cm="1">
        <f t="array" ref="L11">SUM(($J11*EXP(-$H11*12*3600*_xlfn.SEQUENCE(L$1-1))))+$J11</f>
        <v>0</v>
      </c>
      <c r="M11" s="3"/>
      <c r="N11" s="3"/>
    </row>
    <row r="12" spans="2:14" hidden="1" x14ac:dyDescent="0.2">
      <c r="B12" s="3">
        <v>3005</v>
      </c>
      <c r="C12" s="3">
        <v>0</v>
      </c>
      <c r="D12">
        <v>9</v>
      </c>
      <c r="E12" t="str">
        <f>VLOOKUP(B12,Nuclides!A:F,5,FALSE)</f>
        <v>Li5</v>
      </c>
      <c r="F12">
        <f>VLOOKUP(B12,Nuclides!A:F,4,FALSE)</f>
        <v>3.038E-22</v>
      </c>
      <c r="G12" s="3" t="str">
        <f t="shared" si="3"/>
        <v>3.038E-22s</v>
      </c>
      <c r="H12" s="3">
        <f t="shared" si="4"/>
        <v>2.2815904560893526E+21</v>
      </c>
      <c r="I12" s="3">
        <f t="shared" si="5"/>
        <v>0</v>
      </c>
      <c r="J12" s="3">
        <f t="shared" si="6"/>
        <v>0</v>
      </c>
      <c r="K12" s="3" t="str">
        <f t="shared" si="7"/>
        <v>Li5</v>
      </c>
      <c r="L12" s="3" cm="1">
        <f t="array" ref="L12">SUM(($J12*EXP(-$H12*12*3600*_xlfn.SEQUENCE(L$1-1))))+$J12</f>
        <v>0</v>
      </c>
      <c r="M12" s="3"/>
      <c r="N12" s="3"/>
    </row>
    <row r="13" spans="2:14" hidden="1" x14ac:dyDescent="0.2">
      <c r="B13" s="3">
        <v>3006</v>
      </c>
      <c r="C13" s="3">
        <v>0</v>
      </c>
      <c r="D13">
        <v>10</v>
      </c>
      <c r="E13" t="str">
        <f>VLOOKUP(B13,Nuclides!A:F,5,FALSE)</f>
        <v>Li6</v>
      </c>
      <c r="F13" t="str">
        <f>VLOOKUP(B13,Nuclides!A:F,4,FALSE)</f>
        <v>STABLE</v>
      </c>
      <c r="G13" s="3" t="str">
        <f t="shared" si="3"/>
        <v>STABLE</v>
      </c>
      <c r="H13" s="3" t="e">
        <f t="shared" si="4"/>
        <v>#VALUE!</v>
      </c>
      <c r="I13" s="3" t="e">
        <f t="shared" si="5"/>
        <v>#VALUE!</v>
      </c>
      <c r="J13" s="3" t="e">
        <f t="shared" si="6"/>
        <v>#VALUE!</v>
      </c>
      <c r="K13" s="3" t="str">
        <f t="shared" si="7"/>
        <v>Li6</v>
      </c>
      <c r="L13" s="3" t="e" cm="1">
        <f t="array" ref="L13">SUM(($J13*EXP(-$H13*12*3600*_xlfn.SEQUENCE(L$1-1))))+$J13</f>
        <v>#VALUE!</v>
      </c>
      <c r="M13" s="3"/>
      <c r="N13" s="3"/>
    </row>
    <row r="14" spans="2:14" hidden="1" x14ac:dyDescent="0.2">
      <c r="B14" s="3">
        <v>3007</v>
      </c>
      <c r="C14" s="3">
        <v>0</v>
      </c>
      <c r="D14">
        <v>11</v>
      </c>
      <c r="E14" t="str">
        <f>VLOOKUP(B14,Nuclides!A:F,5,FALSE)</f>
        <v>Li7</v>
      </c>
      <c r="F14" t="str">
        <f>VLOOKUP(B14,Nuclides!A:F,4,FALSE)</f>
        <v>STABLE</v>
      </c>
      <c r="G14" s="3" t="str">
        <f t="shared" si="3"/>
        <v>STABLE</v>
      </c>
      <c r="H14" s="3" t="e">
        <f t="shared" si="4"/>
        <v>#VALUE!</v>
      </c>
      <c r="I14" s="3" t="e">
        <f t="shared" si="5"/>
        <v>#VALUE!</v>
      </c>
      <c r="J14" s="3" t="e">
        <f t="shared" si="6"/>
        <v>#VALUE!</v>
      </c>
      <c r="K14" s="3" t="str">
        <f t="shared" si="7"/>
        <v>Li7</v>
      </c>
      <c r="L14" s="3" t="e" cm="1">
        <f t="array" ref="L14">SUM(($J14*EXP(-$H14*12*3600*_xlfn.SEQUENCE(L$1-1))))+$J14</f>
        <v>#VALUE!</v>
      </c>
      <c r="M14" s="3"/>
      <c r="N14" s="3"/>
    </row>
    <row r="15" spans="2:14" hidden="1" x14ac:dyDescent="0.2">
      <c r="B15" s="3">
        <v>3008</v>
      </c>
      <c r="C15" s="3">
        <v>0</v>
      </c>
      <c r="D15">
        <v>12</v>
      </c>
      <c r="E15" t="str">
        <f>VLOOKUP(B15,Nuclides!A:F,5,FALSE)</f>
        <v>Li8</v>
      </c>
      <c r="F15">
        <f>VLOOKUP(B15,Nuclides!A:F,4,FALSE)</f>
        <v>0.83989999999999998</v>
      </c>
      <c r="G15" s="3" t="str">
        <f t="shared" si="3"/>
        <v>0.8399s</v>
      </c>
      <c r="H15" s="3">
        <f t="shared" si="4"/>
        <v>0.82527346179300543</v>
      </c>
      <c r="I15" s="3">
        <f t="shared" si="5"/>
        <v>0</v>
      </c>
      <c r="J15" s="3">
        <f t="shared" si="6"/>
        <v>0</v>
      </c>
      <c r="K15" s="3" t="str">
        <f t="shared" si="7"/>
        <v>Li8</v>
      </c>
      <c r="L15" s="3" cm="1">
        <f t="array" ref="L15">SUM(($J15*EXP(-$H15*12*3600*_xlfn.SEQUENCE(L$1-1))))+$J15</f>
        <v>0</v>
      </c>
      <c r="M15" s="3"/>
      <c r="N15" s="3"/>
    </row>
    <row r="16" spans="2:14" hidden="1" x14ac:dyDescent="0.2">
      <c r="B16" s="3">
        <v>3009</v>
      </c>
      <c r="C16" s="3">
        <v>0</v>
      </c>
      <c r="D16">
        <v>13</v>
      </c>
      <c r="E16" t="str">
        <f>VLOOKUP(B16,Nuclides!A:F,5,FALSE)</f>
        <v>Li9</v>
      </c>
      <c r="F16">
        <f>VLOOKUP(B16,Nuclides!A:F,4,FALSE)</f>
        <v>0.17829999999999999</v>
      </c>
      <c r="G16" s="3" t="str">
        <f t="shared" si="3"/>
        <v>0.1783s</v>
      </c>
      <c r="H16" s="3">
        <f t="shared" si="4"/>
        <v>3.8875332616934681</v>
      </c>
      <c r="I16" s="3">
        <f t="shared" si="5"/>
        <v>0</v>
      </c>
      <c r="J16" s="3">
        <f t="shared" si="6"/>
        <v>0</v>
      </c>
      <c r="K16" s="3" t="str">
        <f t="shared" si="7"/>
        <v>Li9</v>
      </c>
      <c r="L16" s="3" cm="1">
        <f t="array" ref="L16">SUM(($J16*EXP(-$H16*12*3600*_xlfn.SEQUENCE(L$1-1))))+$J16</f>
        <v>0</v>
      </c>
      <c r="M16" s="3"/>
      <c r="N16" s="3"/>
    </row>
    <row r="17" spans="2:14" hidden="1" x14ac:dyDescent="0.2">
      <c r="B17" s="3">
        <v>3010</v>
      </c>
      <c r="C17" s="3">
        <v>0</v>
      </c>
      <c r="D17">
        <v>14</v>
      </c>
      <c r="E17" t="e">
        <f>VLOOKUP(B17,Nuclides!A:F,5,FALSE)</f>
        <v>#N/A</v>
      </c>
      <c r="F17" t="e">
        <f>VLOOKUP(B17,Nuclides!A:F,4,FALSE)</f>
        <v>#N/A</v>
      </c>
      <c r="G17" s="3" t="e">
        <f t="shared" si="3"/>
        <v>#N/A</v>
      </c>
      <c r="H17" s="3" t="e">
        <f t="shared" si="4"/>
        <v>#N/A</v>
      </c>
      <c r="I17" s="3" t="e">
        <f t="shared" si="5"/>
        <v>#N/A</v>
      </c>
      <c r="J17" s="3" t="e">
        <f t="shared" si="6"/>
        <v>#N/A</v>
      </c>
      <c r="K17" s="3" t="e">
        <f t="shared" si="7"/>
        <v>#N/A</v>
      </c>
      <c r="L17" s="3" t="e" cm="1">
        <f t="array" ref="L17">SUM(($J17*EXP(-$H17*12*3600*_xlfn.SEQUENCE(L$1-1))))+$J17</f>
        <v>#N/A</v>
      </c>
      <c r="M17" s="3"/>
      <c r="N17" s="3"/>
    </row>
    <row r="18" spans="2:14" hidden="1" x14ac:dyDescent="0.2">
      <c r="B18" s="3">
        <v>3011</v>
      </c>
      <c r="C18" s="3">
        <v>0</v>
      </c>
      <c r="D18">
        <v>15</v>
      </c>
      <c r="E18" t="str">
        <f>VLOOKUP(B18,Nuclides!A:F,5,FALSE)</f>
        <v>Li11</v>
      </c>
      <c r="F18">
        <f>VLOOKUP(B18,Nuclides!A:F,4,FALSE)</f>
        <v>8.7500000000000008E-3</v>
      </c>
      <c r="G18" s="3" t="str">
        <f t="shared" si="3"/>
        <v>0.00875s</v>
      </c>
      <c r="H18" s="3">
        <f t="shared" si="4"/>
        <v>79.216820635422309</v>
      </c>
      <c r="I18" s="3">
        <f t="shared" si="5"/>
        <v>0</v>
      </c>
      <c r="J18" s="3">
        <f t="shared" si="6"/>
        <v>0</v>
      </c>
      <c r="K18" s="3" t="str">
        <f t="shared" si="7"/>
        <v>Li11</v>
      </c>
      <c r="L18" s="3" cm="1">
        <f t="array" ref="L18">SUM(($J18*EXP(-$H18*12*3600*_xlfn.SEQUENCE(L$1-1))))+$J18</f>
        <v>0</v>
      </c>
      <c r="M18" s="3"/>
      <c r="N18" s="3"/>
    </row>
    <row r="19" spans="2:14" hidden="1" x14ac:dyDescent="0.2">
      <c r="B19" s="3">
        <v>4006</v>
      </c>
      <c r="C19" s="3">
        <v>0</v>
      </c>
      <c r="D19">
        <v>16</v>
      </c>
      <c r="E19" t="str">
        <f>VLOOKUP(B19,Nuclides!A:F,5,FALSE)</f>
        <v>Be6</v>
      </c>
      <c r="F19">
        <f>VLOOKUP(B19,Nuclides!A:F,4,FALSE)</f>
        <v>4.9532608695652102E-21</v>
      </c>
      <c r="G19" s="3" t="str">
        <f t="shared" si="3"/>
        <v>4.95326086956521E-21s</v>
      </c>
      <c r="H19" s="3">
        <f t="shared" si="4"/>
        <v>1.3993754797348048E+20</v>
      </c>
      <c r="I19" s="3">
        <f t="shared" si="5"/>
        <v>0</v>
      </c>
      <c r="J19" s="3">
        <f t="shared" si="6"/>
        <v>0</v>
      </c>
      <c r="K19" s="3" t="str">
        <f t="shared" si="7"/>
        <v>Be6</v>
      </c>
      <c r="L19" s="3" cm="1">
        <f t="array" ref="L19">SUM(($J19*EXP(-$H19*12*3600*_xlfn.SEQUENCE(L$1-1))))+$J19</f>
        <v>0</v>
      </c>
      <c r="M19" s="3"/>
      <c r="N19" s="3"/>
    </row>
    <row r="20" spans="2:14" hidden="1" x14ac:dyDescent="0.2">
      <c r="B20" s="3">
        <v>4007</v>
      </c>
      <c r="C20" s="3">
        <v>0</v>
      </c>
      <c r="D20">
        <v>17</v>
      </c>
      <c r="E20" t="str">
        <f>VLOOKUP(B20,Nuclides!A:F,5,FALSE)</f>
        <v>Be7</v>
      </c>
      <c r="F20">
        <f>VLOOKUP(B20,Nuclides!A:F,4,FALSE)</f>
        <v>4598208</v>
      </c>
      <c r="G20" s="3" t="str">
        <f t="shared" si="3"/>
        <v>53.22d</v>
      </c>
      <c r="H20" s="3">
        <f t="shared" si="4"/>
        <v>1.507428938751673E-7</v>
      </c>
      <c r="I20" s="3">
        <f t="shared" si="5"/>
        <v>0</v>
      </c>
      <c r="J20" s="3">
        <f t="shared" si="6"/>
        <v>0</v>
      </c>
      <c r="K20" s="3" t="str">
        <f t="shared" si="7"/>
        <v>Be7</v>
      </c>
      <c r="L20" s="3" cm="1">
        <f t="array" ref="L20">SUM(($J20*EXP(-$H20*12*3600*_xlfn.SEQUENCE(L$1-1))))+$J20</f>
        <v>0</v>
      </c>
      <c r="M20" s="3"/>
      <c r="N20" s="3"/>
    </row>
    <row r="21" spans="2:14" hidden="1" x14ac:dyDescent="0.2">
      <c r="B21" s="3">
        <v>4008</v>
      </c>
      <c r="C21" s="3">
        <v>0</v>
      </c>
      <c r="D21">
        <v>18</v>
      </c>
      <c r="E21" t="str">
        <f>VLOOKUP(B21,Nuclides!A:F,5,FALSE)</f>
        <v>Be8</v>
      </c>
      <c r="F21">
        <f>VLOOKUP(B21,Nuclides!A:F,4,FALSE)</f>
        <v>8.1813285457809601E-17</v>
      </c>
      <c r="G21" s="3" t="str">
        <f t="shared" si="3"/>
        <v>8.18132854578096E-17s</v>
      </c>
      <c r="H21" s="3">
        <f t="shared" si="4"/>
        <v>8472305893611805</v>
      </c>
      <c r="I21" s="3">
        <f t="shared" si="5"/>
        <v>0</v>
      </c>
      <c r="J21" s="3">
        <f t="shared" si="6"/>
        <v>0</v>
      </c>
      <c r="K21" s="3" t="str">
        <f t="shared" si="7"/>
        <v>Be8</v>
      </c>
      <c r="L21" s="3" cm="1">
        <f t="array" ref="L21">SUM(($J21*EXP(-$H21*12*3600*_xlfn.SEQUENCE(L$1-1))))+$J21</f>
        <v>0</v>
      </c>
      <c r="M21" s="3"/>
      <c r="N21" s="3"/>
    </row>
    <row r="22" spans="2:14" hidden="1" x14ac:dyDescent="0.2">
      <c r="B22" s="3">
        <v>4009</v>
      </c>
      <c r="C22" s="3">
        <v>0</v>
      </c>
      <c r="D22">
        <v>19</v>
      </c>
      <c r="E22" t="str">
        <f>VLOOKUP(B22,Nuclides!A:F,5,FALSE)</f>
        <v>Be9</v>
      </c>
      <c r="F22" t="str">
        <f>VLOOKUP(B22,Nuclides!A:F,4,FALSE)</f>
        <v>STABLE</v>
      </c>
      <c r="G22" s="3" t="str">
        <f t="shared" si="3"/>
        <v>STABLE</v>
      </c>
      <c r="H22" s="3" t="e">
        <f t="shared" si="4"/>
        <v>#VALUE!</v>
      </c>
      <c r="I22" s="3" t="e">
        <f t="shared" si="5"/>
        <v>#VALUE!</v>
      </c>
      <c r="J22" s="3" t="e">
        <f t="shared" si="6"/>
        <v>#VALUE!</v>
      </c>
      <c r="K22" s="3" t="str">
        <f t="shared" si="7"/>
        <v>Be9</v>
      </c>
      <c r="L22" s="3" t="e" cm="1">
        <f t="array" ref="L22">SUM(($J22*EXP(-$H22*12*3600*_xlfn.SEQUENCE(L$1-1))))+$J22</f>
        <v>#VALUE!</v>
      </c>
      <c r="M22" s="3"/>
      <c r="N22" s="3"/>
    </row>
    <row r="23" spans="2:14" hidden="1" x14ac:dyDescent="0.2">
      <c r="B23" s="3">
        <v>4010</v>
      </c>
      <c r="C23" s="3">
        <v>0</v>
      </c>
      <c r="D23">
        <v>20</v>
      </c>
      <c r="E23" t="str">
        <f>VLOOKUP(B23,Nuclides!A:F,5,FALSE)</f>
        <v>Be10</v>
      </c>
      <c r="F23">
        <f>VLOOKUP(B23,Nuclides!A:F,4,FALSE)</f>
        <v>47651976000000</v>
      </c>
      <c r="G23" s="3" t="str">
        <f t="shared" si="3"/>
        <v>1511034.25y</v>
      </c>
      <c r="H23" s="3">
        <f t="shared" si="4"/>
        <v>1.4546032268629223E-14</v>
      </c>
      <c r="I23" s="3">
        <f t="shared" si="5"/>
        <v>0</v>
      </c>
      <c r="J23" s="3">
        <f t="shared" si="6"/>
        <v>0</v>
      </c>
      <c r="K23" s="3" t="str">
        <f t="shared" si="7"/>
        <v>Be10</v>
      </c>
      <c r="L23" s="3" cm="1">
        <f t="array" ref="L23">SUM(($J23*EXP(-$H23*12*3600*_xlfn.SEQUENCE(L$1-1))))+$J23</f>
        <v>0</v>
      </c>
      <c r="M23" s="3"/>
      <c r="N23" s="3"/>
    </row>
    <row r="24" spans="2:14" hidden="1" x14ac:dyDescent="0.2">
      <c r="B24" s="3">
        <v>4011</v>
      </c>
      <c r="C24" s="3">
        <v>0</v>
      </c>
      <c r="D24">
        <v>21</v>
      </c>
      <c r="E24" t="str">
        <f>VLOOKUP(B24,Nuclides!A:F,5,FALSE)</f>
        <v>Be11</v>
      </c>
      <c r="F24">
        <f>VLOOKUP(B24,Nuclides!A:F,4,FALSE)</f>
        <v>13.76</v>
      </c>
      <c r="G24" s="3" t="str">
        <f t="shared" si="3"/>
        <v>13.76s</v>
      </c>
      <c r="H24" s="3">
        <f t="shared" si="4"/>
        <v>5.0374068354647188E-2</v>
      </c>
      <c r="I24" s="3">
        <f t="shared" si="5"/>
        <v>0</v>
      </c>
      <c r="J24" s="3">
        <f t="shared" si="6"/>
        <v>0</v>
      </c>
      <c r="K24" s="3" t="str">
        <f t="shared" si="7"/>
        <v>Be11</v>
      </c>
      <c r="L24" s="3" cm="1">
        <f t="array" ref="L24">SUM(($J24*EXP(-$H24*12*3600*_xlfn.SEQUENCE(L$1-1))))+$J24</f>
        <v>0</v>
      </c>
      <c r="M24" s="3"/>
      <c r="N24" s="3"/>
    </row>
    <row r="25" spans="2:14" hidden="1" x14ac:dyDescent="0.2">
      <c r="B25" s="3">
        <v>4012</v>
      </c>
      <c r="C25" s="3">
        <v>0</v>
      </c>
      <c r="D25">
        <v>22</v>
      </c>
      <c r="E25" t="str">
        <f>VLOOKUP(B25,Nuclides!A:F,5,FALSE)</f>
        <v>Be12</v>
      </c>
      <c r="F25">
        <f>VLOOKUP(B25,Nuclides!A:F,4,FALSE)</f>
        <v>2.147E-2</v>
      </c>
      <c r="G25" s="3" t="str">
        <f t="shared" si="3"/>
        <v>0.02147s</v>
      </c>
      <c r="H25" s="3">
        <f t="shared" si="4"/>
        <v>32.284451819280171</v>
      </c>
      <c r="I25" s="3">
        <f t="shared" si="5"/>
        <v>0</v>
      </c>
      <c r="J25" s="3">
        <f t="shared" si="6"/>
        <v>0</v>
      </c>
      <c r="K25" s="3" t="str">
        <f t="shared" si="7"/>
        <v>Be12</v>
      </c>
      <c r="L25" s="3" cm="1">
        <f t="array" ref="L25">SUM(($J25*EXP(-$H25*12*3600*_xlfn.SEQUENCE(L$1-1))))+$J25</f>
        <v>0</v>
      </c>
      <c r="M25" s="3"/>
      <c r="N25" s="3"/>
    </row>
    <row r="26" spans="2:14" hidden="1" x14ac:dyDescent="0.2">
      <c r="B26" s="3">
        <v>4013</v>
      </c>
      <c r="C26" s="3">
        <v>0</v>
      </c>
      <c r="D26">
        <v>23</v>
      </c>
      <c r="E26" t="str">
        <f>VLOOKUP(B26,Nuclides!A:F,5,FALSE)</f>
        <v>Be13</v>
      </c>
      <c r="F26">
        <f>VLOOKUP(B26,Nuclides!A:F,4,FALSE)</f>
        <v>2.7000000000000001E-21</v>
      </c>
      <c r="G26" s="3" t="str">
        <f t="shared" si="3"/>
        <v>2.7E-21s</v>
      </c>
      <c r="H26" s="3">
        <f t="shared" si="4"/>
        <v>2.567211779851649E+20</v>
      </c>
      <c r="I26" s="3">
        <f t="shared" si="5"/>
        <v>0</v>
      </c>
      <c r="J26" s="3">
        <f t="shared" si="6"/>
        <v>0</v>
      </c>
      <c r="K26" s="3" t="str">
        <f t="shared" si="7"/>
        <v>Be13</v>
      </c>
      <c r="L26" s="3" cm="1">
        <f t="array" ref="L26">SUM(($J26*EXP(-$H26*12*3600*_xlfn.SEQUENCE(L$1-1))))+$J26</f>
        <v>0</v>
      </c>
      <c r="M26" s="3"/>
      <c r="N26" s="3"/>
    </row>
    <row r="27" spans="2:14" hidden="1" x14ac:dyDescent="0.2">
      <c r="B27" s="3">
        <v>4014</v>
      </c>
      <c r="C27" s="3">
        <v>0</v>
      </c>
      <c r="D27">
        <v>24</v>
      </c>
      <c r="E27" t="str">
        <f>VLOOKUP(B27,Nuclides!A:F,5,FALSE)</f>
        <v>Be14</v>
      </c>
      <c r="F27">
        <f>VLOOKUP(B27,Nuclides!A:F,4,FALSE)</f>
        <v>4.3499999999999997E-3</v>
      </c>
      <c r="G27" s="3" t="str">
        <f t="shared" si="3"/>
        <v>0.00435s</v>
      </c>
      <c r="H27" s="3">
        <f t="shared" si="4"/>
        <v>159.34417943906789</v>
      </c>
      <c r="I27" s="3">
        <f t="shared" si="5"/>
        <v>0</v>
      </c>
      <c r="J27" s="3">
        <f t="shared" si="6"/>
        <v>0</v>
      </c>
      <c r="K27" s="3" t="str">
        <f t="shared" si="7"/>
        <v>Be14</v>
      </c>
      <c r="L27" s="3" cm="1">
        <f t="array" ref="L27">SUM(($J27*EXP(-$H27*12*3600*_xlfn.SEQUENCE(L$1-1))))+$J27</f>
        <v>0</v>
      </c>
      <c r="M27" s="3"/>
      <c r="N27" s="3"/>
    </row>
    <row r="28" spans="2:14" hidden="1" x14ac:dyDescent="0.2">
      <c r="B28" s="3">
        <v>5008</v>
      </c>
      <c r="C28" s="3">
        <v>0</v>
      </c>
      <c r="D28">
        <v>25</v>
      </c>
      <c r="E28" t="str">
        <f>VLOOKUP(B28,Nuclides!A:F,5,FALSE)</f>
        <v>B8</v>
      </c>
      <c r="F28">
        <f>VLOOKUP(B28,Nuclides!A:F,4,FALSE)</f>
        <v>0.77</v>
      </c>
      <c r="G28" s="3" t="str">
        <f t="shared" si="3"/>
        <v>0.77s</v>
      </c>
      <c r="H28" s="3">
        <f t="shared" si="4"/>
        <v>0.90019114358434449</v>
      </c>
      <c r="I28" s="3">
        <f t="shared" si="5"/>
        <v>0</v>
      </c>
      <c r="J28" s="3">
        <f t="shared" si="6"/>
        <v>0</v>
      </c>
      <c r="K28" s="3" t="str">
        <f t="shared" si="7"/>
        <v>B8</v>
      </c>
      <c r="L28" s="3" cm="1">
        <f t="array" ref="L28">SUM(($J28*EXP(-$H28*12*3600*_xlfn.SEQUENCE(L$1-1))))+$J28</f>
        <v>0</v>
      </c>
      <c r="M28" s="3"/>
      <c r="N28" s="3"/>
    </row>
    <row r="29" spans="2:14" hidden="1" x14ac:dyDescent="0.2">
      <c r="B29" s="3">
        <v>5009</v>
      </c>
      <c r="C29" s="3">
        <v>0</v>
      </c>
      <c r="D29">
        <v>26</v>
      </c>
      <c r="E29" t="str">
        <f>VLOOKUP(B29,Nuclides!A:F,5,FALSE)</f>
        <v>B9</v>
      </c>
      <c r="F29">
        <f>VLOOKUP(B29,Nuclides!A:F,4,FALSE)</f>
        <v>8.4388888888888803E-19</v>
      </c>
      <c r="G29" s="3" t="str">
        <f t="shared" si="3"/>
        <v>8.43888888888888E-19s</v>
      </c>
      <c r="H29" s="3">
        <f t="shared" si="4"/>
        <v>8.2137256419216768E+17</v>
      </c>
      <c r="I29" s="3">
        <f t="shared" si="5"/>
        <v>0</v>
      </c>
      <c r="J29" s="3">
        <f t="shared" si="6"/>
        <v>0</v>
      </c>
      <c r="K29" s="3" t="str">
        <f t="shared" si="7"/>
        <v>B9</v>
      </c>
      <c r="L29" s="3" cm="1">
        <f t="array" ref="L29">SUM(($J29*EXP(-$H29*12*3600*_xlfn.SEQUENCE(L$1-1))))+$J29</f>
        <v>0</v>
      </c>
      <c r="M29" s="3"/>
      <c r="N29" s="3"/>
    </row>
    <row r="30" spans="2:14" hidden="1" x14ac:dyDescent="0.2">
      <c r="B30" s="3">
        <v>5010</v>
      </c>
      <c r="C30" s="3">
        <v>0</v>
      </c>
      <c r="D30">
        <v>27</v>
      </c>
      <c r="E30" t="str">
        <f>VLOOKUP(B30,Nuclides!A:F,5,FALSE)</f>
        <v>B10</v>
      </c>
      <c r="F30" t="str">
        <f>VLOOKUP(B30,Nuclides!A:F,4,FALSE)</f>
        <v>STABLE</v>
      </c>
      <c r="G30" s="3" t="str">
        <f t="shared" si="3"/>
        <v>STABLE</v>
      </c>
      <c r="H30" s="3" t="e">
        <f t="shared" si="4"/>
        <v>#VALUE!</v>
      </c>
      <c r="I30" s="3" t="e">
        <f t="shared" si="5"/>
        <v>#VALUE!</v>
      </c>
      <c r="J30" s="3" t="e">
        <f t="shared" si="6"/>
        <v>#VALUE!</v>
      </c>
      <c r="K30" s="3" t="str">
        <f t="shared" si="7"/>
        <v>B10</v>
      </c>
      <c r="L30" s="3" t="e" cm="1">
        <f t="array" ref="L30">SUM(($J30*EXP(-$H30*12*3600*_xlfn.SEQUENCE(L$1-1))))+$J30</f>
        <v>#VALUE!</v>
      </c>
      <c r="M30" s="3"/>
      <c r="N30" s="3"/>
    </row>
    <row r="31" spans="2:14" hidden="1" x14ac:dyDescent="0.2">
      <c r="B31" s="3">
        <v>5011</v>
      </c>
      <c r="C31" s="3">
        <v>0</v>
      </c>
      <c r="D31">
        <v>28</v>
      </c>
      <c r="E31" t="str">
        <f>VLOOKUP(B31,Nuclides!A:F,5,FALSE)</f>
        <v>B11</v>
      </c>
      <c r="F31" t="str">
        <f>VLOOKUP(B31,Nuclides!A:F,4,FALSE)</f>
        <v>STABLE</v>
      </c>
      <c r="G31" s="3" t="str">
        <f t="shared" si="3"/>
        <v>STABLE</v>
      </c>
      <c r="H31" s="3" t="e">
        <f t="shared" si="4"/>
        <v>#VALUE!</v>
      </c>
      <c r="I31" s="3" t="e">
        <f t="shared" si="5"/>
        <v>#VALUE!</v>
      </c>
      <c r="J31" s="3" t="e">
        <f t="shared" si="6"/>
        <v>#VALUE!</v>
      </c>
      <c r="K31" s="3" t="str">
        <f t="shared" si="7"/>
        <v>B11</v>
      </c>
      <c r="L31" s="3" t="e" cm="1">
        <f t="array" ref="L31">SUM(($J31*EXP(-$H31*12*3600*_xlfn.SEQUENCE(L$1-1))))+$J31</f>
        <v>#VALUE!</v>
      </c>
      <c r="M31" s="3"/>
      <c r="N31" s="3"/>
    </row>
    <row r="32" spans="2:14" hidden="1" x14ac:dyDescent="0.2">
      <c r="B32" s="3">
        <v>5012</v>
      </c>
      <c r="C32" s="3">
        <v>0</v>
      </c>
      <c r="D32">
        <v>29</v>
      </c>
      <c r="E32" t="str">
        <f>VLOOKUP(B32,Nuclides!A:F,5,FALSE)</f>
        <v>B12</v>
      </c>
      <c r="F32">
        <f>VLOOKUP(B32,Nuclides!A:F,4,FALSE)</f>
        <v>2.0199999999999999E-2</v>
      </c>
      <c r="G32" s="3" t="str">
        <f t="shared" si="3"/>
        <v>0.0202s</v>
      </c>
      <c r="H32" s="3">
        <f t="shared" si="4"/>
        <v>34.314216859403231</v>
      </c>
      <c r="I32" s="3">
        <f t="shared" si="5"/>
        <v>0</v>
      </c>
      <c r="J32" s="3">
        <f t="shared" si="6"/>
        <v>0</v>
      </c>
      <c r="K32" s="3" t="str">
        <f t="shared" si="7"/>
        <v>B12</v>
      </c>
      <c r="L32" s="3" cm="1">
        <f t="array" ref="L32">SUM(($J32*EXP(-$H32*12*3600*_xlfn.SEQUENCE(L$1-1))))+$J32</f>
        <v>0</v>
      </c>
      <c r="M32" s="3"/>
      <c r="N32" s="3"/>
    </row>
    <row r="33" spans="2:14" hidden="1" x14ac:dyDescent="0.2">
      <c r="B33" s="3">
        <v>5013</v>
      </c>
      <c r="C33" s="3">
        <v>0</v>
      </c>
      <c r="D33">
        <v>30</v>
      </c>
      <c r="E33" t="str">
        <f>VLOOKUP(B33,Nuclides!A:F,5,FALSE)</f>
        <v>B13</v>
      </c>
      <c r="F33">
        <f>VLOOKUP(B33,Nuclides!A:F,4,FALSE)</f>
        <v>1.7329999999999901E-2</v>
      </c>
      <c r="G33" s="3" t="str">
        <f t="shared" si="3"/>
        <v>0.0173299999999999s</v>
      </c>
      <c r="H33" s="3">
        <f t="shared" si="4"/>
        <v>39.996952138485241</v>
      </c>
      <c r="I33" s="3">
        <f t="shared" si="5"/>
        <v>0</v>
      </c>
      <c r="J33" s="3">
        <f t="shared" si="6"/>
        <v>0</v>
      </c>
      <c r="K33" s="3" t="str">
        <f t="shared" si="7"/>
        <v>B13</v>
      </c>
      <c r="L33" s="3" cm="1">
        <f t="array" ref="L33">SUM(($J33*EXP(-$H33*12*3600*_xlfn.SEQUENCE(L$1-1))))+$J33</f>
        <v>0</v>
      </c>
      <c r="M33" s="3"/>
      <c r="N33" s="3"/>
    </row>
    <row r="34" spans="2:14" hidden="1" x14ac:dyDescent="0.2">
      <c r="B34" s="3">
        <v>5014</v>
      </c>
      <c r="C34" s="3">
        <v>0</v>
      </c>
      <c r="D34">
        <v>31</v>
      </c>
      <c r="E34" t="str">
        <f>VLOOKUP(B34,Nuclides!A:F,5,FALSE)</f>
        <v>B14</v>
      </c>
      <c r="F34">
        <f>VLOOKUP(B34,Nuclides!A:F,4,FALSE)</f>
        <v>1.2359999999999999E-2</v>
      </c>
      <c r="G34" s="3" t="str">
        <f t="shared" si="3"/>
        <v>0.01236s</v>
      </c>
      <c r="H34" s="3">
        <f t="shared" si="4"/>
        <v>56.079868977341853</v>
      </c>
      <c r="I34" s="3">
        <f t="shared" si="5"/>
        <v>0</v>
      </c>
      <c r="J34" s="3">
        <f t="shared" si="6"/>
        <v>0</v>
      </c>
      <c r="K34" s="3" t="str">
        <f t="shared" si="7"/>
        <v>B14</v>
      </c>
      <c r="L34" s="3" cm="1">
        <f t="array" ref="L34">SUM(($J34*EXP(-$H34*12*3600*_xlfn.SEQUENCE(L$1-1))))+$J34</f>
        <v>0</v>
      </c>
      <c r="M34" s="3"/>
      <c r="N34" s="3"/>
    </row>
    <row r="35" spans="2:14" hidden="1" x14ac:dyDescent="0.2">
      <c r="B35" s="3">
        <v>5015</v>
      </c>
      <c r="C35" s="3">
        <v>0</v>
      </c>
      <c r="D35">
        <v>32</v>
      </c>
      <c r="E35" t="str">
        <f>VLOOKUP(B35,Nuclides!A:F,5,FALSE)</f>
        <v>B15</v>
      </c>
      <c r="F35">
        <f>VLOOKUP(B35,Nuclides!A:F,4,FALSE)</f>
        <v>1.018E-2</v>
      </c>
      <c r="G35" s="3" t="str">
        <f t="shared" si="3"/>
        <v>0.01018s</v>
      </c>
      <c r="H35" s="3">
        <f t="shared" si="4"/>
        <v>68.089114003923896</v>
      </c>
      <c r="I35" s="3">
        <f t="shared" si="5"/>
        <v>0</v>
      </c>
      <c r="J35" s="3">
        <f t="shared" si="6"/>
        <v>0</v>
      </c>
      <c r="K35" s="3" t="str">
        <f t="shared" si="7"/>
        <v>B15</v>
      </c>
      <c r="L35" s="3" cm="1">
        <f t="array" ref="L35">SUM(($J35*EXP(-$H35*12*3600*_xlfn.SEQUENCE(L$1-1))))+$J35</f>
        <v>0</v>
      </c>
      <c r="M35" s="3"/>
      <c r="N35" s="3"/>
    </row>
    <row r="36" spans="2:14" hidden="1" x14ac:dyDescent="0.2">
      <c r="B36" s="3">
        <v>5016</v>
      </c>
      <c r="C36" s="3">
        <v>0</v>
      </c>
      <c r="D36">
        <v>33</v>
      </c>
      <c r="E36" t="e">
        <f>VLOOKUP(B36,Nuclides!A:F,5,FALSE)</f>
        <v>#N/A</v>
      </c>
      <c r="F36" t="e">
        <f>VLOOKUP(B36,Nuclides!A:F,4,FALSE)</f>
        <v>#N/A</v>
      </c>
      <c r="G36" s="3" t="e">
        <f t="shared" si="3"/>
        <v>#N/A</v>
      </c>
      <c r="H36" s="3" t="e">
        <f t="shared" si="4"/>
        <v>#N/A</v>
      </c>
      <c r="I36" s="3" t="e">
        <f t="shared" si="5"/>
        <v>#N/A</v>
      </c>
      <c r="J36" s="3" t="e">
        <f t="shared" si="6"/>
        <v>#N/A</v>
      </c>
      <c r="K36" s="3" t="e">
        <f t="shared" si="7"/>
        <v>#N/A</v>
      </c>
      <c r="L36" s="3" t="e" cm="1">
        <f t="array" ref="L36">SUM(($J36*EXP(-$H36*12*3600*_xlfn.SEQUENCE(L$1-1))))+$J36</f>
        <v>#N/A</v>
      </c>
      <c r="M36" s="3"/>
      <c r="N36" s="3"/>
    </row>
    <row r="37" spans="2:14" hidden="1" x14ac:dyDescent="0.2">
      <c r="B37" s="3">
        <v>5017</v>
      </c>
      <c r="C37" s="3">
        <v>0</v>
      </c>
      <c r="D37">
        <v>34</v>
      </c>
      <c r="E37" t="str">
        <f>VLOOKUP(B37,Nuclides!A:F,5,FALSE)</f>
        <v>B17</v>
      </c>
      <c r="F37">
        <f>VLOOKUP(B37,Nuclides!A:F,4,FALSE)</f>
        <v>5.0800000000000003E-3</v>
      </c>
      <c r="G37" s="3" t="str">
        <f t="shared" si="3"/>
        <v>0.00508s</v>
      </c>
      <c r="H37" s="3">
        <f t="shared" si="4"/>
        <v>136.446295385816</v>
      </c>
      <c r="I37" s="3">
        <f t="shared" si="5"/>
        <v>0</v>
      </c>
      <c r="J37" s="3">
        <f t="shared" si="6"/>
        <v>0</v>
      </c>
      <c r="K37" s="3" t="str">
        <f t="shared" si="7"/>
        <v>B17</v>
      </c>
      <c r="L37" s="3" cm="1">
        <f t="array" ref="L37">SUM(($J37*EXP(-$H37*12*3600*_xlfn.SEQUENCE(L$1-1))))+$J37</f>
        <v>0</v>
      </c>
      <c r="M37" s="3"/>
      <c r="N37" s="3"/>
    </row>
    <row r="38" spans="2:14" hidden="1" x14ac:dyDescent="0.2">
      <c r="B38" s="3">
        <v>6008</v>
      </c>
      <c r="C38" s="3">
        <v>0</v>
      </c>
      <c r="D38">
        <v>35</v>
      </c>
      <c r="E38" t="str">
        <f>VLOOKUP(B38,Nuclides!A:F,5,FALSE)</f>
        <v>C8</v>
      </c>
      <c r="F38">
        <f>VLOOKUP(B38,Nuclides!A:F,4,FALSE)</f>
        <v>1.9813043478260799E-21</v>
      </c>
      <c r="G38" s="3" t="str">
        <f t="shared" si="3"/>
        <v>1.98130434782608E-21s</v>
      </c>
      <c r="H38" s="3">
        <f t="shared" si="4"/>
        <v>3.4984386993370196E+20</v>
      </c>
      <c r="I38" s="3">
        <f t="shared" si="5"/>
        <v>0</v>
      </c>
      <c r="J38" s="3">
        <f t="shared" si="6"/>
        <v>0</v>
      </c>
      <c r="K38" s="3" t="str">
        <f t="shared" si="7"/>
        <v>C8</v>
      </c>
      <c r="L38" s="3" cm="1">
        <f t="array" ref="L38">SUM(($J38*EXP(-$H38*12*3600*_xlfn.SEQUENCE(L$1-1))))+$J38</f>
        <v>0</v>
      </c>
      <c r="M38" s="3"/>
      <c r="N38" s="3"/>
    </row>
    <row r="39" spans="2:14" hidden="1" x14ac:dyDescent="0.2">
      <c r="B39" s="3">
        <v>6009</v>
      </c>
      <c r="C39" s="3">
        <v>0</v>
      </c>
      <c r="D39">
        <v>36</v>
      </c>
      <c r="E39" t="str">
        <f>VLOOKUP(B39,Nuclides!A:F,5,FALSE)</f>
        <v>C9</v>
      </c>
      <c r="F39">
        <f>VLOOKUP(B39,Nuclides!A:F,4,FALSE)</f>
        <v>0.1265</v>
      </c>
      <c r="G39" s="3" t="str">
        <f t="shared" si="3"/>
        <v>0.1265s</v>
      </c>
      <c r="H39" s="3">
        <f t="shared" si="4"/>
        <v>5.4794243522525319</v>
      </c>
      <c r="I39" s="3">
        <f t="shared" si="5"/>
        <v>0</v>
      </c>
      <c r="J39" s="3">
        <f t="shared" si="6"/>
        <v>0</v>
      </c>
      <c r="K39" s="3" t="str">
        <f t="shared" si="7"/>
        <v>C9</v>
      </c>
      <c r="L39" s="3" cm="1">
        <f t="array" ref="L39">SUM(($J39*EXP(-$H39*12*3600*_xlfn.SEQUENCE(L$1-1))))+$J39</f>
        <v>0</v>
      </c>
      <c r="M39" s="3"/>
      <c r="N39" s="3"/>
    </row>
    <row r="40" spans="2:14" hidden="1" x14ac:dyDescent="0.2">
      <c r="B40" s="3">
        <v>6010</v>
      </c>
      <c r="C40" s="3">
        <v>0</v>
      </c>
      <c r="D40">
        <v>37</v>
      </c>
      <c r="E40" t="str">
        <f>VLOOKUP(B40,Nuclides!A:F,5,FALSE)</f>
        <v>C10</v>
      </c>
      <c r="F40">
        <f>VLOOKUP(B40,Nuclides!A:F,4,FALSE)</f>
        <v>19.308</v>
      </c>
      <c r="G40" s="3" t="str">
        <f t="shared" si="3"/>
        <v>19.308s</v>
      </c>
      <c r="H40" s="3">
        <f t="shared" si="4"/>
        <v>3.5899481073127473E-2</v>
      </c>
      <c r="I40" s="3">
        <f t="shared" si="5"/>
        <v>0</v>
      </c>
      <c r="J40" s="3">
        <f t="shared" si="6"/>
        <v>0</v>
      </c>
      <c r="K40" s="3" t="str">
        <f t="shared" si="7"/>
        <v>C10</v>
      </c>
      <c r="L40" s="3" cm="1">
        <f t="array" ref="L40">SUM(($J40*EXP(-$H40*12*3600*_xlfn.SEQUENCE(L$1-1))))+$J40</f>
        <v>0</v>
      </c>
      <c r="M40" s="3"/>
      <c r="N40" s="3"/>
    </row>
    <row r="41" spans="2:14" hidden="1" x14ac:dyDescent="0.2">
      <c r="B41" s="3">
        <v>6011</v>
      </c>
      <c r="C41" s="3">
        <v>0</v>
      </c>
      <c r="D41">
        <v>38</v>
      </c>
      <c r="E41" t="str">
        <f>VLOOKUP(B41,Nuclides!A:F,5,FALSE)</f>
        <v>C11</v>
      </c>
      <c r="F41">
        <f>VLOOKUP(B41,Nuclides!A:F,4,FALSE)</f>
        <v>1221.8399999999999</v>
      </c>
      <c r="G41" s="3" t="str">
        <f t="shared" si="3"/>
        <v>20.36min</v>
      </c>
      <c r="H41" s="3">
        <f t="shared" si="4"/>
        <v>5.6729782996132495E-4</v>
      </c>
      <c r="I41" s="3">
        <f t="shared" si="5"/>
        <v>0</v>
      </c>
      <c r="J41" s="3">
        <f t="shared" si="6"/>
        <v>0</v>
      </c>
      <c r="K41" s="3" t="str">
        <f t="shared" si="7"/>
        <v>C11</v>
      </c>
      <c r="L41" s="3" cm="1">
        <f t="array" ref="L41">SUM(($J41*EXP(-$H41*12*3600*_xlfn.SEQUENCE(L$1-1))))+$J41</f>
        <v>0</v>
      </c>
      <c r="M41" s="3"/>
      <c r="N41" s="3"/>
    </row>
    <row r="42" spans="2:14" hidden="1" x14ac:dyDescent="0.2">
      <c r="B42" s="3">
        <v>6012</v>
      </c>
      <c r="C42" s="3">
        <v>2.0000000000000001E-10</v>
      </c>
      <c r="D42">
        <v>39</v>
      </c>
      <c r="E42" t="str">
        <f>VLOOKUP(B42,Nuclides!A:F,5,FALSE)</f>
        <v>C12</v>
      </c>
      <c r="F42" t="str">
        <f>VLOOKUP(B42,Nuclides!A:F,4,FALSE)</f>
        <v>STABLE</v>
      </c>
      <c r="G42" s="3" t="str">
        <f t="shared" si="3"/>
        <v>STABLE</v>
      </c>
      <c r="H42" s="3" t="e">
        <f t="shared" si="4"/>
        <v>#VALUE!</v>
      </c>
      <c r="I42" s="3" t="e">
        <f t="shared" si="5"/>
        <v>#VALUE!</v>
      </c>
      <c r="J42" s="3" t="e">
        <f t="shared" si="6"/>
        <v>#VALUE!</v>
      </c>
      <c r="K42" s="3" t="str">
        <f t="shared" si="7"/>
        <v>C12</v>
      </c>
      <c r="L42" s="3" t="e" cm="1">
        <f t="array" ref="L42">SUM(($J42*EXP(-$H42*12*3600*_xlfn.SEQUENCE(L$1-1))))+$J42</f>
        <v>#VALUE!</v>
      </c>
      <c r="M42" s="3"/>
      <c r="N42" s="3"/>
    </row>
    <row r="43" spans="2:14" hidden="1" x14ac:dyDescent="0.2">
      <c r="B43" s="3">
        <v>6013</v>
      </c>
      <c r="C43" s="3">
        <v>2.65184E-7</v>
      </c>
      <c r="D43">
        <v>40</v>
      </c>
      <c r="E43" t="str">
        <f>VLOOKUP(B43,Nuclides!A:F,5,FALSE)</f>
        <v>C13</v>
      </c>
      <c r="F43" t="str">
        <f>VLOOKUP(B43,Nuclides!A:F,4,FALSE)</f>
        <v>STABLE</v>
      </c>
      <c r="G43" s="3" t="str">
        <f t="shared" si="3"/>
        <v>STABLE</v>
      </c>
      <c r="H43" s="3" t="e">
        <f t="shared" si="4"/>
        <v>#VALUE!</v>
      </c>
      <c r="I43" s="3" t="e">
        <f t="shared" si="5"/>
        <v>#VALUE!</v>
      </c>
      <c r="J43" s="3" t="e">
        <f t="shared" si="6"/>
        <v>#VALUE!</v>
      </c>
      <c r="K43" s="3" t="str">
        <f t="shared" si="7"/>
        <v>C13</v>
      </c>
      <c r="L43" s="3" t="e" cm="1">
        <f t="array" ref="L43">SUM(($J43*EXP(-$H43*12*3600*_xlfn.SEQUENCE(L$1-1))))+$J43</f>
        <v>#VALUE!</v>
      </c>
      <c r="M43" s="3"/>
      <c r="N43" s="3"/>
    </row>
    <row r="44" spans="2:14" x14ac:dyDescent="0.2">
      <c r="B44" s="3">
        <v>6014</v>
      </c>
      <c r="C44" s="3">
        <v>1.30994E-8</v>
      </c>
      <c r="D44">
        <v>41</v>
      </c>
      <c r="E44" t="str">
        <f>VLOOKUP(B44,Nuclides!A:F,5,FALSE)</f>
        <v>C14</v>
      </c>
      <c r="F44">
        <f>VLOOKUP(B44,Nuclides!A:F,4,FALSE)</f>
        <v>179878320000</v>
      </c>
      <c r="G44" s="3" t="str">
        <f t="shared" si="3"/>
        <v>5703.9y</v>
      </c>
      <c r="H44" s="3">
        <f t="shared" si="4"/>
        <v>3.8534225834438821E-12</v>
      </c>
      <c r="I44" s="3">
        <f t="shared" si="5"/>
        <v>0.2267854160168323</v>
      </c>
      <c r="J44" s="3">
        <f>I44*EXP(-H44*2*3600)</f>
        <v>0.22678540972475206</v>
      </c>
      <c r="K44" s="3" t="str">
        <f t="shared" si="7"/>
        <v>C14</v>
      </c>
      <c r="L44" s="3" cm="1">
        <f t="array" ref="L44">SUM(($J44*EXP(-$H44*12*3600*_xlfn.SEQUENCE(L$1-1))))+$J44</f>
        <v>163.27572353980605</v>
      </c>
      <c r="M44" s="3"/>
      <c r="N44" s="3"/>
    </row>
    <row r="45" spans="2:14" hidden="1" x14ac:dyDescent="0.2">
      <c r="B45" s="3">
        <v>6015</v>
      </c>
      <c r="C45" s="3">
        <v>0</v>
      </c>
      <c r="D45">
        <v>42</v>
      </c>
      <c r="E45" t="str">
        <f>VLOOKUP(B45,Nuclides!A:F,5,FALSE)</f>
        <v>C15</v>
      </c>
      <c r="F45">
        <f>VLOOKUP(B45,Nuclides!A:F,4,FALSE)</f>
        <v>2.4489999999999998</v>
      </c>
      <c r="G45" s="3" t="str">
        <f t="shared" si="3"/>
        <v>2.449s</v>
      </c>
      <c r="H45" s="3">
        <f t="shared" si="4"/>
        <v>0.28303274012247664</v>
      </c>
      <c r="I45" s="3">
        <f t="shared" si="5"/>
        <v>0</v>
      </c>
      <c r="J45" s="3">
        <f t="shared" si="6"/>
        <v>0</v>
      </c>
      <c r="K45" s="3" t="str">
        <f t="shared" si="7"/>
        <v>C15</v>
      </c>
      <c r="L45" s="3" cm="1">
        <f t="array" ref="L45">SUM(($J45*EXP(-$H45*12*3600*_xlfn.SEQUENCE(L$1-1))))+$J45</f>
        <v>0</v>
      </c>
      <c r="M45" s="3"/>
      <c r="N45" s="3"/>
    </row>
    <row r="46" spans="2:14" hidden="1" x14ac:dyDescent="0.2">
      <c r="B46" s="3">
        <v>6016</v>
      </c>
      <c r="C46" s="3">
        <v>0</v>
      </c>
      <c r="D46">
        <v>43</v>
      </c>
      <c r="E46" t="str">
        <f>VLOOKUP(B46,Nuclides!A:F,5,FALSE)</f>
        <v>C16</v>
      </c>
      <c r="F46">
        <f>VLOOKUP(B46,Nuclides!A:F,4,FALSE)</f>
        <v>0.747</v>
      </c>
      <c r="G46" s="3" t="str">
        <f t="shared" si="3"/>
        <v>0.747s</v>
      </c>
      <c r="H46" s="3">
        <f t="shared" si="4"/>
        <v>0.92790787223553584</v>
      </c>
      <c r="I46" s="3">
        <f t="shared" si="5"/>
        <v>0</v>
      </c>
      <c r="J46" s="3">
        <f t="shared" si="6"/>
        <v>0</v>
      </c>
      <c r="K46" s="3" t="str">
        <f t="shared" si="7"/>
        <v>C16</v>
      </c>
      <c r="L46" s="3" cm="1">
        <f t="array" ref="L46">SUM(($J46*EXP(-$H46*12*3600*_xlfn.SEQUENCE(L$1-1))))+$J46</f>
        <v>0</v>
      </c>
      <c r="M46" s="3"/>
      <c r="N46" s="3"/>
    </row>
    <row r="47" spans="2:14" hidden="1" x14ac:dyDescent="0.2">
      <c r="B47" s="3">
        <v>6017</v>
      </c>
      <c r="C47" s="3">
        <v>0</v>
      </c>
      <c r="D47">
        <v>44</v>
      </c>
      <c r="E47" t="str">
        <f>VLOOKUP(B47,Nuclides!A:F,5,FALSE)</f>
        <v>C17</v>
      </c>
      <c r="F47">
        <f>VLOOKUP(B47,Nuclides!A:F,4,FALSE)</f>
        <v>0.191</v>
      </c>
      <c r="G47" s="3" t="str">
        <f t="shared" si="3"/>
        <v>0.191s</v>
      </c>
      <c r="H47" s="3">
        <f t="shared" si="4"/>
        <v>3.6290428301567816</v>
      </c>
      <c r="I47" s="3">
        <f t="shared" si="5"/>
        <v>0</v>
      </c>
      <c r="J47" s="3">
        <f t="shared" si="6"/>
        <v>0</v>
      </c>
      <c r="K47" s="3" t="str">
        <f t="shared" si="7"/>
        <v>C17</v>
      </c>
      <c r="L47" s="3" cm="1">
        <f t="array" ref="L47">SUM(($J47*EXP(-$H47*12*3600*_xlfn.SEQUENCE(L$1-1))))+$J47</f>
        <v>0</v>
      </c>
      <c r="M47" s="3"/>
      <c r="N47" s="3"/>
    </row>
    <row r="48" spans="2:14" hidden="1" x14ac:dyDescent="0.2">
      <c r="B48" s="3">
        <v>6018</v>
      </c>
      <c r="C48" s="3">
        <v>0</v>
      </c>
      <c r="D48">
        <v>45</v>
      </c>
      <c r="E48" t="str">
        <f>VLOOKUP(B48,Nuclides!A:F,5,FALSE)</f>
        <v>C18</v>
      </c>
      <c r="F48">
        <f>VLOOKUP(B48,Nuclides!A:F,4,FALSE)</f>
        <v>9.1999999999999998E-2</v>
      </c>
      <c r="G48" s="3" t="str">
        <f t="shared" si="3"/>
        <v>0.092s</v>
      </c>
      <c r="H48" s="3">
        <f t="shared" si="4"/>
        <v>7.5342084843472312</v>
      </c>
      <c r="I48" s="3">
        <f t="shared" si="5"/>
        <v>0</v>
      </c>
      <c r="J48" s="3">
        <f t="shared" si="6"/>
        <v>0</v>
      </c>
      <c r="K48" s="3" t="str">
        <f t="shared" si="7"/>
        <v>C18</v>
      </c>
      <c r="L48" s="3" cm="1">
        <f t="array" ref="L48">SUM(($J48*EXP(-$H48*12*3600*_xlfn.SEQUENCE(L$1-1))))+$J48</f>
        <v>0</v>
      </c>
      <c r="M48" s="3"/>
      <c r="N48" s="3"/>
    </row>
    <row r="49" spans="2:14" hidden="1" x14ac:dyDescent="0.2">
      <c r="B49" s="3">
        <v>6019</v>
      </c>
      <c r="C49" s="3">
        <v>0</v>
      </c>
      <c r="D49">
        <v>46</v>
      </c>
      <c r="E49" t="str">
        <f>VLOOKUP(B49,Nuclides!A:F,5,FALSE)</f>
        <v>C19</v>
      </c>
      <c r="F49">
        <f>VLOOKUP(B49,Nuclides!A:F,4,FALSE)</f>
        <v>4.6199999999999998E-2</v>
      </c>
      <c r="G49" s="3" t="str">
        <f t="shared" si="3"/>
        <v>0.0462s</v>
      </c>
      <c r="H49" s="3">
        <f t="shared" si="4"/>
        <v>15.003185726405743</v>
      </c>
      <c r="I49" s="3">
        <f t="shared" si="5"/>
        <v>0</v>
      </c>
      <c r="J49" s="3">
        <f t="shared" si="6"/>
        <v>0</v>
      </c>
      <c r="K49" s="3" t="str">
        <f t="shared" si="7"/>
        <v>C19</v>
      </c>
      <c r="L49" s="3" cm="1">
        <f t="array" ref="L49">SUM(($J49*EXP(-$H49*12*3600*_xlfn.SEQUENCE(L$1-1))))+$J49</f>
        <v>0</v>
      </c>
      <c r="M49" s="3"/>
      <c r="N49" s="3"/>
    </row>
    <row r="50" spans="2:14" hidden="1" x14ac:dyDescent="0.2">
      <c r="B50" s="3">
        <v>6020</v>
      </c>
      <c r="C50" s="3">
        <v>0</v>
      </c>
      <c r="D50">
        <v>47</v>
      </c>
      <c r="E50" t="str">
        <f>VLOOKUP(B50,Nuclides!A:F,5,FALSE)</f>
        <v>C20</v>
      </c>
      <c r="F50">
        <f>VLOOKUP(B50,Nuclides!A:F,4,FALSE)</f>
        <v>1.6199999999999999E-2</v>
      </c>
      <c r="G50" s="3" t="str">
        <f t="shared" si="3"/>
        <v>0.0162s</v>
      </c>
      <c r="H50" s="3">
        <f t="shared" si="4"/>
        <v>42.786862997527486</v>
      </c>
      <c r="I50" s="3">
        <f t="shared" si="5"/>
        <v>0</v>
      </c>
      <c r="J50" s="3">
        <f t="shared" si="6"/>
        <v>0</v>
      </c>
      <c r="K50" s="3" t="str">
        <f t="shared" si="7"/>
        <v>C20</v>
      </c>
      <c r="L50" s="3" cm="1">
        <f t="array" ref="L50">SUM(($J50*EXP(-$H50*12*3600*_xlfn.SEQUENCE(L$1-1))))+$J50</f>
        <v>0</v>
      </c>
      <c r="M50" s="3"/>
      <c r="N50" s="3"/>
    </row>
    <row r="51" spans="2:14" hidden="1" x14ac:dyDescent="0.2">
      <c r="B51" s="3">
        <v>7011</v>
      </c>
      <c r="C51" s="3">
        <v>0</v>
      </c>
      <c r="D51">
        <v>48</v>
      </c>
      <c r="E51" t="str">
        <f>VLOOKUP(B51,Nuclides!A:F,5,FALSE)</f>
        <v>N11</v>
      </c>
      <c r="F51">
        <f>VLOOKUP(B51,Nuclides!A:F,4,FALSE)</f>
        <v>5.4903614457831297E-22</v>
      </c>
      <c r="G51" s="3" t="str">
        <f t="shared" si="3"/>
        <v>5.49036144578313E-22s</v>
      </c>
      <c r="H51" s="3">
        <f t="shared" si="4"/>
        <v>1.2624800523694425E+21</v>
      </c>
      <c r="I51" s="3">
        <f t="shared" si="5"/>
        <v>0</v>
      </c>
      <c r="J51" s="3">
        <f t="shared" si="6"/>
        <v>0</v>
      </c>
      <c r="K51" s="3" t="str">
        <f t="shared" si="7"/>
        <v>N11</v>
      </c>
      <c r="L51" s="3" cm="1">
        <f t="array" ref="L51">SUM(($J51*EXP(-$H51*12*3600*_xlfn.SEQUENCE(L$1-1))))+$J51</f>
        <v>0</v>
      </c>
      <c r="M51" s="3"/>
      <c r="N51" s="3"/>
    </row>
    <row r="52" spans="2:14" hidden="1" x14ac:dyDescent="0.2">
      <c r="B52" s="3">
        <v>7012</v>
      </c>
      <c r="C52" s="3">
        <v>0</v>
      </c>
      <c r="D52">
        <v>49</v>
      </c>
      <c r="E52" t="str">
        <f>VLOOKUP(B52,Nuclides!A:F,5,FALSE)</f>
        <v>N12</v>
      </c>
      <c r="F52">
        <f>VLOOKUP(B52,Nuclides!A:F,4,FALSE)</f>
        <v>1.0999999999999999E-2</v>
      </c>
      <c r="G52" s="3" t="str">
        <f t="shared" si="3"/>
        <v>0.011s</v>
      </c>
      <c r="H52" s="3">
        <f t="shared" si="4"/>
        <v>63.013380050904118</v>
      </c>
      <c r="I52" s="3">
        <f t="shared" si="5"/>
        <v>0</v>
      </c>
      <c r="J52" s="3">
        <f t="shared" si="6"/>
        <v>0</v>
      </c>
      <c r="K52" s="3" t="str">
        <f t="shared" si="7"/>
        <v>N12</v>
      </c>
      <c r="L52" s="3" cm="1">
        <f t="array" ref="L52">SUM(($J52*EXP(-$H52*12*3600*_xlfn.SEQUENCE(L$1-1))))+$J52</f>
        <v>0</v>
      </c>
      <c r="M52" s="3"/>
      <c r="N52" s="3"/>
    </row>
    <row r="53" spans="2:14" hidden="1" x14ac:dyDescent="0.2">
      <c r="B53" s="3">
        <v>7013</v>
      </c>
      <c r="C53" s="3">
        <v>0</v>
      </c>
      <c r="D53">
        <v>50</v>
      </c>
      <c r="E53" t="str">
        <f>VLOOKUP(B53,Nuclides!A:F,5,FALSE)</f>
        <v>N13</v>
      </c>
      <c r="F53">
        <f>VLOOKUP(B53,Nuclides!A:F,4,FALSE)</f>
        <v>597.9</v>
      </c>
      <c r="G53" s="3" t="str">
        <f t="shared" si="3"/>
        <v>9.97min</v>
      </c>
      <c r="H53" s="3">
        <f t="shared" si="4"/>
        <v>1.1593028609465552E-3</v>
      </c>
      <c r="I53" s="3">
        <f t="shared" si="5"/>
        <v>0</v>
      </c>
      <c r="J53" s="3">
        <f t="shared" si="6"/>
        <v>0</v>
      </c>
      <c r="K53" s="3" t="str">
        <f t="shared" si="7"/>
        <v>N13</v>
      </c>
      <c r="L53" s="3" cm="1">
        <f t="array" ref="L53">SUM(($J53*EXP(-$H53*12*3600*_xlfn.SEQUENCE(L$1-1))))+$J53</f>
        <v>0</v>
      </c>
      <c r="M53" s="3"/>
      <c r="N53" s="3"/>
    </row>
    <row r="54" spans="2:14" hidden="1" x14ac:dyDescent="0.2">
      <c r="B54" s="3">
        <v>7014</v>
      </c>
      <c r="C54" s="3">
        <v>0</v>
      </c>
      <c r="D54">
        <v>51</v>
      </c>
      <c r="E54" t="str">
        <f>VLOOKUP(B54,Nuclides!A:F,5,FALSE)</f>
        <v>N14</v>
      </c>
      <c r="F54" t="str">
        <f>VLOOKUP(B54,Nuclides!A:F,4,FALSE)</f>
        <v>STABLE</v>
      </c>
      <c r="G54" s="3" t="str">
        <f t="shared" si="3"/>
        <v>STABLE</v>
      </c>
      <c r="H54" s="3" t="e">
        <f t="shared" si="4"/>
        <v>#VALUE!</v>
      </c>
      <c r="I54" s="3" t="e">
        <f t="shared" si="5"/>
        <v>#VALUE!</v>
      </c>
      <c r="J54" s="3" t="e">
        <f t="shared" si="6"/>
        <v>#VALUE!</v>
      </c>
      <c r="K54" s="3" t="str">
        <f t="shared" si="7"/>
        <v>N14</v>
      </c>
      <c r="L54" s="3" t="e" cm="1">
        <f t="array" ref="L54">SUM(($J54*EXP(-$H54*12*3600*_xlfn.SEQUENCE(L$1-1))))+$J54</f>
        <v>#VALUE!</v>
      </c>
      <c r="M54" s="3"/>
      <c r="N54" s="3"/>
    </row>
    <row r="55" spans="2:14" hidden="1" x14ac:dyDescent="0.2">
      <c r="B55" s="3">
        <v>7015</v>
      </c>
      <c r="C55" s="3">
        <v>0</v>
      </c>
      <c r="D55">
        <v>52</v>
      </c>
      <c r="E55" t="str">
        <f>VLOOKUP(B55,Nuclides!A:F,5,FALSE)</f>
        <v>N15</v>
      </c>
      <c r="F55" t="str">
        <f>VLOOKUP(B55,Nuclides!A:F,4,FALSE)</f>
        <v>STABLE</v>
      </c>
      <c r="G55" s="3" t="str">
        <f t="shared" si="3"/>
        <v>STABLE</v>
      </c>
      <c r="H55" s="3" t="e">
        <f t="shared" si="4"/>
        <v>#VALUE!</v>
      </c>
      <c r="I55" s="3" t="e">
        <f t="shared" si="5"/>
        <v>#VALUE!</v>
      </c>
      <c r="J55" s="3" t="e">
        <f t="shared" si="6"/>
        <v>#VALUE!</v>
      </c>
      <c r="K55" s="3" t="str">
        <f t="shared" si="7"/>
        <v>N15</v>
      </c>
      <c r="L55" s="3" t="e" cm="1">
        <f t="array" ref="L55">SUM(($J55*EXP(-$H55*12*3600*_xlfn.SEQUENCE(L$1-1))))+$J55</f>
        <v>#VALUE!</v>
      </c>
      <c r="M55" s="3"/>
      <c r="N55" s="3"/>
    </row>
    <row r="56" spans="2:14" x14ac:dyDescent="0.2">
      <c r="B56" s="3">
        <v>7016</v>
      </c>
      <c r="C56" s="3">
        <v>6.9999999999999996E-10</v>
      </c>
      <c r="D56">
        <v>53</v>
      </c>
      <c r="E56" t="str">
        <f>VLOOKUP(B56,Nuclides!A:F,5,FALSE)</f>
        <v>N16</v>
      </c>
      <c r="F56">
        <f>VLOOKUP(B56,Nuclides!A:F,4,FALSE)</f>
        <v>7.13</v>
      </c>
      <c r="G56" s="3" t="str">
        <f t="shared" si="3"/>
        <v>7.13s</v>
      </c>
      <c r="H56" s="3">
        <f t="shared" si="4"/>
        <v>9.7215593346415885E-2</v>
      </c>
      <c r="I56" s="3">
        <f t="shared" si="5"/>
        <v>436800</v>
      </c>
      <c r="J56" s="3">
        <f>I56*EXP(-H56*2*3600)</f>
        <v>4.5172410234573836E-299</v>
      </c>
      <c r="K56" s="3" t="str">
        <f t="shared" si="7"/>
        <v>N16</v>
      </c>
      <c r="L56" s="3" cm="1">
        <f t="array" ref="L56">SUM(($J56*EXP(-$H56*12*3600*_xlfn.SEQUENCE(L$1-1))))+$J56</f>
        <v>4.5172410234573836E-299</v>
      </c>
      <c r="M56" s="3"/>
      <c r="N56" s="3"/>
    </row>
    <row r="57" spans="2:14" hidden="1" x14ac:dyDescent="0.2">
      <c r="B57" s="3">
        <v>7017</v>
      </c>
      <c r="C57" s="3">
        <v>0</v>
      </c>
      <c r="D57">
        <v>54</v>
      </c>
      <c r="E57" t="str">
        <f>VLOOKUP(B57,Nuclides!A:F,5,FALSE)</f>
        <v>N17</v>
      </c>
      <c r="F57">
        <f>VLOOKUP(B57,Nuclides!A:F,4,FALSE)</f>
        <v>4.1710000000000003</v>
      </c>
      <c r="G57" s="3" t="str">
        <f t="shared" si="3"/>
        <v>4.171s</v>
      </c>
      <c r="H57" s="3">
        <f t="shared" si="4"/>
        <v>0.16618249354110412</v>
      </c>
      <c r="I57" s="3">
        <f t="shared" si="5"/>
        <v>0</v>
      </c>
      <c r="J57" s="3">
        <f t="shared" si="6"/>
        <v>0</v>
      </c>
      <c r="K57" s="3" t="str">
        <f t="shared" si="7"/>
        <v>N17</v>
      </c>
      <c r="L57" s="3" cm="1">
        <f t="array" ref="L57">SUM(($J57*EXP(-$H57*12*3600*_xlfn.SEQUENCE(L$1-1))))+$J57</f>
        <v>0</v>
      </c>
      <c r="M57" s="3"/>
      <c r="N57" s="3"/>
    </row>
    <row r="58" spans="2:14" hidden="1" x14ac:dyDescent="0.2">
      <c r="B58" s="3">
        <v>7018</v>
      </c>
      <c r="C58" s="3">
        <v>0</v>
      </c>
      <c r="D58">
        <v>55</v>
      </c>
      <c r="E58" t="str">
        <f>VLOOKUP(B58,Nuclides!A:F,5,FALSE)</f>
        <v>N18</v>
      </c>
      <c r="F58">
        <f>VLOOKUP(B58,Nuclides!A:F,4,FALSE)</f>
        <v>0.61899999999999999</v>
      </c>
      <c r="G58" s="3" t="str">
        <f t="shared" si="3"/>
        <v>0.619s</v>
      </c>
      <c r="H58" s="3">
        <f t="shared" si="4"/>
        <v>1.1197854290144511</v>
      </c>
      <c r="I58" s="3">
        <f t="shared" si="5"/>
        <v>0</v>
      </c>
      <c r="J58" s="3">
        <f t="shared" si="6"/>
        <v>0</v>
      </c>
      <c r="K58" s="3" t="str">
        <f t="shared" si="7"/>
        <v>N18</v>
      </c>
      <c r="L58" s="3" cm="1">
        <f t="array" ref="L58">SUM(($J58*EXP(-$H58*12*3600*_xlfn.SEQUENCE(L$1-1))))+$J58</f>
        <v>0</v>
      </c>
      <c r="M58" s="3"/>
      <c r="N58" s="3"/>
    </row>
    <row r="59" spans="2:14" hidden="1" x14ac:dyDescent="0.2">
      <c r="B59" s="3">
        <v>7019</v>
      </c>
      <c r="C59" s="3">
        <v>0</v>
      </c>
      <c r="D59">
        <v>56</v>
      </c>
      <c r="E59" t="str">
        <f>VLOOKUP(B59,Nuclides!A:F,5,FALSE)</f>
        <v>N19</v>
      </c>
      <c r="F59">
        <f>VLOOKUP(B59,Nuclides!A:F,4,FALSE)</f>
        <v>0.33600000000000002</v>
      </c>
      <c r="G59" s="3" t="str">
        <f t="shared" si="3"/>
        <v>0.336s</v>
      </c>
      <c r="H59" s="3">
        <f t="shared" si="4"/>
        <v>2.0629380373807895</v>
      </c>
      <c r="I59" s="3">
        <f t="shared" si="5"/>
        <v>0</v>
      </c>
      <c r="J59" s="3">
        <f t="shared" si="6"/>
        <v>0</v>
      </c>
      <c r="K59" s="3" t="str">
        <f t="shared" si="7"/>
        <v>N19</v>
      </c>
      <c r="L59" s="3" cm="1">
        <f t="array" ref="L59">SUM(($J59*EXP(-$H59*12*3600*_xlfn.SEQUENCE(L$1-1))))+$J59</f>
        <v>0</v>
      </c>
      <c r="M59" s="3"/>
      <c r="N59" s="3"/>
    </row>
    <row r="60" spans="2:14" hidden="1" x14ac:dyDescent="0.2">
      <c r="B60" s="3">
        <v>7020</v>
      </c>
      <c r="C60" s="3">
        <v>0</v>
      </c>
      <c r="D60">
        <v>57</v>
      </c>
      <c r="E60" t="str">
        <f>VLOOKUP(B60,Nuclides!A:F,5,FALSE)</f>
        <v>N20</v>
      </c>
      <c r="F60">
        <f>VLOOKUP(B60,Nuclides!A:F,4,FALSE)</f>
        <v>0.13600000000000001</v>
      </c>
      <c r="G60" s="3" t="str">
        <f t="shared" si="3"/>
        <v>0.136s</v>
      </c>
      <c r="H60" s="3">
        <f t="shared" si="4"/>
        <v>5.0966704452937153</v>
      </c>
      <c r="I60" s="3">
        <f t="shared" si="5"/>
        <v>0</v>
      </c>
      <c r="J60" s="3">
        <f t="shared" si="6"/>
        <v>0</v>
      </c>
      <c r="K60" s="3" t="str">
        <f t="shared" si="7"/>
        <v>N20</v>
      </c>
      <c r="L60" s="3" cm="1">
        <f t="array" ref="L60">SUM(($J60*EXP(-$H60*12*3600*_xlfn.SEQUENCE(L$1-1))))+$J60</f>
        <v>0</v>
      </c>
      <c r="M60" s="3"/>
      <c r="N60" s="3"/>
    </row>
    <row r="61" spans="2:14" hidden="1" x14ac:dyDescent="0.2">
      <c r="B61" s="3">
        <v>7021</v>
      </c>
      <c r="C61" s="3">
        <v>0</v>
      </c>
      <c r="D61">
        <v>58</v>
      </c>
      <c r="E61" t="str">
        <f>VLOOKUP(B61,Nuclides!A:F,5,FALSE)</f>
        <v>N21</v>
      </c>
      <c r="F61">
        <f>VLOOKUP(B61,Nuclides!A:F,4,FALSE)</f>
        <v>8.48E-2</v>
      </c>
      <c r="G61" s="3" t="str">
        <f t="shared" si="3"/>
        <v>0.0848s</v>
      </c>
      <c r="H61" s="3">
        <f t="shared" si="4"/>
        <v>8.1739054311314305</v>
      </c>
      <c r="I61" s="3">
        <f t="shared" si="5"/>
        <v>0</v>
      </c>
      <c r="J61" s="3">
        <f t="shared" si="6"/>
        <v>0</v>
      </c>
      <c r="K61" s="3" t="str">
        <f t="shared" si="7"/>
        <v>N21</v>
      </c>
      <c r="L61" s="3" cm="1">
        <f t="array" ref="L61">SUM(($J61*EXP(-$H61*12*3600*_xlfn.SEQUENCE(L$1-1))))+$J61</f>
        <v>0</v>
      </c>
      <c r="M61" s="3"/>
      <c r="N61" s="3"/>
    </row>
    <row r="62" spans="2:14" hidden="1" x14ac:dyDescent="0.2">
      <c r="B62" s="3">
        <v>7022</v>
      </c>
      <c r="C62" s="3">
        <v>0</v>
      </c>
      <c r="D62">
        <v>59</v>
      </c>
      <c r="E62" t="str">
        <f>VLOOKUP(B62,Nuclides!A:F,5,FALSE)</f>
        <v>N22</v>
      </c>
      <c r="F62">
        <f>VLOOKUP(B62,Nuclides!A:F,4,FALSE)</f>
        <v>1.95E-2</v>
      </c>
      <c r="G62" s="3" t="str">
        <f t="shared" si="3"/>
        <v>0.0195s</v>
      </c>
      <c r="H62" s="3">
        <f t="shared" si="4"/>
        <v>35.546009259484372</v>
      </c>
      <c r="I62" s="3">
        <f t="shared" si="5"/>
        <v>0</v>
      </c>
      <c r="J62" s="3">
        <f t="shared" si="6"/>
        <v>0</v>
      </c>
      <c r="K62" s="3" t="str">
        <f t="shared" si="7"/>
        <v>N22</v>
      </c>
      <c r="L62" s="3" cm="1">
        <f t="array" ref="L62">SUM(($J62*EXP(-$H62*12*3600*_xlfn.SEQUENCE(L$1-1))))+$J62</f>
        <v>0</v>
      </c>
      <c r="M62" s="3"/>
      <c r="N62" s="3"/>
    </row>
    <row r="63" spans="2:14" hidden="1" x14ac:dyDescent="0.2">
      <c r="B63" s="3">
        <v>7023</v>
      </c>
      <c r="C63" s="3">
        <v>0</v>
      </c>
      <c r="D63">
        <v>60</v>
      </c>
      <c r="E63" t="str">
        <f>VLOOKUP(B63,Nuclides!A:F,5,FALSE)</f>
        <v>N23</v>
      </c>
      <c r="F63">
        <f>VLOOKUP(B63,Nuclides!A:F,4,FALSE)</f>
        <v>1.41E-2</v>
      </c>
      <c r="G63" s="3" t="str">
        <f t="shared" si="3"/>
        <v>0.0141s</v>
      </c>
      <c r="H63" s="3">
        <f t="shared" si="4"/>
        <v>49.159374507797537</v>
      </c>
      <c r="I63" s="3">
        <f t="shared" si="5"/>
        <v>0</v>
      </c>
      <c r="J63" s="3">
        <f t="shared" si="6"/>
        <v>0</v>
      </c>
      <c r="K63" s="3" t="str">
        <f t="shared" si="7"/>
        <v>N23</v>
      </c>
      <c r="L63" s="3" cm="1">
        <f t="array" ref="L63">SUM(($J63*EXP(-$H63*12*3600*_xlfn.SEQUENCE(L$1-1))))+$J63</f>
        <v>0</v>
      </c>
      <c r="M63" s="3"/>
      <c r="N63" s="3"/>
    </row>
    <row r="64" spans="2:14" hidden="1" x14ac:dyDescent="0.2">
      <c r="B64" s="3">
        <v>8013</v>
      </c>
      <c r="C64" s="3">
        <v>0</v>
      </c>
      <c r="D64">
        <v>61</v>
      </c>
      <c r="E64" t="str">
        <f>VLOOKUP(B64,Nuclides!A:F,5,FALSE)</f>
        <v>O13</v>
      </c>
      <c r="F64">
        <f>VLOOKUP(B64,Nuclides!A:F,4,FALSE)</f>
        <v>8.5800000000000008E-3</v>
      </c>
      <c r="G64" s="3" t="str">
        <f t="shared" si="3"/>
        <v>0.00858s</v>
      </c>
      <c r="H64" s="3">
        <f t="shared" si="4"/>
        <v>80.786384680646293</v>
      </c>
      <c r="I64" s="3">
        <f t="shared" si="5"/>
        <v>0</v>
      </c>
      <c r="J64" s="3">
        <f t="shared" si="6"/>
        <v>0</v>
      </c>
      <c r="K64" s="3" t="str">
        <f t="shared" si="7"/>
        <v>O13</v>
      </c>
      <c r="L64" s="3" cm="1">
        <f t="array" ref="L64">SUM(($J64*EXP(-$H64*12*3600*_xlfn.SEQUENCE(L$1-1))))+$J64</f>
        <v>0</v>
      </c>
      <c r="M64" s="3"/>
      <c r="N64" s="3"/>
    </row>
    <row r="65" spans="2:14" hidden="1" x14ac:dyDescent="0.2">
      <c r="B65" s="3">
        <v>8014</v>
      </c>
      <c r="C65" s="3">
        <v>0</v>
      </c>
      <c r="D65">
        <v>62</v>
      </c>
      <c r="E65" t="str">
        <f>VLOOKUP(B65,Nuclides!A:F,5,FALSE)</f>
        <v>O14</v>
      </c>
      <c r="F65">
        <f>VLOOKUP(B65,Nuclides!A:F,4,FALSE)</f>
        <v>70.62</v>
      </c>
      <c r="G65" s="3" t="str">
        <f t="shared" si="3"/>
        <v>1.18min</v>
      </c>
      <c r="H65" s="3">
        <f t="shared" si="4"/>
        <v>9.8151682322280553E-3</v>
      </c>
      <c r="I65" s="3">
        <f t="shared" si="5"/>
        <v>0</v>
      </c>
      <c r="J65" s="3">
        <f t="shared" si="6"/>
        <v>0</v>
      </c>
      <c r="K65" s="3" t="str">
        <f t="shared" si="7"/>
        <v>O14</v>
      </c>
      <c r="L65" s="3" cm="1">
        <f t="array" ref="L65">SUM(($J65*EXP(-$H65*12*3600*_xlfn.SEQUENCE(L$1-1))))+$J65</f>
        <v>0</v>
      </c>
      <c r="M65" s="3"/>
      <c r="N65" s="3"/>
    </row>
    <row r="66" spans="2:14" hidden="1" x14ac:dyDescent="0.2">
      <c r="B66" s="3">
        <v>8015</v>
      </c>
      <c r="C66" s="3">
        <v>0</v>
      </c>
      <c r="D66">
        <v>63</v>
      </c>
      <c r="E66" t="str">
        <f>VLOOKUP(B66,Nuclides!A:F,5,FALSE)</f>
        <v>O15</v>
      </c>
      <c r="F66">
        <f>VLOOKUP(B66,Nuclides!A:F,4,FALSE)</f>
        <v>122.24</v>
      </c>
      <c r="G66" s="3" t="str">
        <f t="shared" si="3"/>
        <v>2.04min</v>
      </c>
      <c r="H66" s="3">
        <f t="shared" si="4"/>
        <v>5.6703794221199715E-3</v>
      </c>
      <c r="I66" s="3">
        <f t="shared" si="5"/>
        <v>0</v>
      </c>
      <c r="J66" s="3">
        <f t="shared" si="6"/>
        <v>0</v>
      </c>
      <c r="K66" s="3" t="str">
        <f t="shared" si="7"/>
        <v>O15</v>
      </c>
      <c r="L66" s="3" cm="1">
        <f t="array" ref="L66">SUM(($J66*EXP(-$H66*12*3600*_xlfn.SEQUENCE(L$1-1))))+$J66</f>
        <v>0</v>
      </c>
      <c r="M66" s="3"/>
      <c r="N66" s="3"/>
    </row>
    <row r="67" spans="2:14" hidden="1" x14ac:dyDescent="0.2">
      <c r="B67" s="3">
        <v>8016</v>
      </c>
      <c r="C67" s="3">
        <v>0</v>
      </c>
      <c r="D67">
        <v>64</v>
      </c>
      <c r="E67" t="str">
        <f>VLOOKUP(B67,Nuclides!A:F,5,FALSE)</f>
        <v>O16</v>
      </c>
      <c r="F67" t="str">
        <f>VLOOKUP(B67,Nuclides!A:F,4,FALSE)</f>
        <v>STABLE</v>
      </c>
      <c r="G67" s="3" t="str">
        <f t="shared" si="3"/>
        <v>STABLE</v>
      </c>
      <c r="H67" s="3" t="e">
        <f t="shared" si="4"/>
        <v>#VALUE!</v>
      </c>
      <c r="I67" s="3" t="e">
        <f t="shared" si="5"/>
        <v>#VALUE!</v>
      </c>
      <c r="J67" s="3" t="e">
        <f t="shared" si="6"/>
        <v>#VALUE!</v>
      </c>
      <c r="K67" s="3" t="str">
        <f t="shared" si="7"/>
        <v>O16</v>
      </c>
      <c r="L67" s="3" t="e" cm="1">
        <f t="array" ref="L67">SUM(($J67*EXP(-$H67*12*3600*_xlfn.SEQUENCE(L$1-1))))+$J67</f>
        <v>#VALUE!</v>
      </c>
      <c r="M67" s="3"/>
      <c r="N67" s="3"/>
    </row>
    <row r="68" spans="2:14" hidden="1" x14ac:dyDescent="0.2">
      <c r="B68" s="3">
        <v>8017</v>
      </c>
      <c r="C68" s="3">
        <v>3.3899800000000002E-8</v>
      </c>
      <c r="D68">
        <v>65</v>
      </c>
      <c r="E68" t="str">
        <f>VLOOKUP(B68,Nuclides!A:F,5,FALSE)</f>
        <v>O17</v>
      </c>
      <c r="F68" t="str">
        <f>VLOOKUP(B68,Nuclides!A:F,4,FALSE)</f>
        <v>STABLE</v>
      </c>
      <c r="G68" s="3" t="str">
        <f t="shared" ref="G68:G131" si="8">IF(F68="STABLE", "STABLE", IF(F68&lt;60, F68&amp;"s", IF(F68&lt;3600, ROUND(F68/60,2)&amp;"min", IF(F68&lt;86400, ROUND(F68/3600,2)&amp;"h", IF(F68&lt;31536000, ROUND(F68/86400,2)&amp;"d", ROUND(F68/31536000,2)&amp;"y")))))</f>
        <v>STABLE</v>
      </c>
      <c r="H68" s="3" t="e">
        <f t="shared" ref="H68:H131" si="9">LN(2)/F68</f>
        <v>#VALUE!</v>
      </c>
      <c r="I68" s="3" t="e">
        <f t="shared" ref="I68:I131" si="10">100*6240000000000*C68*(1-EXP(-H68*2*3600))</f>
        <v>#VALUE!</v>
      </c>
      <c r="J68" s="3" t="e">
        <f t="shared" ref="J68:J131" si="11">I68*EXP(-H68*10*3600)</f>
        <v>#VALUE!</v>
      </c>
      <c r="K68" s="3" t="str">
        <f t="shared" ref="K68:K131" si="12">E68</f>
        <v>O17</v>
      </c>
      <c r="L68" s="3" t="e" cm="1">
        <f t="array" ref="L68">SUM(($J68*EXP(-$H68*12*3600*_xlfn.SEQUENCE(L$1-1))))+$J68</f>
        <v>#VALUE!</v>
      </c>
      <c r="M68" s="3"/>
      <c r="N68" s="3"/>
    </row>
    <row r="69" spans="2:14" hidden="1" x14ac:dyDescent="0.2">
      <c r="B69" s="3">
        <v>8018</v>
      </c>
      <c r="C69" s="3">
        <v>9.9998599999999997E-11</v>
      </c>
      <c r="D69">
        <v>66</v>
      </c>
      <c r="E69" t="str">
        <f>VLOOKUP(B69,Nuclides!A:F,5,FALSE)</f>
        <v>O18</v>
      </c>
      <c r="F69" t="str">
        <f>VLOOKUP(B69,Nuclides!A:F,4,FALSE)</f>
        <v>STABLE</v>
      </c>
      <c r="G69" s="3" t="str">
        <f t="shared" si="8"/>
        <v>STABLE</v>
      </c>
      <c r="H69" s="3" t="e">
        <f t="shared" si="9"/>
        <v>#VALUE!</v>
      </c>
      <c r="I69" s="3" t="e">
        <f t="shared" si="10"/>
        <v>#VALUE!</v>
      </c>
      <c r="J69" s="3" t="e">
        <f t="shared" si="11"/>
        <v>#VALUE!</v>
      </c>
      <c r="K69" s="3" t="str">
        <f t="shared" si="12"/>
        <v>O18</v>
      </c>
      <c r="L69" s="3" t="e" cm="1">
        <f t="array" ref="L69">SUM(($J69*EXP(-$H69*12*3600*_xlfn.SEQUENCE(L$1-1))))+$J69</f>
        <v>#VALUE!</v>
      </c>
      <c r="M69" s="3"/>
      <c r="N69" s="3"/>
    </row>
    <row r="70" spans="2:14" hidden="1" x14ac:dyDescent="0.2">
      <c r="B70" s="3">
        <v>8019</v>
      </c>
      <c r="C70" s="3">
        <v>0</v>
      </c>
      <c r="D70">
        <v>67</v>
      </c>
      <c r="E70" t="str">
        <f>VLOOKUP(B70,Nuclides!A:F,5,FALSE)</f>
        <v>O19</v>
      </c>
      <c r="F70">
        <f>VLOOKUP(B70,Nuclides!A:F,4,FALSE)</f>
        <v>26.88</v>
      </c>
      <c r="G70" s="3" t="str">
        <f t="shared" si="8"/>
        <v>26.88s</v>
      </c>
      <c r="H70" s="3">
        <f t="shared" si="9"/>
        <v>2.578672546725987E-2</v>
      </c>
      <c r="I70" s="3">
        <f t="shared" si="10"/>
        <v>0</v>
      </c>
      <c r="J70" s="3">
        <f t="shared" si="11"/>
        <v>0</v>
      </c>
      <c r="K70" s="3" t="str">
        <f t="shared" si="12"/>
        <v>O19</v>
      </c>
      <c r="L70" s="3" cm="1">
        <f t="array" ref="L70">SUM(($J70*EXP(-$H70*12*3600*_xlfn.SEQUENCE(L$1-1))))+$J70</f>
        <v>0</v>
      </c>
      <c r="M70" s="3"/>
      <c r="N70" s="3"/>
    </row>
    <row r="71" spans="2:14" hidden="1" x14ac:dyDescent="0.2">
      <c r="B71" s="3">
        <v>8020</v>
      </c>
      <c r="C71" s="3">
        <v>0</v>
      </c>
      <c r="D71">
        <v>68</v>
      </c>
      <c r="E71" t="str">
        <f>VLOOKUP(B71,Nuclides!A:F,5,FALSE)</f>
        <v>O20</v>
      </c>
      <c r="F71">
        <f>VLOOKUP(B71,Nuclides!A:F,4,FALSE)</f>
        <v>13.51</v>
      </c>
      <c r="G71" s="3" t="str">
        <f t="shared" si="8"/>
        <v>13.51s</v>
      </c>
      <c r="H71" s="3">
        <f t="shared" si="9"/>
        <v>5.130623098149114E-2</v>
      </c>
      <c r="I71" s="3">
        <f t="shared" si="10"/>
        <v>0</v>
      </c>
      <c r="J71" s="3">
        <f t="shared" si="11"/>
        <v>0</v>
      </c>
      <c r="K71" s="3" t="str">
        <f t="shared" si="12"/>
        <v>O20</v>
      </c>
      <c r="L71" s="3" cm="1">
        <f t="array" ref="L71">SUM(($J71*EXP(-$H71*12*3600*_xlfn.SEQUENCE(L$1-1))))+$J71</f>
        <v>0</v>
      </c>
      <c r="M71" s="3"/>
      <c r="N71" s="3"/>
    </row>
    <row r="72" spans="2:14" hidden="1" x14ac:dyDescent="0.2">
      <c r="B72" s="3">
        <v>8021</v>
      </c>
      <c r="C72" s="3">
        <v>0</v>
      </c>
      <c r="D72">
        <v>69</v>
      </c>
      <c r="E72" t="str">
        <f>VLOOKUP(B72,Nuclides!A:F,5,FALSE)</f>
        <v>O21</v>
      </c>
      <c r="F72">
        <f>VLOOKUP(B72,Nuclides!A:F,4,FALSE)</f>
        <v>3.42</v>
      </c>
      <c r="G72" s="3" t="str">
        <f t="shared" si="8"/>
        <v>3.42s</v>
      </c>
      <c r="H72" s="3">
        <f t="shared" si="9"/>
        <v>0.20267461419881441</v>
      </c>
      <c r="I72" s="3">
        <f t="shared" si="10"/>
        <v>0</v>
      </c>
      <c r="J72" s="3">
        <f t="shared" si="11"/>
        <v>0</v>
      </c>
      <c r="K72" s="3" t="str">
        <f t="shared" si="12"/>
        <v>O21</v>
      </c>
      <c r="L72" s="3" cm="1">
        <f t="array" ref="L72">SUM(($J72*EXP(-$H72*12*3600*_xlfn.SEQUENCE(L$1-1))))+$J72</f>
        <v>0</v>
      </c>
      <c r="M72" s="3"/>
      <c r="N72" s="3"/>
    </row>
    <row r="73" spans="2:14" hidden="1" x14ac:dyDescent="0.2">
      <c r="B73" s="3">
        <v>8022</v>
      </c>
      <c r="C73" s="3">
        <v>0</v>
      </c>
      <c r="D73">
        <v>70</v>
      </c>
      <c r="E73" t="str">
        <f>VLOOKUP(B73,Nuclides!A:F,5,FALSE)</f>
        <v>O22</v>
      </c>
      <c r="F73">
        <f>VLOOKUP(B73,Nuclides!A:F,4,FALSE)</f>
        <v>2.25</v>
      </c>
      <c r="G73" s="3" t="str">
        <f t="shared" si="8"/>
        <v>2.25s</v>
      </c>
      <c r="H73" s="3">
        <f t="shared" si="9"/>
        <v>0.30806541358219791</v>
      </c>
      <c r="I73" s="3">
        <f t="shared" si="10"/>
        <v>0</v>
      </c>
      <c r="J73" s="3">
        <f t="shared" si="11"/>
        <v>0</v>
      </c>
      <c r="K73" s="3" t="str">
        <f t="shared" si="12"/>
        <v>O22</v>
      </c>
      <c r="L73" s="3" cm="1">
        <f t="array" ref="L73">SUM(($J73*EXP(-$H73*12*3600*_xlfn.SEQUENCE(L$1-1))))+$J73</f>
        <v>0</v>
      </c>
      <c r="M73" s="3"/>
      <c r="N73" s="3"/>
    </row>
    <row r="74" spans="2:14" hidden="1" x14ac:dyDescent="0.2">
      <c r="B74" s="3">
        <v>8023</v>
      </c>
      <c r="C74" s="3">
        <v>0</v>
      </c>
      <c r="D74">
        <v>71</v>
      </c>
      <c r="E74" t="str">
        <f>VLOOKUP(B74,Nuclides!A:F,5,FALSE)</f>
        <v>O23</v>
      </c>
      <c r="F74">
        <f>VLOOKUP(B74,Nuclides!A:F,4,FALSE)</f>
        <v>9.7000000000000003E-2</v>
      </c>
      <c r="G74" s="3" t="str">
        <f t="shared" si="8"/>
        <v>0.097s</v>
      </c>
      <c r="H74" s="3">
        <f t="shared" si="9"/>
        <v>7.1458472222674772</v>
      </c>
      <c r="I74" s="3">
        <f t="shared" si="10"/>
        <v>0</v>
      </c>
      <c r="J74" s="3">
        <f t="shared" si="11"/>
        <v>0</v>
      </c>
      <c r="K74" s="3" t="str">
        <f t="shared" si="12"/>
        <v>O23</v>
      </c>
      <c r="L74" s="3" cm="1">
        <f t="array" ref="L74">SUM(($J74*EXP(-$H74*12*3600*_xlfn.SEQUENCE(L$1-1))))+$J74</f>
        <v>0</v>
      </c>
      <c r="M74" s="3"/>
      <c r="N74" s="3"/>
    </row>
    <row r="75" spans="2:14" hidden="1" x14ac:dyDescent="0.2">
      <c r="B75" s="3">
        <v>8024</v>
      </c>
      <c r="C75" s="3">
        <v>0</v>
      </c>
      <c r="D75">
        <v>72</v>
      </c>
      <c r="E75" t="str">
        <f>VLOOKUP(B75,Nuclides!A:F,5,FALSE)</f>
        <v>O24</v>
      </c>
      <c r="F75">
        <f>VLOOKUP(B75,Nuclides!A:F,4,FALSE)</f>
        <v>7.1999999999999995E-2</v>
      </c>
      <c r="G75" s="3" t="str">
        <f t="shared" si="8"/>
        <v>0.072s</v>
      </c>
      <c r="H75" s="3">
        <f t="shared" si="9"/>
        <v>9.6270441744436859</v>
      </c>
      <c r="I75" s="3">
        <f t="shared" si="10"/>
        <v>0</v>
      </c>
      <c r="J75" s="3">
        <f t="shared" si="11"/>
        <v>0</v>
      </c>
      <c r="K75" s="3" t="str">
        <f t="shared" si="12"/>
        <v>O24</v>
      </c>
      <c r="L75" s="3" cm="1">
        <f t="array" ref="L75">SUM(($J75*EXP(-$H75*12*3600*_xlfn.SEQUENCE(L$1-1))))+$J75</f>
        <v>0</v>
      </c>
      <c r="M75" s="3"/>
      <c r="N75" s="3"/>
    </row>
    <row r="76" spans="2:14" hidden="1" x14ac:dyDescent="0.2">
      <c r="B76" s="3">
        <v>9015</v>
      </c>
      <c r="C76" s="3">
        <v>0</v>
      </c>
      <c r="D76">
        <v>73</v>
      </c>
      <c r="E76" t="str">
        <f>VLOOKUP(B76,Nuclides!A:F,5,FALSE)</f>
        <v>F15</v>
      </c>
      <c r="F76">
        <f>VLOOKUP(B76,Nuclides!A:F,4,FALSE)</f>
        <v>6.9045454545454504E-22</v>
      </c>
      <c r="G76" s="3" t="str">
        <f t="shared" si="8"/>
        <v>6.90454545454545E-22s</v>
      </c>
      <c r="H76" s="3">
        <f t="shared" si="9"/>
        <v>1.0038998006793157E+21</v>
      </c>
      <c r="I76" s="3">
        <f t="shared" si="10"/>
        <v>0</v>
      </c>
      <c r="J76" s="3">
        <f t="shared" si="11"/>
        <v>0</v>
      </c>
      <c r="K76" s="3" t="str">
        <f t="shared" si="12"/>
        <v>F15</v>
      </c>
      <c r="L76" s="3" cm="1">
        <f t="array" ref="L76">SUM(($J76*EXP(-$H76*12*3600*_xlfn.SEQUENCE(L$1-1))))+$J76</f>
        <v>0</v>
      </c>
      <c r="M76" s="3"/>
      <c r="N76" s="3"/>
    </row>
    <row r="77" spans="2:14" hidden="1" x14ac:dyDescent="0.2">
      <c r="B77" s="3">
        <v>9016</v>
      </c>
      <c r="C77" s="3">
        <v>0</v>
      </c>
      <c r="D77">
        <v>74</v>
      </c>
      <c r="E77" t="str">
        <f>VLOOKUP(B77,Nuclides!A:F,5,FALSE)</f>
        <v>F16</v>
      </c>
      <c r="F77">
        <f>VLOOKUP(B77,Nuclides!A:F,4,FALSE)</f>
        <v>1.13925E-20</v>
      </c>
      <c r="G77" s="3" t="str">
        <f t="shared" si="8"/>
        <v>1.13925E-20s</v>
      </c>
      <c r="H77" s="3">
        <f t="shared" si="9"/>
        <v>6.0842412162382733E+19</v>
      </c>
      <c r="I77" s="3">
        <f t="shared" si="10"/>
        <v>0</v>
      </c>
      <c r="J77" s="3">
        <f t="shared" si="11"/>
        <v>0</v>
      </c>
      <c r="K77" s="3" t="str">
        <f t="shared" si="12"/>
        <v>F16</v>
      </c>
      <c r="L77" s="3" cm="1">
        <f t="array" ref="L77">SUM(($J77*EXP(-$H77*12*3600*_xlfn.SEQUENCE(L$1-1))))+$J77</f>
        <v>0</v>
      </c>
      <c r="M77" s="3"/>
      <c r="N77" s="3"/>
    </row>
    <row r="78" spans="2:14" hidden="1" x14ac:dyDescent="0.2">
      <c r="B78" s="3">
        <v>9017</v>
      </c>
      <c r="C78" s="3">
        <v>0</v>
      </c>
      <c r="D78">
        <v>75</v>
      </c>
      <c r="E78" t="str">
        <f>VLOOKUP(B78,Nuclides!A:F,5,FALSE)</f>
        <v>F17</v>
      </c>
      <c r="F78">
        <f>VLOOKUP(B78,Nuclides!A:F,4,FALSE)</f>
        <v>64.489999999999995</v>
      </c>
      <c r="G78" s="3" t="str">
        <f t="shared" si="8"/>
        <v>1.07min</v>
      </c>
      <c r="H78" s="3">
        <f t="shared" si="9"/>
        <v>1.0748134293067845E-2</v>
      </c>
      <c r="I78" s="3">
        <f t="shared" si="10"/>
        <v>0</v>
      </c>
      <c r="J78" s="3">
        <f t="shared" si="11"/>
        <v>0</v>
      </c>
      <c r="K78" s="3" t="str">
        <f t="shared" si="12"/>
        <v>F17</v>
      </c>
      <c r="L78" s="3" cm="1">
        <f t="array" ref="L78">SUM(($J78*EXP(-$H78*12*3600*_xlfn.SEQUENCE(L$1-1))))+$J78</f>
        <v>0</v>
      </c>
      <c r="M78" s="3"/>
      <c r="N78" s="3"/>
    </row>
    <row r="79" spans="2:14" hidden="1" x14ac:dyDescent="0.2">
      <c r="B79" s="3">
        <v>9018</v>
      </c>
      <c r="C79" s="3">
        <v>0</v>
      </c>
      <c r="D79">
        <v>76</v>
      </c>
      <c r="E79" t="str">
        <f>VLOOKUP(B79,Nuclides!A:F,5,FALSE)</f>
        <v>F18</v>
      </c>
      <c r="F79">
        <f>VLOOKUP(B79,Nuclides!A:F,4,FALSE)</f>
        <v>6586.2</v>
      </c>
      <c r="G79" s="3" t="str">
        <f t="shared" si="8"/>
        <v>1.83h</v>
      </c>
      <c r="H79" s="3">
        <f t="shared" si="9"/>
        <v>1.0524235227596267E-4</v>
      </c>
      <c r="I79" s="3">
        <f t="shared" si="10"/>
        <v>0</v>
      </c>
      <c r="J79" s="3">
        <f t="shared" si="11"/>
        <v>0</v>
      </c>
      <c r="K79" s="3" t="str">
        <f t="shared" si="12"/>
        <v>F18</v>
      </c>
      <c r="L79" s="3" cm="1">
        <f t="array" ref="L79">SUM(($J79*EXP(-$H79*12*3600*_xlfn.SEQUENCE(L$1-1))))+$J79</f>
        <v>0</v>
      </c>
      <c r="M79" s="3"/>
      <c r="N79" s="3"/>
    </row>
    <row r="80" spans="2:14" hidden="1" x14ac:dyDescent="0.2">
      <c r="B80" s="3">
        <v>9019</v>
      </c>
      <c r="C80" s="3">
        <v>0</v>
      </c>
      <c r="D80">
        <v>77</v>
      </c>
      <c r="E80" t="str">
        <f>VLOOKUP(B80,Nuclides!A:F,5,FALSE)</f>
        <v>F19</v>
      </c>
      <c r="F80" t="str">
        <f>VLOOKUP(B80,Nuclides!A:F,4,FALSE)</f>
        <v>STABLE</v>
      </c>
      <c r="G80" s="3" t="str">
        <f t="shared" si="8"/>
        <v>STABLE</v>
      </c>
      <c r="H80" s="3" t="e">
        <f t="shared" si="9"/>
        <v>#VALUE!</v>
      </c>
      <c r="I80" s="3" t="e">
        <f t="shared" si="10"/>
        <v>#VALUE!</v>
      </c>
      <c r="J80" s="3" t="e">
        <f t="shared" si="11"/>
        <v>#VALUE!</v>
      </c>
      <c r="K80" s="3" t="str">
        <f t="shared" si="12"/>
        <v>F19</v>
      </c>
      <c r="L80" s="3" t="e" cm="1">
        <f t="array" ref="L80">SUM(($J80*EXP(-$H80*12*3600*_xlfn.SEQUENCE(L$1-1))))+$J80</f>
        <v>#VALUE!</v>
      </c>
      <c r="M80" s="3"/>
      <c r="N80" s="3"/>
    </row>
    <row r="81" spans="2:14" hidden="1" x14ac:dyDescent="0.2">
      <c r="B81" s="3">
        <v>9020</v>
      </c>
      <c r="C81" s="3">
        <v>0</v>
      </c>
      <c r="D81">
        <v>78</v>
      </c>
      <c r="E81" t="str">
        <f>VLOOKUP(B81,Nuclides!A:F,5,FALSE)</f>
        <v>F20</v>
      </c>
      <c r="F81">
        <f>VLOOKUP(B81,Nuclides!A:F,4,FALSE)</f>
        <v>11.07</v>
      </c>
      <c r="G81" s="3" t="str">
        <f t="shared" si="8"/>
        <v>11.07s</v>
      </c>
      <c r="H81" s="3">
        <f t="shared" si="9"/>
        <v>6.2614921459796316E-2</v>
      </c>
      <c r="I81" s="3">
        <f t="shared" si="10"/>
        <v>0</v>
      </c>
      <c r="J81" s="3">
        <f t="shared" si="11"/>
        <v>0</v>
      </c>
      <c r="K81" s="3" t="str">
        <f t="shared" si="12"/>
        <v>F20</v>
      </c>
      <c r="L81" s="3" cm="1">
        <f t="array" ref="L81">SUM(($J81*EXP(-$H81*12*3600*_xlfn.SEQUENCE(L$1-1))))+$J81</f>
        <v>0</v>
      </c>
      <c r="M81" s="3"/>
      <c r="N81" s="3"/>
    </row>
    <row r="82" spans="2:14" hidden="1" x14ac:dyDescent="0.2">
      <c r="B82" s="3">
        <v>9021</v>
      </c>
      <c r="C82" s="3">
        <v>0</v>
      </c>
      <c r="D82">
        <v>79</v>
      </c>
      <c r="E82" t="str">
        <f>VLOOKUP(B82,Nuclides!A:F,5,FALSE)</f>
        <v>F21</v>
      </c>
      <c r="F82">
        <f>VLOOKUP(B82,Nuclides!A:F,4,FALSE)</f>
        <v>4.1580000000000004</v>
      </c>
      <c r="G82" s="3" t="str">
        <f t="shared" si="8"/>
        <v>4.158s</v>
      </c>
      <c r="H82" s="3">
        <f t="shared" si="9"/>
        <v>0.16670206362673046</v>
      </c>
      <c r="I82" s="3">
        <f t="shared" si="10"/>
        <v>0</v>
      </c>
      <c r="J82" s="3">
        <f t="shared" si="11"/>
        <v>0</v>
      </c>
      <c r="K82" s="3" t="str">
        <f t="shared" si="12"/>
        <v>F21</v>
      </c>
      <c r="L82" s="3" cm="1">
        <f t="array" ref="L82">SUM(($J82*EXP(-$H82*12*3600*_xlfn.SEQUENCE(L$1-1))))+$J82</f>
        <v>0</v>
      </c>
      <c r="M82" s="3"/>
      <c r="N82" s="3"/>
    </row>
    <row r="83" spans="2:14" hidden="1" x14ac:dyDescent="0.2">
      <c r="B83" s="3">
        <v>9022</v>
      </c>
      <c r="C83" s="3">
        <v>0</v>
      </c>
      <c r="D83">
        <v>80</v>
      </c>
      <c r="E83" t="str">
        <f>VLOOKUP(B83,Nuclides!A:F,5,FALSE)</f>
        <v>F22</v>
      </c>
      <c r="F83">
        <f>VLOOKUP(B83,Nuclides!A:F,4,FALSE)</f>
        <v>4.2300000000000004</v>
      </c>
      <c r="G83" s="3" t="str">
        <f t="shared" si="8"/>
        <v>4.23s</v>
      </c>
      <c r="H83" s="3">
        <f t="shared" si="9"/>
        <v>0.16386458169265844</v>
      </c>
      <c r="I83" s="3">
        <f t="shared" si="10"/>
        <v>0</v>
      </c>
      <c r="J83" s="3">
        <f t="shared" si="11"/>
        <v>0</v>
      </c>
      <c r="K83" s="3" t="str">
        <f t="shared" si="12"/>
        <v>F22</v>
      </c>
      <c r="L83" s="3" cm="1">
        <f t="array" ref="L83">SUM(($J83*EXP(-$H83*12*3600*_xlfn.SEQUENCE(L$1-1))))+$J83</f>
        <v>0</v>
      </c>
      <c r="M83" s="3"/>
      <c r="N83" s="3"/>
    </row>
    <row r="84" spans="2:14" hidden="1" x14ac:dyDescent="0.2">
      <c r="B84" s="3">
        <v>9023</v>
      </c>
      <c r="C84" s="3">
        <v>0</v>
      </c>
      <c r="D84">
        <v>81</v>
      </c>
      <c r="E84" t="str">
        <f>VLOOKUP(B84,Nuclides!A:F,5,FALSE)</f>
        <v>F23</v>
      </c>
      <c r="F84">
        <f>VLOOKUP(B84,Nuclides!A:F,4,FALSE)</f>
        <v>2.23</v>
      </c>
      <c r="G84" s="3" t="str">
        <f t="shared" si="8"/>
        <v>2.23s</v>
      </c>
      <c r="H84" s="3">
        <f t="shared" si="9"/>
        <v>0.31082833208966154</v>
      </c>
      <c r="I84" s="3">
        <f t="shared" si="10"/>
        <v>0</v>
      </c>
      <c r="J84" s="3">
        <f t="shared" si="11"/>
        <v>0</v>
      </c>
      <c r="K84" s="3" t="str">
        <f t="shared" si="12"/>
        <v>F23</v>
      </c>
      <c r="L84" s="3" cm="1">
        <f t="array" ref="L84">SUM(($J84*EXP(-$H84*12*3600*_xlfn.SEQUENCE(L$1-1))))+$J84</f>
        <v>0</v>
      </c>
      <c r="M84" s="3"/>
      <c r="N84" s="3"/>
    </row>
    <row r="85" spans="2:14" hidden="1" x14ac:dyDescent="0.2">
      <c r="B85" s="3">
        <v>9024</v>
      </c>
      <c r="C85" s="3">
        <v>0</v>
      </c>
      <c r="D85">
        <v>82</v>
      </c>
      <c r="E85" t="str">
        <f>VLOOKUP(B85,Nuclides!A:F,5,FALSE)</f>
        <v>F24</v>
      </c>
      <c r="F85">
        <f>VLOOKUP(B85,Nuclides!A:F,4,FALSE)</f>
        <v>0.38200000000000001</v>
      </c>
      <c r="G85" s="3" t="str">
        <f t="shared" si="8"/>
        <v>0.382s</v>
      </c>
      <c r="H85" s="3">
        <f t="shared" si="9"/>
        <v>1.8145214150783908</v>
      </c>
      <c r="I85" s="3">
        <f t="shared" si="10"/>
        <v>0</v>
      </c>
      <c r="J85" s="3">
        <f t="shared" si="11"/>
        <v>0</v>
      </c>
      <c r="K85" s="3" t="str">
        <f t="shared" si="12"/>
        <v>F24</v>
      </c>
      <c r="L85" s="3" cm="1">
        <f t="array" ref="L85">SUM(($J85*EXP(-$H85*12*3600*_xlfn.SEQUENCE(L$1-1))))+$J85</f>
        <v>0</v>
      </c>
      <c r="M85" s="3"/>
      <c r="N85" s="3"/>
    </row>
    <row r="86" spans="2:14" hidden="1" x14ac:dyDescent="0.2">
      <c r="B86" s="3">
        <v>9025</v>
      </c>
      <c r="C86" s="3">
        <v>0</v>
      </c>
      <c r="D86">
        <v>83</v>
      </c>
      <c r="E86" t="str">
        <f>VLOOKUP(B86,Nuclides!A:F,5,FALSE)</f>
        <v>F25</v>
      </c>
      <c r="F86">
        <f>VLOOKUP(B86,Nuclides!A:F,4,FALSE)</f>
        <v>0.08</v>
      </c>
      <c r="G86" s="3" t="str">
        <f t="shared" si="8"/>
        <v>0.08s</v>
      </c>
      <c r="H86" s="3">
        <f t="shared" si="9"/>
        <v>8.6643397569993166</v>
      </c>
      <c r="I86" s="3">
        <f t="shared" si="10"/>
        <v>0</v>
      </c>
      <c r="J86" s="3">
        <f t="shared" si="11"/>
        <v>0</v>
      </c>
      <c r="K86" s="3" t="str">
        <f t="shared" si="12"/>
        <v>F25</v>
      </c>
      <c r="L86" s="3" cm="1">
        <f t="array" ref="L86">SUM(($J86*EXP(-$H86*12*3600*_xlfn.SEQUENCE(L$1-1))))+$J86</f>
        <v>0</v>
      </c>
      <c r="M86" s="3"/>
      <c r="N86" s="3"/>
    </row>
    <row r="87" spans="2:14" hidden="1" x14ac:dyDescent="0.2">
      <c r="B87" s="3">
        <v>9026</v>
      </c>
      <c r="C87" s="3">
        <v>0</v>
      </c>
      <c r="D87">
        <v>84</v>
      </c>
      <c r="E87" t="str">
        <f>VLOOKUP(B87,Nuclides!A:F,5,FALSE)</f>
        <v>F26</v>
      </c>
      <c r="F87">
        <f>VLOOKUP(B87,Nuclides!A:F,4,FALSE)</f>
        <v>8.1999999999999903E-3</v>
      </c>
      <c r="G87" s="3" t="str">
        <f t="shared" si="8"/>
        <v>0.00819999999999999s</v>
      </c>
      <c r="H87" s="3">
        <f t="shared" si="9"/>
        <v>84.530143970725135</v>
      </c>
      <c r="I87" s="3">
        <f t="shared" si="10"/>
        <v>0</v>
      </c>
      <c r="J87" s="3">
        <f t="shared" si="11"/>
        <v>0</v>
      </c>
      <c r="K87" s="3" t="str">
        <f t="shared" si="12"/>
        <v>F26</v>
      </c>
      <c r="L87" s="3" cm="1">
        <f t="array" ref="L87">SUM(($J87*EXP(-$H87*12*3600*_xlfn.SEQUENCE(L$1-1))))+$J87</f>
        <v>0</v>
      </c>
      <c r="M87" s="3"/>
      <c r="N87" s="3"/>
    </row>
    <row r="88" spans="2:14" hidden="1" x14ac:dyDescent="0.2">
      <c r="B88" s="3">
        <v>9027</v>
      </c>
      <c r="C88" s="3">
        <v>0</v>
      </c>
      <c r="D88">
        <v>85</v>
      </c>
      <c r="E88" t="str">
        <f>VLOOKUP(B88,Nuclides!A:F,5,FALSE)</f>
        <v>F27</v>
      </c>
      <c r="F88">
        <f>VLOOKUP(B88,Nuclides!A:F,4,FALSE)</f>
        <v>5.0000000000000001E-3</v>
      </c>
      <c r="G88" s="3" t="str">
        <f t="shared" si="8"/>
        <v>0.005s</v>
      </c>
      <c r="H88" s="3">
        <f t="shared" si="9"/>
        <v>138.62943611198907</v>
      </c>
      <c r="I88" s="3">
        <f t="shared" si="10"/>
        <v>0</v>
      </c>
      <c r="J88" s="3">
        <f t="shared" si="11"/>
        <v>0</v>
      </c>
      <c r="K88" s="3" t="str">
        <f t="shared" si="12"/>
        <v>F27</v>
      </c>
      <c r="L88" s="3" cm="1">
        <f t="array" ref="L88">SUM(($J88*EXP(-$H88*12*3600*_xlfn.SEQUENCE(L$1-1))))+$J88</f>
        <v>0</v>
      </c>
      <c r="M88" s="3"/>
      <c r="N88" s="3"/>
    </row>
    <row r="89" spans="2:14" hidden="1" x14ac:dyDescent="0.2">
      <c r="B89" s="3">
        <v>10017</v>
      </c>
      <c r="C89" s="3">
        <v>0</v>
      </c>
      <c r="D89">
        <v>86</v>
      </c>
      <c r="E89" t="str">
        <f>VLOOKUP(B89,Nuclides!A:F,5,FALSE)</f>
        <v>Ne17</v>
      </c>
      <c r="F89">
        <f>VLOOKUP(B89,Nuclides!A:F,4,FALSE)</f>
        <v>0.10920000000000001</v>
      </c>
      <c r="G89" s="3" t="str">
        <f t="shared" si="8"/>
        <v>0.1092s</v>
      </c>
      <c r="H89" s="3">
        <f t="shared" si="9"/>
        <v>6.3475016534793518</v>
      </c>
      <c r="I89" s="3">
        <f t="shared" si="10"/>
        <v>0</v>
      </c>
      <c r="J89" s="3">
        <f t="shared" si="11"/>
        <v>0</v>
      </c>
      <c r="K89" s="3" t="str">
        <f t="shared" si="12"/>
        <v>Ne17</v>
      </c>
      <c r="L89" s="3" cm="1">
        <f t="array" ref="L89">SUM(($J89*EXP(-$H89*12*3600*_xlfn.SEQUENCE(L$1-1))))+$J89</f>
        <v>0</v>
      </c>
      <c r="M89" s="3"/>
      <c r="N89" s="3"/>
    </row>
    <row r="90" spans="2:14" hidden="1" x14ac:dyDescent="0.2">
      <c r="B90" s="3">
        <v>10018</v>
      </c>
      <c r="C90" s="3">
        <v>0</v>
      </c>
      <c r="D90">
        <v>87</v>
      </c>
      <c r="E90" t="str">
        <f>VLOOKUP(B90,Nuclides!A:F,5,FALSE)</f>
        <v>Ne18</v>
      </c>
      <c r="F90">
        <f>VLOOKUP(B90,Nuclides!A:F,4,FALSE)</f>
        <v>1.667</v>
      </c>
      <c r="G90" s="3" t="str">
        <f t="shared" si="8"/>
        <v>1.667s</v>
      </c>
      <c r="H90" s="3">
        <f t="shared" si="9"/>
        <v>0.41580514730650586</v>
      </c>
      <c r="I90" s="3">
        <f t="shared" si="10"/>
        <v>0</v>
      </c>
      <c r="J90" s="3">
        <f t="shared" si="11"/>
        <v>0</v>
      </c>
      <c r="K90" s="3" t="str">
        <f t="shared" si="12"/>
        <v>Ne18</v>
      </c>
      <c r="L90" s="3" cm="1">
        <f t="array" ref="L90">SUM(($J90*EXP(-$H90*12*3600*_xlfn.SEQUENCE(L$1-1))))+$J90</f>
        <v>0</v>
      </c>
      <c r="M90" s="3"/>
      <c r="N90" s="3"/>
    </row>
    <row r="91" spans="2:14" hidden="1" x14ac:dyDescent="0.2">
      <c r="B91" s="3">
        <v>10019</v>
      </c>
      <c r="C91" s="3">
        <v>0</v>
      </c>
      <c r="D91">
        <v>88</v>
      </c>
      <c r="E91" t="str">
        <f>VLOOKUP(B91,Nuclides!A:F,5,FALSE)</f>
        <v>Ne19</v>
      </c>
      <c r="F91">
        <f>VLOOKUP(B91,Nuclides!A:F,4,FALSE)</f>
        <v>17.22</v>
      </c>
      <c r="G91" s="3" t="str">
        <f t="shared" si="8"/>
        <v>17.22s</v>
      </c>
      <c r="H91" s="3">
        <f t="shared" si="9"/>
        <v>4.0252449509869066E-2</v>
      </c>
      <c r="I91" s="3">
        <f t="shared" si="10"/>
        <v>0</v>
      </c>
      <c r="J91" s="3">
        <f t="shared" si="11"/>
        <v>0</v>
      </c>
      <c r="K91" s="3" t="str">
        <f t="shared" si="12"/>
        <v>Ne19</v>
      </c>
      <c r="L91" s="3" cm="1">
        <f t="array" ref="L91">SUM(($J91*EXP(-$H91*12*3600*_xlfn.SEQUENCE(L$1-1))))+$J91</f>
        <v>0</v>
      </c>
      <c r="M91" s="3"/>
      <c r="N91" s="3"/>
    </row>
    <row r="92" spans="2:14" hidden="1" x14ac:dyDescent="0.2">
      <c r="B92" s="3">
        <v>10020</v>
      </c>
      <c r="C92" s="3">
        <v>0</v>
      </c>
      <c r="D92">
        <v>89</v>
      </c>
      <c r="E92" t="str">
        <f>VLOOKUP(B92,Nuclides!A:F,5,FALSE)</f>
        <v>Ne20</v>
      </c>
      <c r="F92" t="str">
        <f>VLOOKUP(B92,Nuclides!A:F,4,FALSE)</f>
        <v>STABLE</v>
      </c>
      <c r="G92" s="3" t="str">
        <f t="shared" si="8"/>
        <v>STABLE</v>
      </c>
      <c r="H92" s="3" t="e">
        <f t="shared" si="9"/>
        <v>#VALUE!</v>
      </c>
      <c r="I92" s="3" t="e">
        <f t="shared" si="10"/>
        <v>#VALUE!</v>
      </c>
      <c r="J92" s="3" t="e">
        <f t="shared" si="11"/>
        <v>#VALUE!</v>
      </c>
      <c r="K92" s="3" t="str">
        <f t="shared" si="12"/>
        <v>Ne20</v>
      </c>
      <c r="L92" s="3" t="e" cm="1">
        <f t="array" ref="L92">SUM(($J92*EXP(-$H92*12*3600*_xlfn.SEQUENCE(L$1-1))))+$J92</f>
        <v>#VALUE!</v>
      </c>
      <c r="M92" s="3"/>
      <c r="N92" s="3"/>
    </row>
    <row r="93" spans="2:14" hidden="1" x14ac:dyDescent="0.2">
      <c r="B93" s="3">
        <v>10021</v>
      </c>
      <c r="C93" s="3">
        <v>0</v>
      </c>
      <c r="D93">
        <v>90</v>
      </c>
      <c r="E93" t="str">
        <f>VLOOKUP(B93,Nuclides!A:F,5,FALSE)</f>
        <v>Ne21</v>
      </c>
      <c r="F93" t="str">
        <f>VLOOKUP(B93,Nuclides!A:F,4,FALSE)</f>
        <v>STABLE</v>
      </c>
      <c r="G93" s="3" t="str">
        <f t="shared" si="8"/>
        <v>STABLE</v>
      </c>
      <c r="H93" s="3" t="e">
        <f t="shared" si="9"/>
        <v>#VALUE!</v>
      </c>
      <c r="I93" s="3" t="e">
        <f t="shared" si="10"/>
        <v>#VALUE!</v>
      </c>
      <c r="J93" s="3" t="e">
        <f t="shared" si="11"/>
        <v>#VALUE!</v>
      </c>
      <c r="K93" s="3" t="str">
        <f t="shared" si="12"/>
        <v>Ne21</v>
      </c>
      <c r="L93" s="3" t="e" cm="1">
        <f t="array" ref="L93">SUM(($J93*EXP(-$H93*12*3600*_xlfn.SEQUENCE(L$1-1))))+$J93</f>
        <v>#VALUE!</v>
      </c>
      <c r="M93" s="3"/>
      <c r="N93" s="3"/>
    </row>
    <row r="94" spans="2:14" hidden="1" x14ac:dyDescent="0.2">
      <c r="B94" s="3">
        <v>10022</v>
      </c>
      <c r="C94" s="3">
        <v>0</v>
      </c>
      <c r="D94">
        <v>91</v>
      </c>
      <c r="E94" t="str">
        <f>VLOOKUP(B94,Nuclides!A:F,5,FALSE)</f>
        <v>Ne22</v>
      </c>
      <c r="F94" t="str">
        <f>VLOOKUP(B94,Nuclides!A:F,4,FALSE)</f>
        <v>STABLE</v>
      </c>
      <c r="G94" s="3" t="str">
        <f t="shared" si="8"/>
        <v>STABLE</v>
      </c>
      <c r="H94" s="3" t="e">
        <f t="shared" si="9"/>
        <v>#VALUE!</v>
      </c>
      <c r="I94" s="3" t="e">
        <f t="shared" si="10"/>
        <v>#VALUE!</v>
      </c>
      <c r="J94" s="3" t="e">
        <f t="shared" si="11"/>
        <v>#VALUE!</v>
      </c>
      <c r="K94" s="3" t="str">
        <f t="shared" si="12"/>
        <v>Ne22</v>
      </c>
      <c r="L94" s="3" t="e" cm="1">
        <f t="array" ref="L94">SUM(($J94*EXP(-$H94*12*3600*_xlfn.SEQUENCE(L$1-1))))+$J94</f>
        <v>#VALUE!</v>
      </c>
      <c r="M94" s="3"/>
      <c r="N94" s="3"/>
    </row>
    <row r="95" spans="2:14" hidden="1" x14ac:dyDescent="0.2">
      <c r="B95" s="3">
        <v>10023</v>
      </c>
      <c r="C95" s="3">
        <v>0</v>
      </c>
      <c r="D95">
        <v>92</v>
      </c>
      <c r="E95" t="str">
        <f>VLOOKUP(B95,Nuclides!A:F,5,FALSE)</f>
        <v>Ne23</v>
      </c>
      <c r="F95">
        <f>VLOOKUP(B95,Nuclides!A:F,4,FALSE)</f>
        <v>37.24</v>
      </c>
      <c r="G95" s="3" t="str">
        <f t="shared" si="8"/>
        <v>37.24s</v>
      </c>
      <c r="H95" s="3">
        <f t="shared" si="9"/>
        <v>1.8612974773360505E-2</v>
      </c>
      <c r="I95" s="3">
        <f t="shared" si="10"/>
        <v>0</v>
      </c>
      <c r="J95" s="3">
        <f t="shared" si="11"/>
        <v>0</v>
      </c>
      <c r="K95" s="3" t="str">
        <f t="shared" si="12"/>
        <v>Ne23</v>
      </c>
      <c r="L95" s="3" cm="1">
        <f t="array" ref="L95">SUM(($J95*EXP(-$H95*12*3600*_xlfn.SEQUENCE(L$1-1))))+$J95</f>
        <v>0</v>
      </c>
      <c r="M95" s="3"/>
      <c r="N95" s="3"/>
    </row>
    <row r="96" spans="2:14" hidden="1" x14ac:dyDescent="0.2">
      <c r="B96" s="3">
        <v>10024</v>
      </c>
      <c r="C96" s="3">
        <v>0</v>
      </c>
      <c r="D96">
        <v>93</v>
      </c>
      <c r="E96" t="str">
        <f>VLOOKUP(B96,Nuclides!A:F,5,FALSE)</f>
        <v>Ne24</v>
      </c>
      <c r="F96">
        <f>VLOOKUP(B96,Nuclides!A:F,4,FALSE)</f>
        <v>202.79999999999899</v>
      </c>
      <c r="G96" s="3" t="str">
        <f t="shared" si="8"/>
        <v>3.38min</v>
      </c>
      <c r="H96" s="3">
        <f t="shared" si="9"/>
        <v>3.4178855057196682E-3</v>
      </c>
      <c r="I96" s="3">
        <f t="shared" si="10"/>
        <v>0</v>
      </c>
      <c r="J96" s="3">
        <f t="shared" si="11"/>
        <v>0</v>
      </c>
      <c r="K96" s="3" t="str">
        <f t="shared" si="12"/>
        <v>Ne24</v>
      </c>
      <c r="L96" s="3" cm="1">
        <f t="array" ref="L96">SUM(($J96*EXP(-$H96*12*3600*_xlfn.SEQUENCE(L$1-1))))+$J96</f>
        <v>0</v>
      </c>
      <c r="M96" s="3"/>
      <c r="N96" s="3"/>
    </row>
    <row r="97" spans="2:14" hidden="1" x14ac:dyDescent="0.2">
      <c r="B97" s="3">
        <v>10025</v>
      </c>
      <c r="C97" s="3">
        <v>0</v>
      </c>
      <c r="D97">
        <v>94</v>
      </c>
      <c r="E97" t="str">
        <f>VLOOKUP(B97,Nuclides!A:F,5,FALSE)</f>
        <v>Ne25</v>
      </c>
      <c r="F97">
        <f>VLOOKUP(B97,Nuclides!A:F,4,FALSE)</f>
        <v>0.60199999999999998</v>
      </c>
      <c r="G97" s="3" t="str">
        <f t="shared" si="8"/>
        <v>0.602s</v>
      </c>
      <c r="H97" s="3">
        <f t="shared" si="9"/>
        <v>1.15140727667765</v>
      </c>
      <c r="I97" s="3">
        <f t="shared" si="10"/>
        <v>0</v>
      </c>
      <c r="J97" s="3">
        <f t="shared" si="11"/>
        <v>0</v>
      </c>
      <c r="K97" s="3" t="str">
        <f t="shared" si="12"/>
        <v>Ne25</v>
      </c>
      <c r="L97" s="3" cm="1">
        <f t="array" ref="L97">SUM(($J97*EXP(-$H97*12*3600*_xlfn.SEQUENCE(L$1-1))))+$J97</f>
        <v>0</v>
      </c>
      <c r="M97" s="3"/>
      <c r="N97" s="3"/>
    </row>
    <row r="98" spans="2:14" hidden="1" x14ac:dyDescent="0.2">
      <c r="B98" s="3">
        <v>10026</v>
      </c>
      <c r="C98" s="3">
        <v>0</v>
      </c>
      <c r="D98">
        <v>95</v>
      </c>
      <c r="E98" t="str">
        <f>VLOOKUP(B98,Nuclides!A:F,5,FALSE)</f>
        <v>Ne26</v>
      </c>
      <c r="F98">
        <f>VLOOKUP(B98,Nuclides!A:F,4,FALSE)</f>
        <v>0.19700000000000001</v>
      </c>
      <c r="G98" s="3" t="str">
        <f t="shared" si="8"/>
        <v>0.197s</v>
      </c>
      <c r="H98" s="3">
        <f t="shared" si="9"/>
        <v>3.5185136069032752</v>
      </c>
      <c r="I98" s="3">
        <f t="shared" si="10"/>
        <v>0</v>
      </c>
      <c r="J98" s="3">
        <f t="shared" si="11"/>
        <v>0</v>
      </c>
      <c r="K98" s="3" t="str">
        <f t="shared" si="12"/>
        <v>Ne26</v>
      </c>
      <c r="L98" s="3" cm="1">
        <f t="array" ref="L98">SUM(($J98*EXP(-$H98*12*3600*_xlfn.SEQUENCE(L$1-1))))+$J98</f>
        <v>0</v>
      </c>
      <c r="M98" s="3"/>
      <c r="N98" s="3"/>
    </row>
    <row r="99" spans="2:14" hidden="1" x14ac:dyDescent="0.2">
      <c r="B99" s="3">
        <v>10027</v>
      </c>
      <c r="C99" s="3">
        <v>0</v>
      </c>
      <c r="D99">
        <v>96</v>
      </c>
      <c r="E99" t="str">
        <f>VLOOKUP(B99,Nuclides!A:F,5,FALSE)</f>
        <v>Ne27</v>
      </c>
      <c r="F99">
        <f>VLOOKUP(B99,Nuclides!A:F,4,FALSE)</f>
        <v>3.15E-2</v>
      </c>
      <c r="G99" s="3" t="str">
        <f t="shared" si="8"/>
        <v>0.0315s</v>
      </c>
      <c r="H99" s="3">
        <f t="shared" si="9"/>
        <v>22.00467239872842</v>
      </c>
      <c r="I99" s="3">
        <f t="shared" si="10"/>
        <v>0</v>
      </c>
      <c r="J99" s="3">
        <f t="shared" si="11"/>
        <v>0</v>
      </c>
      <c r="K99" s="3" t="str">
        <f t="shared" si="12"/>
        <v>Ne27</v>
      </c>
      <c r="L99" s="3" cm="1">
        <f t="array" ref="L99">SUM(($J99*EXP(-$H99*12*3600*_xlfn.SEQUENCE(L$1-1))))+$J99</f>
        <v>0</v>
      </c>
      <c r="M99" s="3"/>
      <c r="N99" s="3"/>
    </row>
    <row r="100" spans="2:14" hidden="1" x14ac:dyDescent="0.2">
      <c r="B100" s="3">
        <v>10028</v>
      </c>
      <c r="C100" s="3">
        <v>0</v>
      </c>
      <c r="D100">
        <v>97</v>
      </c>
      <c r="E100" t="str">
        <f>VLOOKUP(B100,Nuclides!A:F,5,FALSE)</f>
        <v>Ne28</v>
      </c>
      <c r="F100">
        <f>VLOOKUP(B100,Nuclides!A:F,4,FALSE)</f>
        <v>0.02</v>
      </c>
      <c r="G100" s="3" t="str">
        <f t="shared" si="8"/>
        <v>0.02s</v>
      </c>
      <c r="H100" s="3">
        <f t="shared" si="9"/>
        <v>34.657359027997266</v>
      </c>
      <c r="I100" s="3">
        <f t="shared" si="10"/>
        <v>0</v>
      </c>
      <c r="J100" s="3">
        <f t="shared" si="11"/>
        <v>0</v>
      </c>
      <c r="K100" s="3" t="str">
        <f t="shared" si="12"/>
        <v>Ne28</v>
      </c>
      <c r="L100" s="3" cm="1">
        <f t="array" ref="L100">SUM(($J100*EXP(-$H100*12*3600*_xlfn.SEQUENCE(L$1-1))))+$J100</f>
        <v>0</v>
      </c>
      <c r="M100" s="3"/>
      <c r="N100" s="3"/>
    </row>
    <row r="101" spans="2:14" hidden="1" x14ac:dyDescent="0.2">
      <c r="B101" s="3">
        <v>11019</v>
      </c>
      <c r="C101" s="3">
        <v>0</v>
      </c>
      <c r="D101">
        <v>98</v>
      </c>
      <c r="E101" t="e">
        <f>VLOOKUP(B101,Nuclides!A:F,5,FALSE)</f>
        <v>#N/A</v>
      </c>
      <c r="F101" t="e">
        <f>VLOOKUP(B101,Nuclides!A:F,4,FALSE)</f>
        <v>#N/A</v>
      </c>
      <c r="G101" s="3" t="e">
        <f t="shared" si="8"/>
        <v>#N/A</v>
      </c>
      <c r="H101" s="3" t="e">
        <f t="shared" si="9"/>
        <v>#N/A</v>
      </c>
      <c r="I101" s="3" t="e">
        <f t="shared" si="10"/>
        <v>#N/A</v>
      </c>
      <c r="J101" s="3" t="e">
        <f t="shared" si="11"/>
        <v>#N/A</v>
      </c>
      <c r="K101" s="3" t="e">
        <f t="shared" si="12"/>
        <v>#N/A</v>
      </c>
      <c r="L101" s="3" t="e" cm="1">
        <f t="array" ref="L101">SUM(($J101*EXP(-$H101*12*3600*_xlfn.SEQUENCE(L$1-1))))+$J101</f>
        <v>#N/A</v>
      </c>
      <c r="M101" s="3"/>
      <c r="N101" s="3"/>
    </row>
    <row r="102" spans="2:14" hidden="1" x14ac:dyDescent="0.2">
      <c r="B102" s="3">
        <v>11020</v>
      </c>
      <c r="C102" s="3">
        <v>0</v>
      </c>
      <c r="D102">
        <v>99</v>
      </c>
      <c r="E102" t="str">
        <f>VLOOKUP(B102,Nuclides!A:F,5,FALSE)</f>
        <v>Na20</v>
      </c>
      <c r="F102">
        <f>VLOOKUP(B102,Nuclides!A:F,4,FALSE)</f>
        <v>0.44789999999999902</v>
      </c>
      <c r="G102" s="3" t="str">
        <f t="shared" si="8"/>
        <v>0.447899999999999s</v>
      </c>
      <c r="H102" s="3">
        <f t="shared" si="9"/>
        <v>1.5475489630719956</v>
      </c>
      <c r="I102" s="3">
        <f t="shared" si="10"/>
        <v>0</v>
      </c>
      <c r="J102" s="3">
        <f t="shared" si="11"/>
        <v>0</v>
      </c>
      <c r="K102" s="3" t="str">
        <f t="shared" si="12"/>
        <v>Na20</v>
      </c>
      <c r="L102" s="3" cm="1">
        <f t="array" ref="L102">SUM(($J102*EXP(-$H102*12*3600*_xlfn.SEQUENCE(L$1-1))))+$J102</f>
        <v>0</v>
      </c>
      <c r="M102" s="3"/>
      <c r="N102" s="3"/>
    </row>
    <row r="103" spans="2:14" hidden="1" x14ac:dyDescent="0.2">
      <c r="B103" s="3">
        <v>11021</v>
      </c>
      <c r="C103" s="3">
        <v>0</v>
      </c>
      <c r="D103">
        <v>100</v>
      </c>
      <c r="E103" t="str">
        <f>VLOOKUP(B103,Nuclides!A:F,5,FALSE)</f>
        <v>Na21</v>
      </c>
      <c r="F103">
        <f>VLOOKUP(B103,Nuclides!A:F,4,FALSE)</f>
        <v>22.49</v>
      </c>
      <c r="G103" s="3" t="str">
        <f t="shared" si="8"/>
        <v>22.49s</v>
      </c>
      <c r="H103" s="3">
        <f t="shared" si="9"/>
        <v>3.0820239242327494E-2</v>
      </c>
      <c r="I103" s="3">
        <f t="shared" si="10"/>
        <v>0</v>
      </c>
      <c r="J103" s="3">
        <f t="shared" si="11"/>
        <v>0</v>
      </c>
      <c r="K103" s="3" t="str">
        <f t="shared" si="12"/>
        <v>Na21</v>
      </c>
      <c r="L103" s="3" cm="1">
        <f t="array" ref="L103">SUM(($J103*EXP(-$H103*12*3600*_xlfn.SEQUENCE(L$1-1))))+$J103</f>
        <v>0</v>
      </c>
      <c r="M103" s="3"/>
      <c r="N103" s="3"/>
    </row>
    <row r="104" spans="2:14" hidden="1" x14ac:dyDescent="0.2">
      <c r="B104" s="3">
        <v>11022</v>
      </c>
      <c r="C104" s="3">
        <v>0</v>
      </c>
      <c r="D104">
        <v>101</v>
      </c>
      <c r="E104" t="str">
        <f>VLOOKUP(B104,Nuclides!A:F,5,FALSE)</f>
        <v>Na22</v>
      </c>
      <c r="F104">
        <f>VLOOKUP(B104,Nuclides!A:F,4,FALSE)</f>
        <v>82106563.679999903</v>
      </c>
      <c r="G104" s="3" t="str">
        <f t="shared" si="8"/>
        <v>2.6y</v>
      </c>
      <c r="H104" s="3">
        <f t="shared" si="9"/>
        <v>8.4420434797563818E-9</v>
      </c>
      <c r="I104" s="3">
        <f t="shared" si="10"/>
        <v>0</v>
      </c>
      <c r="J104" s="3">
        <f t="shared" si="11"/>
        <v>0</v>
      </c>
      <c r="K104" s="3" t="str">
        <f t="shared" si="12"/>
        <v>Na22</v>
      </c>
      <c r="L104" s="3" cm="1">
        <f t="array" ref="L104">SUM(($J104*EXP(-$H104*12*3600*_xlfn.SEQUENCE(L$1-1))))+$J104</f>
        <v>0</v>
      </c>
      <c r="M104" s="3"/>
      <c r="N104" s="3"/>
    </row>
    <row r="105" spans="2:14" hidden="1" x14ac:dyDescent="0.2">
      <c r="B105" s="3">
        <v>11023</v>
      </c>
      <c r="C105" s="3">
        <v>0</v>
      </c>
      <c r="D105">
        <v>102</v>
      </c>
      <c r="E105" t="str">
        <f>VLOOKUP(B105,Nuclides!A:F,5,FALSE)</f>
        <v>Na23</v>
      </c>
      <c r="F105" t="str">
        <f>VLOOKUP(B105,Nuclides!A:F,4,FALSE)</f>
        <v>STABLE</v>
      </c>
      <c r="G105" s="3" t="str">
        <f t="shared" si="8"/>
        <v>STABLE</v>
      </c>
      <c r="H105" s="3" t="e">
        <f t="shared" si="9"/>
        <v>#VALUE!</v>
      </c>
      <c r="I105" s="3" t="e">
        <f t="shared" si="10"/>
        <v>#VALUE!</v>
      </c>
      <c r="J105" s="3" t="e">
        <f t="shared" si="11"/>
        <v>#VALUE!</v>
      </c>
      <c r="K105" s="3" t="str">
        <f t="shared" si="12"/>
        <v>Na23</v>
      </c>
      <c r="L105" s="3" t="e" cm="1">
        <f t="array" ref="L105">SUM(($J105*EXP(-$H105*12*3600*_xlfn.SEQUENCE(L$1-1))))+$J105</f>
        <v>#VALUE!</v>
      </c>
      <c r="M105" s="3"/>
      <c r="N105" s="3"/>
    </row>
    <row r="106" spans="2:14" hidden="1" x14ac:dyDescent="0.2">
      <c r="B106" s="3">
        <v>11024</v>
      </c>
      <c r="C106" s="3">
        <v>0</v>
      </c>
      <c r="D106">
        <v>103</v>
      </c>
      <c r="E106" t="str">
        <f>VLOOKUP(B106,Nuclides!A:F,5,FALSE)</f>
        <v>Na24</v>
      </c>
      <c r="F106">
        <f>VLOOKUP(B106,Nuclides!A:F,4,FALSE)</f>
        <v>53989.2</v>
      </c>
      <c r="G106" s="3" t="str">
        <f t="shared" si="8"/>
        <v>15h</v>
      </c>
      <c r="H106" s="3">
        <f t="shared" si="9"/>
        <v>1.2838626624583163E-5</v>
      </c>
      <c r="I106" s="3">
        <f t="shared" si="10"/>
        <v>0</v>
      </c>
      <c r="J106" s="3">
        <f t="shared" si="11"/>
        <v>0</v>
      </c>
      <c r="K106" s="3" t="str">
        <f t="shared" si="12"/>
        <v>Na24</v>
      </c>
      <c r="L106" s="3" cm="1">
        <f t="array" ref="L106">SUM(($J106*EXP(-$H106*12*3600*_xlfn.SEQUENCE(L$1-1))))+$J106</f>
        <v>0</v>
      </c>
      <c r="M106" s="3"/>
      <c r="N106" s="3"/>
    </row>
    <row r="107" spans="2:14" hidden="1" x14ac:dyDescent="0.2">
      <c r="B107" s="3">
        <v>11025</v>
      </c>
      <c r="C107" s="3">
        <v>0</v>
      </c>
      <c r="D107">
        <v>104</v>
      </c>
      <c r="E107" t="str">
        <f>VLOOKUP(B107,Nuclides!A:F,5,FALSE)</f>
        <v>Na25</v>
      </c>
      <c r="F107">
        <f>VLOOKUP(B107,Nuclides!A:F,4,FALSE)</f>
        <v>59.1</v>
      </c>
      <c r="G107" s="3" t="str">
        <f t="shared" si="8"/>
        <v>59.1s</v>
      </c>
      <c r="H107" s="3">
        <f t="shared" si="9"/>
        <v>1.1728378689677585E-2</v>
      </c>
      <c r="I107" s="3">
        <f t="shared" si="10"/>
        <v>0</v>
      </c>
      <c r="J107" s="3">
        <f t="shared" si="11"/>
        <v>0</v>
      </c>
      <c r="K107" s="3" t="str">
        <f t="shared" si="12"/>
        <v>Na25</v>
      </c>
      <c r="L107" s="3" cm="1">
        <f t="array" ref="L107">SUM(($J107*EXP(-$H107*12*3600*_xlfn.SEQUENCE(L$1-1))))+$J107</f>
        <v>0</v>
      </c>
      <c r="M107" s="3"/>
      <c r="N107" s="3"/>
    </row>
    <row r="108" spans="2:14" hidden="1" x14ac:dyDescent="0.2">
      <c r="B108" s="3">
        <v>11026</v>
      </c>
      <c r="C108" s="3">
        <v>0</v>
      </c>
      <c r="D108">
        <v>105</v>
      </c>
      <c r="E108" t="str">
        <f>VLOOKUP(B108,Nuclides!A:F,5,FALSE)</f>
        <v>Na26</v>
      </c>
      <c r="F108">
        <f>VLOOKUP(B108,Nuclides!A:F,4,FALSE)</f>
        <v>1.07128</v>
      </c>
      <c r="G108" s="3" t="str">
        <f t="shared" si="8"/>
        <v>1.07128s</v>
      </c>
      <c r="H108" s="3">
        <f t="shared" si="9"/>
        <v>0.64702708961237521</v>
      </c>
      <c r="I108" s="3">
        <f t="shared" si="10"/>
        <v>0</v>
      </c>
      <c r="J108" s="3">
        <f t="shared" si="11"/>
        <v>0</v>
      </c>
      <c r="K108" s="3" t="str">
        <f t="shared" si="12"/>
        <v>Na26</v>
      </c>
      <c r="L108" s="3" cm="1">
        <f t="array" ref="L108">SUM(($J108*EXP(-$H108*12*3600*_xlfn.SEQUENCE(L$1-1))))+$J108</f>
        <v>0</v>
      </c>
      <c r="M108" s="3"/>
      <c r="N108" s="3"/>
    </row>
    <row r="109" spans="2:14" hidden="1" x14ac:dyDescent="0.2">
      <c r="B109" s="3">
        <v>11027</v>
      </c>
      <c r="C109" s="3">
        <v>0</v>
      </c>
      <c r="D109">
        <v>106</v>
      </c>
      <c r="E109" t="str">
        <f>VLOOKUP(B109,Nuclides!A:F,5,FALSE)</f>
        <v>Na27</v>
      </c>
      <c r="F109">
        <f>VLOOKUP(B109,Nuclides!A:F,4,FALSE)</f>
        <v>0.30099999999999999</v>
      </c>
      <c r="G109" s="3" t="str">
        <f t="shared" si="8"/>
        <v>0.301s</v>
      </c>
      <c r="H109" s="3">
        <f t="shared" si="9"/>
        <v>2.3028145533552999</v>
      </c>
      <c r="I109" s="3">
        <f t="shared" si="10"/>
        <v>0</v>
      </c>
      <c r="J109" s="3">
        <f t="shared" si="11"/>
        <v>0</v>
      </c>
      <c r="K109" s="3" t="str">
        <f t="shared" si="12"/>
        <v>Na27</v>
      </c>
      <c r="L109" s="3" cm="1">
        <f t="array" ref="L109">SUM(($J109*EXP(-$H109*12*3600*_xlfn.SEQUENCE(L$1-1))))+$J109</f>
        <v>0</v>
      </c>
      <c r="M109" s="3"/>
      <c r="N109" s="3"/>
    </row>
    <row r="110" spans="2:14" hidden="1" x14ac:dyDescent="0.2">
      <c r="B110" s="3">
        <v>11028</v>
      </c>
      <c r="C110" s="3">
        <v>0</v>
      </c>
      <c r="D110">
        <v>107</v>
      </c>
      <c r="E110" t="str">
        <f>VLOOKUP(B110,Nuclides!A:F,5,FALSE)</f>
        <v>Na28</v>
      </c>
      <c r="F110">
        <f>VLOOKUP(B110,Nuclides!A:F,4,FALSE)</f>
        <v>3.0499999999999999E-2</v>
      </c>
      <c r="G110" s="3" t="str">
        <f t="shared" si="8"/>
        <v>0.0305s</v>
      </c>
      <c r="H110" s="3">
        <f t="shared" si="9"/>
        <v>22.726137067539192</v>
      </c>
      <c r="I110" s="3">
        <f t="shared" si="10"/>
        <v>0</v>
      </c>
      <c r="J110" s="3">
        <f t="shared" si="11"/>
        <v>0</v>
      </c>
      <c r="K110" s="3" t="str">
        <f t="shared" si="12"/>
        <v>Na28</v>
      </c>
      <c r="L110" s="3" cm="1">
        <f t="array" ref="L110">SUM(($J110*EXP(-$H110*12*3600*_xlfn.SEQUENCE(L$1-1))))+$J110</f>
        <v>0</v>
      </c>
      <c r="M110" s="3"/>
      <c r="N110" s="3"/>
    </row>
    <row r="111" spans="2:14" hidden="1" x14ac:dyDescent="0.2">
      <c r="B111" s="3">
        <v>11029</v>
      </c>
      <c r="C111" s="3">
        <v>0</v>
      </c>
      <c r="D111">
        <v>108</v>
      </c>
      <c r="E111" t="str">
        <f>VLOOKUP(B111,Nuclides!A:F,5,FALSE)</f>
        <v>Na29</v>
      </c>
      <c r="F111">
        <f>VLOOKUP(B111,Nuclides!A:F,4,FALSE)</f>
        <v>4.41E-2</v>
      </c>
      <c r="G111" s="3" t="str">
        <f t="shared" si="8"/>
        <v>0.0441s</v>
      </c>
      <c r="H111" s="3">
        <f t="shared" si="9"/>
        <v>15.717623141948872</v>
      </c>
      <c r="I111" s="3">
        <f t="shared" si="10"/>
        <v>0</v>
      </c>
      <c r="J111" s="3">
        <f t="shared" si="11"/>
        <v>0</v>
      </c>
      <c r="K111" s="3" t="str">
        <f t="shared" si="12"/>
        <v>Na29</v>
      </c>
      <c r="L111" s="3" cm="1">
        <f t="array" ref="L111">SUM(($J111*EXP(-$H111*12*3600*_xlfn.SEQUENCE(L$1-1))))+$J111</f>
        <v>0</v>
      </c>
      <c r="M111" s="3"/>
      <c r="N111" s="3"/>
    </row>
    <row r="112" spans="2:14" hidden="1" x14ac:dyDescent="0.2">
      <c r="B112" s="3">
        <v>11030</v>
      </c>
      <c r="C112" s="3">
        <v>0</v>
      </c>
      <c r="D112">
        <v>109</v>
      </c>
      <c r="E112" t="str">
        <f>VLOOKUP(B112,Nuclides!A:F,5,FALSE)</f>
        <v>Na30</v>
      </c>
      <c r="F112">
        <f>VLOOKUP(B112,Nuclides!A:F,4,FALSE)</f>
        <v>4.8000000000000001E-2</v>
      </c>
      <c r="G112" s="3" t="str">
        <f t="shared" si="8"/>
        <v>0.048s</v>
      </c>
      <c r="H112" s="3">
        <f t="shared" si="9"/>
        <v>14.440566261665527</v>
      </c>
      <c r="I112" s="3">
        <f t="shared" si="10"/>
        <v>0</v>
      </c>
      <c r="J112" s="3">
        <f t="shared" si="11"/>
        <v>0</v>
      </c>
      <c r="K112" s="3" t="str">
        <f t="shared" si="12"/>
        <v>Na30</v>
      </c>
      <c r="L112" s="3" cm="1">
        <f t="array" ref="L112">SUM(($J112*EXP(-$H112*12*3600*_xlfn.SEQUENCE(L$1-1))))+$J112</f>
        <v>0</v>
      </c>
      <c r="M112" s="3"/>
      <c r="N112" s="3"/>
    </row>
    <row r="113" spans="2:14" hidden="1" x14ac:dyDescent="0.2">
      <c r="B113" s="3">
        <v>11031</v>
      </c>
      <c r="C113" s="3">
        <v>0</v>
      </c>
      <c r="D113">
        <v>110</v>
      </c>
      <c r="E113" t="str">
        <f>VLOOKUP(B113,Nuclides!A:F,5,FALSE)</f>
        <v>Na31</v>
      </c>
      <c r="F113">
        <f>VLOOKUP(B113,Nuclides!A:F,4,FALSE)</f>
        <v>1.7399999999999999E-2</v>
      </c>
      <c r="G113" s="3" t="str">
        <f t="shared" si="8"/>
        <v>0.0174s</v>
      </c>
      <c r="H113" s="3">
        <f t="shared" si="9"/>
        <v>39.836044859766972</v>
      </c>
      <c r="I113" s="3">
        <f t="shared" si="10"/>
        <v>0</v>
      </c>
      <c r="J113" s="3">
        <f t="shared" si="11"/>
        <v>0</v>
      </c>
      <c r="K113" s="3" t="str">
        <f t="shared" si="12"/>
        <v>Na31</v>
      </c>
      <c r="L113" s="3" cm="1">
        <f t="array" ref="L113">SUM(($J113*EXP(-$H113*12*3600*_xlfn.SEQUENCE(L$1-1))))+$J113</f>
        <v>0</v>
      </c>
      <c r="M113" s="3"/>
      <c r="N113" s="3"/>
    </row>
    <row r="114" spans="2:14" hidden="1" x14ac:dyDescent="0.2">
      <c r="B114" s="3">
        <v>11032</v>
      </c>
      <c r="C114" s="3">
        <v>0</v>
      </c>
      <c r="D114">
        <v>111</v>
      </c>
      <c r="E114" t="str">
        <f>VLOOKUP(B114,Nuclides!A:F,5,FALSE)</f>
        <v>Na32</v>
      </c>
      <c r="F114">
        <f>VLOOKUP(B114,Nuclides!A:F,4,FALSE)</f>
        <v>1.32E-2</v>
      </c>
      <c r="G114" s="3" t="str">
        <f t="shared" si="8"/>
        <v>0.0132s</v>
      </c>
      <c r="H114" s="3">
        <f t="shared" si="9"/>
        <v>52.511150042420098</v>
      </c>
      <c r="I114" s="3">
        <f t="shared" si="10"/>
        <v>0</v>
      </c>
      <c r="J114" s="3">
        <f t="shared" si="11"/>
        <v>0</v>
      </c>
      <c r="K114" s="3" t="str">
        <f t="shared" si="12"/>
        <v>Na32</v>
      </c>
      <c r="L114" s="3" cm="1">
        <f t="array" ref="L114">SUM(($J114*EXP(-$H114*12*3600*_xlfn.SEQUENCE(L$1-1))))+$J114</f>
        <v>0</v>
      </c>
      <c r="M114" s="3"/>
      <c r="N114" s="3"/>
    </row>
    <row r="115" spans="2:14" hidden="1" x14ac:dyDescent="0.2">
      <c r="B115" s="3">
        <v>11033</v>
      </c>
      <c r="C115" s="3">
        <v>0</v>
      </c>
      <c r="D115">
        <v>112</v>
      </c>
      <c r="E115" t="str">
        <f>VLOOKUP(B115,Nuclides!A:F,5,FALSE)</f>
        <v>Na33</v>
      </c>
      <c r="F115">
        <f>VLOOKUP(B115,Nuclides!A:F,4,FALSE)</f>
        <v>8.0999999999999996E-3</v>
      </c>
      <c r="G115" s="3" t="str">
        <f t="shared" si="8"/>
        <v>0.0081s</v>
      </c>
      <c r="H115" s="3">
        <f t="shared" si="9"/>
        <v>85.573725995054971</v>
      </c>
      <c r="I115" s="3">
        <f t="shared" si="10"/>
        <v>0</v>
      </c>
      <c r="J115" s="3">
        <f t="shared" si="11"/>
        <v>0</v>
      </c>
      <c r="K115" s="3" t="str">
        <f t="shared" si="12"/>
        <v>Na33</v>
      </c>
      <c r="L115" s="3" cm="1">
        <f t="array" ref="L115">SUM(($J115*EXP(-$H115*12*3600*_xlfn.SEQUENCE(L$1-1))))+$J115</f>
        <v>0</v>
      </c>
      <c r="M115" s="3"/>
      <c r="N115" s="3"/>
    </row>
    <row r="116" spans="2:14" hidden="1" x14ac:dyDescent="0.2">
      <c r="B116" s="3">
        <v>11034</v>
      </c>
      <c r="C116" s="3">
        <v>0</v>
      </c>
      <c r="D116">
        <v>113</v>
      </c>
      <c r="E116" t="str">
        <f>VLOOKUP(B116,Nuclides!A:F,5,FALSE)</f>
        <v>Na34</v>
      </c>
      <c r="F116">
        <f>VLOOKUP(B116,Nuclides!A:F,4,FALSE)</f>
        <v>5.0000000000000001E-3</v>
      </c>
      <c r="G116" s="3" t="str">
        <f t="shared" si="8"/>
        <v>0.005s</v>
      </c>
      <c r="H116" s="3">
        <f t="shared" si="9"/>
        <v>138.62943611198907</v>
      </c>
      <c r="I116" s="3">
        <f t="shared" si="10"/>
        <v>0</v>
      </c>
      <c r="J116" s="3">
        <f t="shared" si="11"/>
        <v>0</v>
      </c>
      <c r="K116" s="3" t="str">
        <f t="shared" si="12"/>
        <v>Na34</v>
      </c>
      <c r="L116" s="3" cm="1">
        <f t="array" ref="L116">SUM(($J116*EXP(-$H116*12*3600*_xlfn.SEQUENCE(L$1-1))))+$J116</f>
        <v>0</v>
      </c>
      <c r="M116" s="3"/>
      <c r="N116" s="3"/>
    </row>
    <row r="117" spans="2:14" hidden="1" x14ac:dyDescent="0.2">
      <c r="B117" s="3">
        <v>11035</v>
      </c>
      <c r="C117" s="3">
        <v>0</v>
      </c>
      <c r="D117">
        <v>114</v>
      </c>
      <c r="E117" t="str">
        <f>VLOOKUP(B117,Nuclides!A:F,5,FALSE)</f>
        <v>Na35</v>
      </c>
      <c r="F117">
        <f>VLOOKUP(B117,Nuclides!A:F,4,FALSE)</f>
        <v>1.8E-3</v>
      </c>
      <c r="G117" s="3" t="str">
        <f t="shared" si="8"/>
        <v>0.0018s</v>
      </c>
      <c r="H117" s="3">
        <f t="shared" si="9"/>
        <v>385.08176697774741</v>
      </c>
      <c r="I117" s="3">
        <f t="shared" si="10"/>
        <v>0</v>
      </c>
      <c r="J117" s="3">
        <f t="shared" si="11"/>
        <v>0</v>
      </c>
      <c r="K117" s="3" t="str">
        <f t="shared" si="12"/>
        <v>Na35</v>
      </c>
      <c r="L117" s="3" cm="1">
        <f t="array" ref="L117">SUM(($J117*EXP(-$H117*12*3600*_xlfn.SEQUENCE(L$1-1))))+$J117</f>
        <v>0</v>
      </c>
      <c r="M117" s="3"/>
      <c r="N117" s="3"/>
    </row>
    <row r="118" spans="2:14" hidden="1" x14ac:dyDescent="0.2">
      <c r="B118" s="3">
        <v>12020</v>
      </c>
      <c r="C118" s="3">
        <v>0</v>
      </c>
      <c r="D118">
        <v>115</v>
      </c>
      <c r="E118" t="str">
        <f>VLOOKUP(B118,Nuclides!A:F,5,FALSE)</f>
        <v>Mg20</v>
      </c>
      <c r="F118">
        <f>VLOOKUP(B118,Nuclides!A:F,4,FALSE)</f>
        <v>9.0800000000000006E-2</v>
      </c>
      <c r="G118" s="3" t="str">
        <f t="shared" si="8"/>
        <v>0.0908s</v>
      </c>
      <c r="H118" s="3">
        <f t="shared" si="9"/>
        <v>7.6337795215852999</v>
      </c>
      <c r="I118" s="3">
        <f t="shared" si="10"/>
        <v>0</v>
      </c>
      <c r="J118" s="3">
        <f t="shared" si="11"/>
        <v>0</v>
      </c>
      <c r="K118" s="3" t="str">
        <f t="shared" si="12"/>
        <v>Mg20</v>
      </c>
      <c r="L118" s="3" cm="1">
        <f t="array" ref="L118">SUM(($J118*EXP(-$H118*12*3600*_xlfn.SEQUENCE(L$1-1))))+$J118</f>
        <v>0</v>
      </c>
      <c r="M118" s="3"/>
      <c r="N118" s="3"/>
    </row>
    <row r="119" spans="2:14" hidden="1" x14ac:dyDescent="0.2">
      <c r="B119" s="3">
        <v>12021</v>
      </c>
      <c r="C119" s="3">
        <v>0</v>
      </c>
      <c r="D119">
        <v>116</v>
      </c>
      <c r="E119" t="str">
        <f>VLOOKUP(B119,Nuclides!A:F,5,FALSE)</f>
        <v>Mg21</v>
      </c>
      <c r="F119">
        <f>VLOOKUP(B119,Nuclides!A:F,4,FALSE)</f>
        <v>0.122</v>
      </c>
      <c r="G119" s="3" t="str">
        <f t="shared" si="8"/>
        <v>0.122s</v>
      </c>
      <c r="H119" s="3">
        <f t="shared" si="9"/>
        <v>5.6815342668847979</v>
      </c>
      <c r="I119" s="3">
        <f t="shared" si="10"/>
        <v>0</v>
      </c>
      <c r="J119" s="3">
        <f t="shared" si="11"/>
        <v>0</v>
      </c>
      <c r="K119" s="3" t="str">
        <f t="shared" si="12"/>
        <v>Mg21</v>
      </c>
      <c r="L119" s="3" cm="1">
        <f t="array" ref="L119">SUM(($J119*EXP(-$H119*12*3600*_xlfn.SEQUENCE(L$1-1))))+$J119</f>
        <v>0</v>
      </c>
      <c r="M119" s="3"/>
      <c r="N119" s="3"/>
    </row>
    <row r="120" spans="2:14" hidden="1" x14ac:dyDescent="0.2">
      <c r="B120" s="3">
        <v>12022</v>
      </c>
      <c r="C120" s="3">
        <v>0</v>
      </c>
      <c r="D120">
        <v>117</v>
      </c>
      <c r="E120" t="str">
        <f>VLOOKUP(B120,Nuclides!A:F,5,FALSE)</f>
        <v>Mg22</v>
      </c>
      <c r="F120">
        <f>VLOOKUP(B120,Nuclides!A:F,4,FALSE)</f>
        <v>3.8755000000000002</v>
      </c>
      <c r="G120" s="3" t="str">
        <f t="shared" si="8"/>
        <v>3.8755s</v>
      </c>
      <c r="H120" s="3">
        <f t="shared" si="9"/>
        <v>0.17885361387174437</v>
      </c>
      <c r="I120" s="3">
        <f t="shared" si="10"/>
        <v>0</v>
      </c>
      <c r="J120" s="3">
        <f t="shared" si="11"/>
        <v>0</v>
      </c>
      <c r="K120" s="3" t="str">
        <f t="shared" si="12"/>
        <v>Mg22</v>
      </c>
      <c r="L120" s="3" cm="1">
        <f t="array" ref="L120">SUM(($J120*EXP(-$H120*12*3600*_xlfn.SEQUENCE(L$1-1))))+$J120</f>
        <v>0</v>
      </c>
      <c r="M120" s="3"/>
      <c r="N120" s="3"/>
    </row>
    <row r="121" spans="2:14" hidden="1" x14ac:dyDescent="0.2">
      <c r="B121" s="3">
        <v>12023</v>
      </c>
      <c r="C121" s="3">
        <v>0</v>
      </c>
      <c r="D121">
        <v>118</v>
      </c>
      <c r="E121" t="str">
        <f>VLOOKUP(B121,Nuclides!A:F,5,FALSE)</f>
        <v>Mg23</v>
      </c>
      <c r="F121">
        <f>VLOOKUP(B121,Nuclides!A:F,4,FALSE)</f>
        <v>11.317</v>
      </c>
      <c r="G121" s="3" t="str">
        <f t="shared" si="8"/>
        <v>11.317s</v>
      </c>
      <c r="H121" s="3">
        <f t="shared" si="9"/>
        <v>6.1248314973928186E-2</v>
      </c>
      <c r="I121" s="3">
        <f t="shared" si="10"/>
        <v>0</v>
      </c>
      <c r="J121" s="3">
        <f t="shared" si="11"/>
        <v>0</v>
      </c>
      <c r="K121" s="3" t="str">
        <f t="shared" si="12"/>
        <v>Mg23</v>
      </c>
      <c r="L121" s="3" cm="1">
        <f t="array" ref="L121">SUM(($J121*EXP(-$H121*12*3600*_xlfn.SEQUENCE(L$1-1))))+$J121</f>
        <v>0</v>
      </c>
      <c r="M121" s="3"/>
      <c r="N121" s="3"/>
    </row>
    <row r="122" spans="2:14" hidden="1" x14ac:dyDescent="0.2">
      <c r="B122" s="3">
        <v>12024</v>
      </c>
      <c r="C122" s="3">
        <v>0</v>
      </c>
      <c r="D122">
        <v>119</v>
      </c>
      <c r="E122" t="str">
        <f>VLOOKUP(B122,Nuclides!A:F,5,FALSE)</f>
        <v>Mg24</v>
      </c>
      <c r="F122" t="str">
        <f>VLOOKUP(B122,Nuclides!A:F,4,FALSE)</f>
        <v>STABLE</v>
      </c>
      <c r="G122" s="3" t="str">
        <f t="shared" si="8"/>
        <v>STABLE</v>
      </c>
      <c r="H122" s="3" t="e">
        <f t="shared" si="9"/>
        <v>#VALUE!</v>
      </c>
      <c r="I122" s="3" t="e">
        <f t="shared" si="10"/>
        <v>#VALUE!</v>
      </c>
      <c r="J122" s="3" t="e">
        <f t="shared" si="11"/>
        <v>#VALUE!</v>
      </c>
      <c r="K122" s="3" t="str">
        <f t="shared" si="12"/>
        <v>Mg24</v>
      </c>
      <c r="L122" s="3" t="e" cm="1">
        <f t="array" ref="L122">SUM(($J122*EXP(-$H122*12*3600*_xlfn.SEQUENCE(L$1-1))))+$J122</f>
        <v>#VALUE!</v>
      </c>
      <c r="M122" s="3"/>
      <c r="N122" s="3"/>
    </row>
    <row r="123" spans="2:14" hidden="1" x14ac:dyDescent="0.2">
      <c r="B123" s="3">
        <v>12025</v>
      </c>
      <c r="C123" s="3">
        <v>0</v>
      </c>
      <c r="D123">
        <v>120</v>
      </c>
      <c r="E123" t="str">
        <f>VLOOKUP(B123,Nuclides!A:F,5,FALSE)</f>
        <v>Mg25</v>
      </c>
      <c r="F123" t="str">
        <f>VLOOKUP(B123,Nuclides!A:F,4,FALSE)</f>
        <v>STABLE</v>
      </c>
      <c r="G123" s="3" t="str">
        <f t="shared" si="8"/>
        <v>STABLE</v>
      </c>
      <c r="H123" s="3" t="e">
        <f t="shared" si="9"/>
        <v>#VALUE!</v>
      </c>
      <c r="I123" s="3" t="e">
        <f t="shared" si="10"/>
        <v>#VALUE!</v>
      </c>
      <c r="J123" s="3" t="e">
        <f t="shared" si="11"/>
        <v>#VALUE!</v>
      </c>
      <c r="K123" s="3" t="str">
        <f t="shared" si="12"/>
        <v>Mg25</v>
      </c>
      <c r="L123" s="3" t="e" cm="1">
        <f t="array" ref="L123">SUM(($J123*EXP(-$H123*12*3600*_xlfn.SEQUENCE(L$1-1))))+$J123</f>
        <v>#VALUE!</v>
      </c>
      <c r="M123" s="3"/>
      <c r="N123" s="3"/>
    </row>
    <row r="124" spans="2:14" hidden="1" x14ac:dyDescent="0.2">
      <c r="B124" s="3">
        <v>12026</v>
      </c>
      <c r="C124" s="3">
        <v>0</v>
      </c>
      <c r="D124">
        <v>121</v>
      </c>
      <c r="E124" t="str">
        <f>VLOOKUP(B124,Nuclides!A:F,5,FALSE)</f>
        <v>Mg26</v>
      </c>
      <c r="F124" t="str">
        <f>VLOOKUP(B124,Nuclides!A:F,4,FALSE)</f>
        <v>STABLE</v>
      </c>
      <c r="G124" s="3" t="str">
        <f t="shared" si="8"/>
        <v>STABLE</v>
      </c>
      <c r="H124" s="3" t="e">
        <f t="shared" si="9"/>
        <v>#VALUE!</v>
      </c>
      <c r="I124" s="3" t="e">
        <f t="shared" si="10"/>
        <v>#VALUE!</v>
      </c>
      <c r="J124" s="3" t="e">
        <f t="shared" si="11"/>
        <v>#VALUE!</v>
      </c>
      <c r="K124" s="3" t="str">
        <f t="shared" si="12"/>
        <v>Mg26</v>
      </c>
      <c r="L124" s="3" t="e" cm="1">
        <f t="array" ref="L124">SUM(($J124*EXP(-$H124*12*3600*_xlfn.SEQUENCE(L$1-1))))+$J124</f>
        <v>#VALUE!</v>
      </c>
      <c r="M124" s="3"/>
      <c r="N124" s="3"/>
    </row>
    <row r="125" spans="2:14" hidden="1" x14ac:dyDescent="0.2">
      <c r="B125" s="3">
        <v>12027</v>
      </c>
      <c r="C125" s="3">
        <v>0</v>
      </c>
      <c r="D125">
        <v>122</v>
      </c>
      <c r="E125" t="str">
        <f>VLOOKUP(B125,Nuclides!A:F,5,FALSE)</f>
        <v>Mg27</v>
      </c>
      <c r="F125">
        <f>VLOOKUP(B125,Nuclides!A:F,4,FALSE)</f>
        <v>567.48</v>
      </c>
      <c r="G125" s="3" t="str">
        <f t="shared" si="8"/>
        <v>9.46min</v>
      </c>
      <c r="H125" s="3">
        <f t="shared" si="9"/>
        <v>1.2214477700710955E-3</v>
      </c>
      <c r="I125" s="3">
        <f t="shared" si="10"/>
        <v>0</v>
      </c>
      <c r="J125" s="3">
        <f t="shared" si="11"/>
        <v>0</v>
      </c>
      <c r="K125" s="3" t="str">
        <f t="shared" si="12"/>
        <v>Mg27</v>
      </c>
      <c r="L125" s="3" cm="1">
        <f t="array" ref="L125">SUM(($J125*EXP(-$H125*12*3600*_xlfn.SEQUENCE(L$1-1))))+$J125</f>
        <v>0</v>
      </c>
      <c r="M125" s="3"/>
      <c r="N125" s="3"/>
    </row>
    <row r="126" spans="2:14" hidden="1" x14ac:dyDescent="0.2">
      <c r="B126" s="3">
        <v>12028</v>
      </c>
      <c r="C126" s="3">
        <v>0</v>
      </c>
      <c r="D126">
        <v>123</v>
      </c>
      <c r="E126" t="str">
        <f>VLOOKUP(B126,Nuclides!A:F,5,FALSE)</f>
        <v>Mg28</v>
      </c>
      <c r="F126">
        <f>VLOOKUP(B126,Nuclides!A:F,4,FALSE)</f>
        <v>75294</v>
      </c>
      <c r="G126" s="3" t="str">
        <f t="shared" si="8"/>
        <v>20.92h</v>
      </c>
      <c r="H126" s="3">
        <f t="shared" si="9"/>
        <v>9.2058753759920479E-6</v>
      </c>
      <c r="I126" s="3">
        <f t="shared" si="10"/>
        <v>0</v>
      </c>
      <c r="J126" s="3">
        <f t="shared" si="11"/>
        <v>0</v>
      </c>
      <c r="K126" s="3" t="str">
        <f t="shared" si="12"/>
        <v>Mg28</v>
      </c>
      <c r="L126" s="3" cm="1">
        <f t="array" ref="L126">SUM(($J126*EXP(-$H126*12*3600*_xlfn.SEQUENCE(L$1-1))))+$J126</f>
        <v>0</v>
      </c>
      <c r="M126" s="3"/>
      <c r="N126" s="3"/>
    </row>
    <row r="127" spans="2:14" hidden="1" x14ac:dyDescent="0.2">
      <c r="B127" s="3">
        <v>12029</v>
      </c>
      <c r="C127" s="3">
        <v>0</v>
      </c>
      <c r="D127">
        <v>124</v>
      </c>
      <c r="E127" t="str">
        <f>VLOOKUP(B127,Nuclides!A:F,5,FALSE)</f>
        <v>Mg29</v>
      </c>
      <c r="F127">
        <f>VLOOKUP(B127,Nuclides!A:F,4,FALSE)</f>
        <v>1.3</v>
      </c>
      <c r="G127" s="3" t="str">
        <f t="shared" si="8"/>
        <v>1.3s</v>
      </c>
      <c r="H127" s="3">
        <f t="shared" si="9"/>
        <v>0.53319013889226563</v>
      </c>
      <c r="I127" s="3">
        <f t="shared" si="10"/>
        <v>0</v>
      </c>
      <c r="J127" s="3">
        <f t="shared" si="11"/>
        <v>0</v>
      </c>
      <c r="K127" s="3" t="str">
        <f t="shared" si="12"/>
        <v>Mg29</v>
      </c>
      <c r="L127" s="3" cm="1">
        <f t="array" ref="L127">SUM(($J127*EXP(-$H127*12*3600*_xlfn.SEQUENCE(L$1-1))))+$J127</f>
        <v>0</v>
      </c>
      <c r="M127" s="3"/>
      <c r="N127" s="3"/>
    </row>
    <row r="128" spans="2:14" hidden="1" x14ac:dyDescent="0.2">
      <c r="B128" s="3">
        <v>12030</v>
      </c>
      <c r="C128" s="3">
        <v>0</v>
      </c>
      <c r="D128">
        <v>125</v>
      </c>
      <c r="E128" t="str">
        <f>VLOOKUP(B128,Nuclides!A:F,5,FALSE)</f>
        <v>Mg30</v>
      </c>
      <c r="F128">
        <f>VLOOKUP(B128,Nuclides!A:F,4,FALSE)</f>
        <v>0.317</v>
      </c>
      <c r="G128" s="3" t="str">
        <f t="shared" si="8"/>
        <v>0.317s</v>
      </c>
      <c r="H128" s="3">
        <f t="shared" si="9"/>
        <v>2.186584165804244</v>
      </c>
      <c r="I128" s="3">
        <f t="shared" si="10"/>
        <v>0</v>
      </c>
      <c r="J128" s="3">
        <f t="shared" si="11"/>
        <v>0</v>
      </c>
      <c r="K128" s="3" t="str">
        <f t="shared" si="12"/>
        <v>Mg30</v>
      </c>
      <c r="L128" s="3" cm="1">
        <f t="array" ref="L128">SUM(($J128*EXP(-$H128*12*3600*_xlfn.SEQUENCE(L$1-1))))+$J128</f>
        <v>0</v>
      </c>
      <c r="M128" s="3"/>
      <c r="N128" s="3"/>
    </row>
    <row r="129" spans="2:14" hidden="1" x14ac:dyDescent="0.2">
      <c r="B129" s="3">
        <v>12031</v>
      </c>
      <c r="C129" s="3">
        <v>0</v>
      </c>
      <c r="D129">
        <v>126</v>
      </c>
      <c r="E129" t="str">
        <f>VLOOKUP(B129,Nuclides!A:F,5,FALSE)</f>
        <v>Mg31</v>
      </c>
      <c r="F129">
        <f>VLOOKUP(B129,Nuclides!A:F,4,FALSE)</f>
        <v>0.23599999999999999</v>
      </c>
      <c r="G129" s="3" t="str">
        <f t="shared" si="8"/>
        <v>0.236s</v>
      </c>
      <c r="H129" s="3">
        <f t="shared" si="9"/>
        <v>2.9370643244065482</v>
      </c>
      <c r="I129" s="3">
        <f t="shared" si="10"/>
        <v>0</v>
      </c>
      <c r="J129" s="3">
        <f t="shared" si="11"/>
        <v>0</v>
      </c>
      <c r="K129" s="3" t="str">
        <f t="shared" si="12"/>
        <v>Mg31</v>
      </c>
      <c r="L129" s="3" cm="1">
        <f t="array" ref="L129">SUM(($J129*EXP(-$H129*12*3600*_xlfn.SEQUENCE(L$1-1))))+$J129</f>
        <v>0</v>
      </c>
      <c r="M129" s="3"/>
      <c r="N129" s="3"/>
    </row>
    <row r="130" spans="2:14" hidden="1" x14ac:dyDescent="0.2">
      <c r="B130" s="3">
        <v>12032</v>
      </c>
      <c r="C130" s="3">
        <v>0</v>
      </c>
      <c r="D130">
        <v>127</v>
      </c>
      <c r="E130" t="str">
        <f>VLOOKUP(B130,Nuclides!A:F,5,FALSE)</f>
        <v>Mg32</v>
      </c>
      <c r="F130">
        <f>VLOOKUP(B130,Nuclides!A:F,4,FALSE)</f>
        <v>8.5999999999999993E-2</v>
      </c>
      <c r="G130" s="3" t="str">
        <f t="shared" si="8"/>
        <v>0.086s</v>
      </c>
      <c r="H130" s="3">
        <f t="shared" si="9"/>
        <v>8.0598509367435511</v>
      </c>
      <c r="I130" s="3">
        <f t="shared" si="10"/>
        <v>0</v>
      </c>
      <c r="J130" s="3">
        <f t="shared" si="11"/>
        <v>0</v>
      </c>
      <c r="K130" s="3" t="str">
        <f t="shared" si="12"/>
        <v>Mg32</v>
      </c>
      <c r="L130" s="3" cm="1">
        <f t="array" ref="L130">SUM(($J130*EXP(-$H130*12*3600*_xlfn.SEQUENCE(L$1-1))))+$J130</f>
        <v>0</v>
      </c>
      <c r="M130" s="3"/>
      <c r="N130" s="3"/>
    </row>
    <row r="131" spans="2:14" hidden="1" x14ac:dyDescent="0.2">
      <c r="B131" s="3">
        <v>12033</v>
      </c>
      <c r="C131" s="3">
        <v>0</v>
      </c>
      <c r="D131">
        <v>128</v>
      </c>
      <c r="E131" t="str">
        <f>VLOOKUP(B131,Nuclides!A:F,5,FALSE)</f>
        <v>Mg33</v>
      </c>
      <c r="F131">
        <f>VLOOKUP(B131,Nuclides!A:F,4,FALSE)</f>
        <v>8.9399999999999993E-2</v>
      </c>
      <c r="G131" s="3" t="str">
        <f t="shared" si="8"/>
        <v>0.0894s</v>
      </c>
      <c r="H131" s="3">
        <f t="shared" si="9"/>
        <v>7.7533241673371958</v>
      </c>
      <c r="I131" s="3">
        <f t="shared" si="10"/>
        <v>0</v>
      </c>
      <c r="J131" s="3">
        <f t="shared" si="11"/>
        <v>0</v>
      </c>
      <c r="K131" s="3" t="str">
        <f t="shared" si="12"/>
        <v>Mg33</v>
      </c>
      <c r="L131" s="3" cm="1">
        <f t="array" ref="L131">SUM(($J131*EXP(-$H131*12*3600*_xlfn.SEQUENCE(L$1-1))))+$J131</f>
        <v>0</v>
      </c>
      <c r="M131" s="3"/>
      <c r="N131" s="3"/>
    </row>
    <row r="132" spans="2:14" hidden="1" x14ac:dyDescent="0.2">
      <c r="B132" s="3">
        <v>12034</v>
      </c>
      <c r="C132" s="3">
        <v>0</v>
      </c>
      <c r="D132">
        <v>129</v>
      </c>
      <c r="E132" t="str">
        <f>VLOOKUP(B132,Nuclides!A:F,5,FALSE)</f>
        <v>Mg34</v>
      </c>
      <c r="F132">
        <f>VLOOKUP(B132,Nuclides!A:F,4,FALSE)</f>
        <v>0.02</v>
      </c>
      <c r="G132" s="3" t="str">
        <f t="shared" ref="G132:G195" si="13">IF(F132="STABLE", "STABLE", IF(F132&lt;60, F132&amp;"s", IF(F132&lt;3600, ROUND(F132/60,2)&amp;"min", IF(F132&lt;86400, ROUND(F132/3600,2)&amp;"h", IF(F132&lt;31536000, ROUND(F132/86400,2)&amp;"d", ROUND(F132/31536000,2)&amp;"y")))))</f>
        <v>0.02s</v>
      </c>
      <c r="H132" s="3">
        <f t="shared" ref="H132:H195" si="14">LN(2)/F132</f>
        <v>34.657359027997266</v>
      </c>
      <c r="I132" s="3">
        <f t="shared" ref="I132:I195" si="15">100*6240000000000*C132*(1-EXP(-H132*2*3600))</f>
        <v>0</v>
      </c>
      <c r="J132" s="3">
        <f t="shared" ref="J132:J195" si="16">I132*EXP(-H132*10*3600)</f>
        <v>0</v>
      </c>
      <c r="K132" s="3" t="str">
        <f t="shared" ref="K132:K195" si="17">E132</f>
        <v>Mg34</v>
      </c>
      <c r="L132" s="3" cm="1">
        <f t="array" ref="L132">SUM(($J132*EXP(-$H132*12*3600*_xlfn.SEQUENCE(L$1-1))))+$J132</f>
        <v>0</v>
      </c>
      <c r="M132" s="3"/>
      <c r="N132" s="3"/>
    </row>
    <row r="133" spans="2:14" hidden="1" x14ac:dyDescent="0.2">
      <c r="B133" s="3">
        <v>13022</v>
      </c>
      <c r="C133" s="3">
        <v>0</v>
      </c>
      <c r="D133">
        <v>130</v>
      </c>
      <c r="E133" t="str">
        <f>VLOOKUP(B133,Nuclides!A:F,5,FALSE)</f>
        <v>Al22</v>
      </c>
      <c r="F133">
        <f>VLOOKUP(B133,Nuclides!A:F,4,FALSE)</f>
        <v>9.11E-2</v>
      </c>
      <c r="G133" s="3" t="str">
        <f t="shared" si="13"/>
        <v>0.0911s</v>
      </c>
      <c r="H133" s="3">
        <f t="shared" si="14"/>
        <v>7.6086408403945693</v>
      </c>
      <c r="I133" s="3">
        <f t="shared" si="15"/>
        <v>0</v>
      </c>
      <c r="J133" s="3">
        <f t="shared" si="16"/>
        <v>0</v>
      </c>
      <c r="K133" s="3" t="str">
        <f t="shared" si="17"/>
        <v>Al22</v>
      </c>
      <c r="L133" s="3" cm="1">
        <f t="array" ref="L133">SUM(($J133*EXP(-$H133*12*3600*_xlfn.SEQUENCE(L$1-1))))+$J133</f>
        <v>0</v>
      </c>
      <c r="M133" s="3"/>
      <c r="N133" s="3"/>
    </row>
    <row r="134" spans="2:14" hidden="1" x14ac:dyDescent="0.2">
      <c r="B134" s="3">
        <v>13023</v>
      </c>
      <c r="C134" s="3">
        <v>0</v>
      </c>
      <c r="D134">
        <v>131</v>
      </c>
      <c r="E134" t="str">
        <f>VLOOKUP(B134,Nuclides!A:F,5,FALSE)</f>
        <v>Al23</v>
      </c>
      <c r="F134">
        <f>VLOOKUP(B134,Nuclides!A:F,4,FALSE)</f>
        <v>0.47</v>
      </c>
      <c r="G134" s="3" t="str">
        <f t="shared" si="13"/>
        <v>0.47s</v>
      </c>
      <c r="H134" s="3">
        <f t="shared" si="14"/>
        <v>1.4747812352339262</v>
      </c>
      <c r="I134" s="3">
        <f t="shared" si="15"/>
        <v>0</v>
      </c>
      <c r="J134" s="3">
        <f t="shared" si="16"/>
        <v>0</v>
      </c>
      <c r="K134" s="3" t="str">
        <f t="shared" si="17"/>
        <v>Al23</v>
      </c>
      <c r="L134" s="3" cm="1">
        <f t="array" ref="L134">SUM(($J134*EXP(-$H134*12*3600*_xlfn.SEQUENCE(L$1-1))))+$J134</f>
        <v>0</v>
      </c>
      <c r="M134" s="3"/>
      <c r="N134" s="3"/>
    </row>
    <row r="135" spans="2:14" hidden="1" x14ac:dyDescent="0.2">
      <c r="B135" s="3">
        <v>13024</v>
      </c>
      <c r="C135" s="3">
        <v>0</v>
      </c>
      <c r="D135">
        <v>132</v>
      </c>
      <c r="E135" t="str">
        <f>VLOOKUP(B135,Nuclides!A:F,5,FALSE)</f>
        <v>Al24</v>
      </c>
      <c r="F135">
        <f>VLOOKUP(B135,Nuclides!A:F,4,FALSE)</f>
        <v>2.0529999999999999</v>
      </c>
      <c r="G135" s="3" t="str">
        <f t="shared" si="13"/>
        <v>2.053s</v>
      </c>
      <c r="H135" s="3">
        <f t="shared" si="14"/>
        <v>0.33762648833898945</v>
      </c>
      <c r="I135" s="3">
        <f t="shared" si="15"/>
        <v>0</v>
      </c>
      <c r="J135" s="3">
        <f t="shared" si="16"/>
        <v>0</v>
      </c>
      <c r="K135" s="3" t="str">
        <f t="shared" si="17"/>
        <v>Al24</v>
      </c>
      <c r="L135" s="3" cm="1">
        <f t="array" ref="L135">SUM(($J135*EXP(-$H135*12*3600*_xlfn.SEQUENCE(L$1-1))))+$J135</f>
        <v>0</v>
      </c>
      <c r="M135" s="3"/>
      <c r="N135" s="3"/>
    </row>
    <row r="136" spans="2:14" hidden="1" x14ac:dyDescent="0.2">
      <c r="B136" s="3">
        <v>13025</v>
      </c>
      <c r="C136" s="3">
        <v>0</v>
      </c>
      <c r="D136">
        <v>133</v>
      </c>
      <c r="E136" t="str">
        <f>VLOOKUP(B136,Nuclides!A:F,5,FALSE)</f>
        <v>Al25</v>
      </c>
      <c r="F136">
        <f>VLOOKUP(B136,Nuclides!A:F,4,FALSE)</f>
        <v>7.1829999999999998</v>
      </c>
      <c r="G136" s="3" t="str">
        <f t="shared" si="13"/>
        <v>7.183s</v>
      </c>
      <c r="H136" s="3">
        <f t="shared" si="14"/>
        <v>9.6498284917157909E-2</v>
      </c>
      <c r="I136" s="3">
        <f t="shared" si="15"/>
        <v>0</v>
      </c>
      <c r="J136" s="3">
        <f t="shared" si="16"/>
        <v>0</v>
      </c>
      <c r="K136" s="3" t="str">
        <f t="shared" si="17"/>
        <v>Al25</v>
      </c>
      <c r="L136" s="3" cm="1">
        <f t="array" ref="L136">SUM(($J136*EXP(-$H136*12*3600*_xlfn.SEQUENCE(L$1-1))))+$J136</f>
        <v>0</v>
      </c>
      <c r="M136" s="3"/>
      <c r="N136" s="3"/>
    </row>
    <row r="137" spans="2:14" hidden="1" x14ac:dyDescent="0.2">
      <c r="B137" s="3">
        <v>13026</v>
      </c>
      <c r="C137" s="3">
        <v>0</v>
      </c>
      <c r="D137">
        <v>134</v>
      </c>
      <c r="E137" t="str">
        <f>VLOOKUP(B137,Nuclides!A:F,5,FALSE)</f>
        <v>Al26</v>
      </c>
      <c r="F137">
        <f>VLOOKUP(B137,Nuclides!A:F,4,FALSE)</f>
        <v>22626799200000</v>
      </c>
      <c r="G137" s="3" t="str">
        <f t="shared" si="13"/>
        <v>717491.1y</v>
      </c>
      <c r="H137" s="3">
        <f t="shared" si="14"/>
        <v>3.0633903383026675E-14</v>
      </c>
      <c r="I137" s="3">
        <f t="shared" si="15"/>
        <v>0</v>
      </c>
      <c r="J137" s="3">
        <f t="shared" si="16"/>
        <v>0</v>
      </c>
      <c r="K137" s="3" t="str">
        <f t="shared" si="17"/>
        <v>Al26</v>
      </c>
      <c r="L137" s="3" cm="1">
        <f t="array" ref="L137">SUM(($J137*EXP(-$H137*12*3600*_xlfn.SEQUENCE(L$1-1))))+$J137</f>
        <v>0</v>
      </c>
      <c r="M137" s="3"/>
      <c r="N137" s="3"/>
    </row>
    <row r="138" spans="2:14" hidden="1" x14ac:dyDescent="0.2">
      <c r="B138" s="3">
        <v>13027</v>
      </c>
      <c r="C138" s="3">
        <v>0</v>
      </c>
      <c r="D138">
        <v>135</v>
      </c>
      <c r="E138" t="str">
        <f>VLOOKUP(B138,Nuclides!A:F,5,FALSE)</f>
        <v>Al27</v>
      </c>
      <c r="F138" t="str">
        <f>VLOOKUP(B138,Nuclides!A:F,4,FALSE)</f>
        <v>STABLE</v>
      </c>
      <c r="G138" s="3" t="str">
        <f t="shared" si="13"/>
        <v>STABLE</v>
      </c>
      <c r="H138" s="3" t="e">
        <f t="shared" si="14"/>
        <v>#VALUE!</v>
      </c>
      <c r="I138" s="3" t="e">
        <f t="shared" si="15"/>
        <v>#VALUE!</v>
      </c>
      <c r="J138" s="3" t="e">
        <f t="shared" si="16"/>
        <v>#VALUE!</v>
      </c>
      <c r="K138" s="3" t="str">
        <f t="shared" si="17"/>
        <v>Al27</v>
      </c>
      <c r="L138" s="3" t="e" cm="1">
        <f t="array" ref="L138">SUM(($J138*EXP(-$H138*12*3600*_xlfn.SEQUENCE(L$1-1))))+$J138</f>
        <v>#VALUE!</v>
      </c>
      <c r="M138" s="3"/>
      <c r="N138" s="3"/>
    </row>
    <row r="139" spans="2:14" hidden="1" x14ac:dyDescent="0.2">
      <c r="B139" s="3">
        <v>13028</v>
      </c>
      <c r="C139" s="3">
        <v>0</v>
      </c>
      <c r="D139">
        <v>136</v>
      </c>
      <c r="E139" t="str">
        <f>VLOOKUP(B139,Nuclides!A:F,5,FALSE)</f>
        <v>Al28</v>
      </c>
      <c r="F139">
        <f>VLOOKUP(B139,Nuclides!A:F,4,FALSE)</f>
        <v>134.69999999999999</v>
      </c>
      <c r="G139" s="3" t="str">
        <f t="shared" si="13"/>
        <v>2.25min</v>
      </c>
      <c r="H139" s="3">
        <f t="shared" si="14"/>
        <v>5.1458588014843751E-3</v>
      </c>
      <c r="I139" s="3">
        <f t="shared" si="15"/>
        <v>0</v>
      </c>
      <c r="J139" s="3">
        <f t="shared" si="16"/>
        <v>0</v>
      </c>
      <c r="K139" s="3" t="str">
        <f t="shared" si="17"/>
        <v>Al28</v>
      </c>
      <c r="L139" s="3" cm="1">
        <f t="array" ref="L139">SUM(($J139*EXP(-$H139*12*3600*_xlfn.SEQUENCE(L$1-1))))+$J139</f>
        <v>0</v>
      </c>
      <c r="M139" s="3"/>
      <c r="N139" s="3"/>
    </row>
    <row r="140" spans="2:14" hidden="1" x14ac:dyDescent="0.2">
      <c r="B140" s="3">
        <v>13029</v>
      </c>
      <c r="C140" s="3">
        <v>0</v>
      </c>
      <c r="D140">
        <v>137</v>
      </c>
      <c r="E140" t="str">
        <f>VLOOKUP(B140,Nuclides!A:F,5,FALSE)</f>
        <v>Al29</v>
      </c>
      <c r="F140">
        <f>VLOOKUP(B140,Nuclides!A:F,4,FALSE)</f>
        <v>393.599999999999</v>
      </c>
      <c r="G140" s="3" t="str">
        <f t="shared" si="13"/>
        <v>6.56min</v>
      </c>
      <c r="H140" s="3">
        <f t="shared" si="14"/>
        <v>1.7610446660567759E-3</v>
      </c>
      <c r="I140" s="3">
        <f t="shared" si="15"/>
        <v>0</v>
      </c>
      <c r="J140" s="3">
        <f t="shared" si="16"/>
        <v>0</v>
      </c>
      <c r="K140" s="3" t="str">
        <f t="shared" si="17"/>
        <v>Al29</v>
      </c>
      <c r="L140" s="3" cm="1">
        <f t="array" ref="L140">SUM(($J140*EXP(-$H140*12*3600*_xlfn.SEQUENCE(L$1-1))))+$J140</f>
        <v>0</v>
      </c>
      <c r="M140" s="3"/>
      <c r="N140" s="3"/>
    </row>
    <row r="141" spans="2:14" hidden="1" x14ac:dyDescent="0.2">
      <c r="B141" s="3">
        <v>13030</v>
      </c>
      <c r="C141" s="3">
        <v>0</v>
      </c>
      <c r="D141">
        <v>138</v>
      </c>
      <c r="E141" t="str">
        <f>VLOOKUP(B141,Nuclides!A:F,5,FALSE)</f>
        <v>Al30</v>
      </c>
      <c r="F141">
        <f>VLOOKUP(B141,Nuclides!A:F,4,FALSE)</f>
        <v>3.62</v>
      </c>
      <c r="G141" s="3" t="str">
        <f t="shared" si="13"/>
        <v>3.62s</v>
      </c>
      <c r="H141" s="3">
        <f t="shared" si="14"/>
        <v>0.19147712170164233</v>
      </c>
      <c r="I141" s="3">
        <f t="shared" si="15"/>
        <v>0</v>
      </c>
      <c r="J141" s="3">
        <f t="shared" si="16"/>
        <v>0</v>
      </c>
      <c r="K141" s="3" t="str">
        <f t="shared" si="17"/>
        <v>Al30</v>
      </c>
      <c r="L141" s="3" cm="1">
        <f t="array" ref="L141">SUM(($J141*EXP(-$H141*12*3600*_xlfn.SEQUENCE(L$1-1))))+$J141</f>
        <v>0</v>
      </c>
      <c r="M141" s="3"/>
      <c r="N141" s="3"/>
    </row>
    <row r="142" spans="2:14" hidden="1" x14ac:dyDescent="0.2">
      <c r="B142" s="3">
        <v>13031</v>
      </c>
      <c r="C142" s="3">
        <v>0</v>
      </c>
      <c r="D142">
        <v>139</v>
      </c>
      <c r="E142" t="str">
        <f>VLOOKUP(B142,Nuclides!A:F,5,FALSE)</f>
        <v>Al31</v>
      </c>
      <c r="F142">
        <f>VLOOKUP(B142,Nuclides!A:F,4,FALSE)</f>
        <v>0.64400000000000002</v>
      </c>
      <c r="G142" s="3" t="str">
        <f t="shared" si="13"/>
        <v>0.644s</v>
      </c>
      <c r="H142" s="3">
        <f t="shared" si="14"/>
        <v>1.0763154977638902</v>
      </c>
      <c r="I142" s="3">
        <f t="shared" si="15"/>
        <v>0</v>
      </c>
      <c r="J142" s="3">
        <f t="shared" si="16"/>
        <v>0</v>
      </c>
      <c r="K142" s="3" t="str">
        <f t="shared" si="17"/>
        <v>Al31</v>
      </c>
      <c r="L142" s="3" cm="1">
        <f t="array" ref="L142">SUM(($J142*EXP(-$H142*12*3600*_xlfn.SEQUENCE(L$1-1))))+$J142</f>
        <v>0</v>
      </c>
      <c r="M142" s="3"/>
      <c r="N142" s="3"/>
    </row>
    <row r="143" spans="2:14" hidden="1" x14ac:dyDescent="0.2">
      <c r="B143" s="3">
        <v>13032</v>
      </c>
      <c r="C143" s="3">
        <v>0</v>
      </c>
      <c r="D143">
        <v>140</v>
      </c>
      <c r="E143" t="str">
        <f>VLOOKUP(B143,Nuclides!A:F,5,FALSE)</f>
        <v>Al32</v>
      </c>
      <c r="F143">
        <f>VLOOKUP(B143,Nuclides!A:F,4,FALSE)</f>
        <v>3.1899999999999998E-2</v>
      </c>
      <c r="G143" s="3" t="str">
        <f t="shared" si="13"/>
        <v>0.0319s</v>
      </c>
      <c r="H143" s="3">
        <f t="shared" si="14"/>
        <v>21.728751741691077</v>
      </c>
      <c r="I143" s="3">
        <f t="shared" si="15"/>
        <v>0</v>
      </c>
      <c r="J143" s="3">
        <f t="shared" si="16"/>
        <v>0</v>
      </c>
      <c r="K143" s="3" t="str">
        <f t="shared" si="17"/>
        <v>Al32</v>
      </c>
      <c r="L143" s="3" cm="1">
        <f t="array" ref="L143">SUM(($J143*EXP(-$H143*12*3600*_xlfn.SEQUENCE(L$1-1))))+$J143</f>
        <v>0</v>
      </c>
      <c r="M143" s="3"/>
      <c r="N143" s="3"/>
    </row>
    <row r="144" spans="2:14" hidden="1" x14ac:dyDescent="0.2">
      <c r="B144" s="3">
        <v>13033</v>
      </c>
      <c r="C144" s="3">
        <v>0</v>
      </c>
      <c r="D144">
        <v>141</v>
      </c>
      <c r="E144" t="str">
        <f>VLOOKUP(B144,Nuclides!A:F,5,FALSE)</f>
        <v>Al33</v>
      </c>
      <c r="F144">
        <f>VLOOKUP(B144,Nuclides!A:F,4,FALSE)</f>
        <v>4.1700000000000001E-2</v>
      </c>
      <c r="G144" s="3" t="str">
        <f t="shared" si="13"/>
        <v>0.0417s</v>
      </c>
      <c r="H144" s="3">
        <f t="shared" si="14"/>
        <v>16.622234545802044</v>
      </c>
      <c r="I144" s="3">
        <f t="shared" si="15"/>
        <v>0</v>
      </c>
      <c r="J144" s="3">
        <f t="shared" si="16"/>
        <v>0</v>
      </c>
      <c r="K144" s="3" t="str">
        <f t="shared" si="17"/>
        <v>Al33</v>
      </c>
      <c r="L144" s="3" cm="1">
        <f t="array" ref="L144">SUM(($J144*EXP(-$H144*12*3600*_xlfn.SEQUENCE(L$1-1))))+$J144</f>
        <v>0</v>
      </c>
      <c r="M144" s="3"/>
      <c r="N144" s="3"/>
    </row>
    <row r="145" spans="2:14" hidden="1" x14ac:dyDescent="0.2">
      <c r="B145" s="3">
        <v>13034</v>
      </c>
      <c r="C145" s="3">
        <v>0</v>
      </c>
      <c r="D145">
        <v>142</v>
      </c>
      <c r="E145" t="str">
        <f>VLOOKUP(B145,Nuclides!A:F,5,FALSE)</f>
        <v>Al34</v>
      </c>
      <c r="F145">
        <f>VLOOKUP(B145,Nuclides!A:F,4,FALSE)</f>
        <v>5.6299999999999899E-2</v>
      </c>
      <c r="G145" s="3" t="str">
        <f t="shared" si="13"/>
        <v>0.0562999999999999s</v>
      </c>
      <c r="H145" s="3">
        <f t="shared" si="14"/>
        <v>12.311672834102071</v>
      </c>
      <c r="I145" s="3">
        <f t="shared" si="15"/>
        <v>0</v>
      </c>
      <c r="J145" s="3">
        <f t="shared" si="16"/>
        <v>0</v>
      </c>
      <c r="K145" s="3" t="str">
        <f t="shared" si="17"/>
        <v>Al34</v>
      </c>
      <c r="L145" s="3" cm="1">
        <f t="array" ref="L145">SUM(($J145*EXP(-$H145*12*3600*_xlfn.SEQUENCE(L$1-1))))+$J145</f>
        <v>0</v>
      </c>
      <c r="M145" s="3"/>
      <c r="N145" s="3"/>
    </row>
    <row r="146" spans="2:14" hidden="1" x14ac:dyDescent="0.2">
      <c r="B146" s="3">
        <v>13035</v>
      </c>
      <c r="C146" s="3">
        <v>0</v>
      </c>
      <c r="D146">
        <v>143</v>
      </c>
      <c r="E146" t="str">
        <f>VLOOKUP(B146,Nuclides!A:F,5,FALSE)</f>
        <v>Al35</v>
      </c>
      <c r="F146">
        <f>VLOOKUP(B146,Nuclides!A:F,4,FALSE)</f>
        <v>3.7600000000000001E-2</v>
      </c>
      <c r="G146" s="3" t="str">
        <f t="shared" si="13"/>
        <v>0.0376s</v>
      </c>
      <c r="H146" s="3">
        <f t="shared" si="14"/>
        <v>18.434765440424076</v>
      </c>
      <c r="I146" s="3">
        <f t="shared" si="15"/>
        <v>0</v>
      </c>
      <c r="J146" s="3">
        <f t="shared" si="16"/>
        <v>0</v>
      </c>
      <c r="K146" s="3" t="str">
        <f t="shared" si="17"/>
        <v>Al35</v>
      </c>
      <c r="L146" s="3" cm="1">
        <f t="array" ref="L146">SUM(($J146*EXP(-$H146*12*3600*_xlfn.SEQUENCE(L$1-1))))+$J146</f>
        <v>0</v>
      </c>
      <c r="M146" s="3"/>
      <c r="N146" s="3"/>
    </row>
    <row r="147" spans="2:14" hidden="1" x14ac:dyDescent="0.2">
      <c r="B147" s="3">
        <v>14024</v>
      </c>
      <c r="C147" s="3">
        <v>0</v>
      </c>
      <c r="D147">
        <v>144</v>
      </c>
      <c r="E147" t="str">
        <f>VLOOKUP(B147,Nuclides!A:F,5,FALSE)</f>
        <v>Si24</v>
      </c>
      <c r="F147">
        <f>VLOOKUP(B147,Nuclides!A:F,4,FALSE)</f>
        <v>0.14050000000000001</v>
      </c>
      <c r="G147" s="3" t="str">
        <f t="shared" si="13"/>
        <v>0.1405s</v>
      </c>
      <c r="H147" s="3">
        <f t="shared" si="14"/>
        <v>4.9334318901063714</v>
      </c>
      <c r="I147" s="3">
        <f t="shared" si="15"/>
        <v>0</v>
      </c>
      <c r="J147" s="3">
        <f t="shared" si="16"/>
        <v>0</v>
      </c>
      <c r="K147" s="3" t="str">
        <f t="shared" si="17"/>
        <v>Si24</v>
      </c>
      <c r="L147" s="3" cm="1">
        <f t="array" ref="L147">SUM(($J147*EXP(-$H147*12*3600*_xlfn.SEQUENCE(L$1-1))))+$J147</f>
        <v>0</v>
      </c>
      <c r="M147" s="3"/>
      <c r="N147" s="3"/>
    </row>
    <row r="148" spans="2:14" hidden="1" x14ac:dyDescent="0.2">
      <c r="B148" s="3">
        <v>14025</v>
      </c>
      <c r="C148" s="3">
        <v>0</v>
      </c>
      <c r="D148">
        <v>145</v>
      </c>
      <c r="E148" t="str">
        <f>VLOOKUP(B148,Nuclides!A:F,5,FALSE)</f>
        <v>Si25</v>
      </c>
      <c r="F148">
        <f>VLOOKUP(B148,Nuclides!A:F,4,FALSE)</f>
        <v>0.22</v>
      </c>
      <c r="G148" s="3" t="str">
        <f t="shared" si="13"/>
        <v>0.22s</v>
      </c>
      <c r="H148" s="3">
        <f t="shared" si="14"/>
        <v>3.150669002545206</v>
      </c>
      <c r="I148" s="3">
        <f t="shared" si="15"/>
        <v>0</v>
      </c>
      <c r="J148" s="3">
        <f t="shared" si="16"/>
        <v>0</v>
      </c>
      <c r="K148" s="3" t="str">
        <f t="shared" si="17"/>
        <v>Si25</v>
      </c>
      <c r="L148" s="3" cm="1">
        <f t="array" ref="L148">SUM(($J148*EXP(-$H148*12*3600*_xlfn.SEQUENCE(L$1-1))))+$J148</f>
        <v>0</v>
      </c>
      <c r="M148" s="3"/>
      <c r="N148" s="3"/>
    </row>
    <row r="149" spans="2:14" hidden="1" x14ac:dyDescent="0.2">
      <c r="B149" s="3">
        <v>14026</v>
      </c>
      <c r="C149" s="3">
        <v>0</v>
      </c>
      <c r="D149">
        <v>146</v>
      </c>
      <c r="E149" t="str">
        <f>VLOOKUP(B149,Nuclides!A:F,5,FALSE)</f>
        <v>Si26</v>
      </c>
      <c r="F149">
        <f>VLOOKUP(B149,Nuclides!A:F,4,FALSE)</f>
        <v>2.2452999999999999</v>
      </c>
      <c r="G149" s="3" t="str">
        <f t="shared" si="13"/>
        <v>2.2453s</v>
      </c>
      <c r="H149" s="3">
        <f t="shared" si="14"/>
        <v>0.30871027504562659</v>
      </c>
      <c r="I149" s="3">
        <f t="shared" si="15"/>
        <v>0</v>
      </c>
      <c r="J149" s="3">
        <f t="shared" si="16"/>
        <v>0</v>
      </c>
      <c r="K149" s="3" t="str">
        <f t="shared" si="17"/>
        <v>Si26</v>
      </c>
      <c r="L149" s="3" cm="1">
        <f t="array" ref="L149">SUM(($J149*EXP(-$H149*12*3600*_xlfn.SEQUENCE(L$1-1))))+$J149</f>
        <v>0</v>
      </c>
      <c r="M149" s="3"/>
      <c r="N149" s="3"/>
    </row>
    <row r="150" spans="2:14" hidden="1" x14ac:dyDescent="0.2">
      <c r="B150" s="3">
        <v>14027</v>
      </c>
      <c r="C150" s="3">
        <v>0</v>
      </c>
      <c r="D150">
        <v>147</v>
      </c>
      <c r="E150" t="str">
        <f>VLOOKUP(B150,Nuclides!A:F,5,FALSE)</f>
        <v>Si27</v>
      </c>
      <c r="F150">
        <f>VLOOKUP(B150,Nuclides!A:F,4,FALSE)</f>
        <v>4.1500000000000004</v>
      </c>
      <c r="G150" s="3" t="str">
        <f t="shared" si="13"/>
        <v>4.15s</v>
      </c>
      <c r="H150" s="3">
        <f t="shared" si="14"/>
        <v>0.16702341700239645</v>
      </c>
      <c r="I150" s="3">
        <f t="shared" si="15"/>
        <v>0</v>
      </c>
      <c r="J150" s="3">
        <f t="shared" si="16"/>
        <v>0</v>
      </c>
      <c r="K150" s="3" t="str">
        <f t="shared" si="17"/>
        <v>Si27</v>
      </c>
      <c r="L150" s="3" cm="1">
        <f t="array" ref="L150">SUM(($J150*EXP(-$H150*12*3600*_xlfn.SEQUENCE(L$1-1))))+$J150</f>
        <v>0</v>
      </c>
      <c r="M150" s="3"/>
      <c r="N150" s="3"/>
    </row>
    <row r="151" spans="2:14" hidden="1" x14ac:dyDescent="0.2">
      <c r="B151" s="3">
        <v>14028</v>
      </c>
      <c r="C151" s="3">
        <v>0</v>
      </c>
      <c r="D151">
        <v>148</v>
      </c>
      <c r="E151" t="str">
        <f>VLOOKUP(B151,Nuclides!A:F,5,FALSE)</f>
        <v>Si28</v>
      </c>
      <c r="F151" t="str">
        <f>VLOOKUP(B151,Nuclides!A:F,4,FALSE)</f>
        <v>STABLE</v>
      </c>
      <c r="G151" s="3" t="str">
        <f t="shared" si="13"/>
        <v>STABLE</v>
      </c>
      <c r="H151" s="3" t="e">
        <f t="shared" si="14"/>
        <v>#VALUE!</v>
      </c>
      <c r="I151" s="3" t="e">
        <f t="shared" si="15"/>
        <v>#VALUE!</v>
      </c>
      <c r="J151" s="3" t="e">
        <f t="shared" si="16"/>
        <v>#VALUE!</v>
      </c>
      <c r="K151" s="3" t="str">
        <f t="shared" si="17"/>
        <v>Si28</v>
      </c>
      <c r="L151" s="3" t="e" cm="1">
        <f t="array" ref="L151">SUM(($J151*EXP(-$H151*12*3600*_xlfn.SEQUENCE(L$1-1))))+$J151</f>
        <v>#VALUE!</v>
      </c>
      <c r="M151" s="3"/>
      <c r="N151" s="3"/>
    </row>
    <row r="152" spans="2:14" hidden="1" x14ac:dyDescent="0.2">
      <c r="B152" s="3">
        <v>14029</v>
      </c>
      <c r="C152" s="3">
        <v>0</v>
      </c>
      <c r="D152">
        <v>149</v>
      </c>
      <c r="E152" t="str">
        <f>VLOOKUP(B152,Nuclides!A:F,5,FALSE)</f>
        <v>Si29</v>
      </c>
      <c r="F152" t="str">
        <f>VLOOKUP(B152,Nuclides!A:F,4,FALSE)</f>
        <v>STABLE</v>
      </c>
      <c r="G152" s="3" t="str">
        <f t="shared" si="13"/>
        <v>STABLE</v>
      </c>
      <c r="H152" s="3" t="e">
        <f t="shared" si="14"/>
        <v>#VALUE!</v>
      </c>
      <c r="I152" s="3" t="e">
        <f t="shared" si="15"/>
        <v>#VALUE!</v>
      </c>
      <c r="J152" s="3" t="e">
        <f t="shared" si="16"/>
        <v>#VALUE!</v>
      </c>
      <c r="K152" s="3" t="str">
        <f t="shared" si="17"/>
        <v>Si29</v>
      </c>
      <c r="L152" s="3" t="e" cm="1">
        <f t="array" ref="L152">SUM(($J152*EXP(-$H152*12*3600*_xlfn.SEQUENCE(L$1-1))))+$J152</f>
        <v>#VALUE!</v>
      </c>
      <c r="M152" s="3"/>
      <c r="N152" s="3"/>
    </row>
    <row r="153" spans="2:14" hidden="1" x14ac:dyDescent="0.2">
      <c r="B153" s="3">
        <v>14030</v>
      </c>
      <c r="C153" s="3">
        <v>0</v>
      </c>
      <c r="D153">
        <v>150</v>
      </c>
      <c r="E153" t="str">
        <f>VLOOKUP(B153,Nuclides!A:F,5,FALSE)</f>
        <v>Si30</v>
      </c>
      <c r="F153" t="str">
        <f>VLOOKUP(B153,Nuclides!A:F,4,FALSE)</f>
        <v>STABLE</v>
      </c>
      <c r="G153" s="3" t="str">
        <f t="shared" si="13"/>
        <v>STABLE</v>
      </c>
      <c r="H153" s="3" t="e">
        <f t="shared" si="14"/>
        <v>#VALUE!</v>
      </c>
      <c r="I153" s="3" t="e">
        <f t="shared" si="15"/>
        <v>#VALUE!</v>
      </c>
      <c r="J153" s="3" t="e">
        <f t="shared" si="16"/>
        <v>#VALUE!</v>
      </c>
      <c r="K153" s="3" t="str">
        <f t="shared" si="17"/>
        <v>Si30</v>
      </c>
      <c r="L153" s="3" t="e" cm="1">
        <f t="array" ref="L153">SUM(($J153*EXP(-$H153*12*3600*_xlfn.SEQUENCE(L$1-1))))+$J153</f>
        <v>#VALUE!</v>
      </c>
      <c r="M153" s="3"/>
      <c r="N153" s="3"/>
    </row>
    <row r="154" spans="2:14" hidden="1" x14ac:dyDescent="0.2">
      <c r="B154" s="3">
        <v>14031</v>
      </c>
      <c r="C154" s="3">
        <v>0</v>
      </c>
      <c r="D154">
        <v>151</v>
      </c>
      <c r="E154" t="str">
        <f>VLOOKUP(B154,Nuclides!A:F,5,FALSE)</f>
        <v>Si31</v>
      </c>
      <c r="F154">
        <f>VLOOKUP(B154,Nuclides!A:F,4,FALSE)</f>
        <v>9441.6</v>
      </c>
      <c r="G154" s="3" t="str">
        <f t="shared" si="13"/>
        <v>2.62h</v>
      </c>
      <c r="H154" s="3">
        <f t="shared" si="14"/>
        <v>7.3414165031344817E-5</v>
      </c>
      <c r="I154" s="3">
        <f t="shared" si="15"/>
        <v>0</v>
      </c>
      <c r="J154" s="3">
        <f t="shared" si="16"/>
        <v>0</v>
      </c>
      <c r="K154" s="3" t="str">
        <f t="shared" si="17"/>
        <v>Si31</v>
      </c>
      <c r="L154" s="3" cm="1">
        <f t="array" ref="L154">SUM(($J154*EXP(-$H154*12*3600*_xlfn.SEQUENCE(L$1-1))))+$J154</f>
        <v>0</v>
      </c>
      <c r="M154" s="3"/>
      <c r="N154" s="3"/>
    </row>
    <row r="155" spans="2:14" hidden="1" x14ac:dyDescent="0.2">
      <c r="B155" s="3">
        <v>14032</v>
      </c>
      <c r="C155" s="3">
        <v>0</v>
      </c>
      <c r="D155">
        <v>152</v>
      </c>
      <c r="E155" t="str">
        <f>VLOOKUP(B155,Nuclides!A:F,5,FALSE)</f>
        <v>Si32</v>
      </c>
      <c r="F155">
        <f>VLOOKUP(B155,Nuclides!A:F,4,FALSE)</f>
        <v>4828312800</v>
      </c>
      <c r="G155" s="3" t="str">
        <f t="shared" si="13"/>
        <v>153.1y</v>
      </c>
      <c r="H155" s="3">
        <f t="shared" si="14"/>
        <v>1.4355888055967404E-10</v>
      </c>
      <c r="I155" s="3">
        <f t="shared" si="15"/>
        <v>0</v>
      </c>
      <c r="J155" s="3">
        <f t="shared" si="16"/>
        <v>0</v>
      </c>
      <c r="K155" s="3" t="str">
        <f t="shared" si="17"/>
        <v>Si32</v>
      </c>
      <c r="L155" s="3" cm="1">
        <f t="array" ref="L155">SUM(($J155*EXP(-$H155*12*3600*_xlfn.SEQUENCE(L$1-1))))+$J155</f>
        <v>0</v>
      </c>
      <c r="M155" s="3"/>
      <c r="N155" s="3"/>
    </row>
    <row r="156" spans="2:14" hidden="1" x14ac:dyDescent="0.2">
      <c r="B156" s="3">
        <v>14033</v>
      </c>
      <c r="C156" s="3">
        <v>0</v>
      </c>
      <c r="D156">
        <v>153</v>
      </c>
      <c r="E156" t="str">
        <f>VLOOKUP(B156,Nuclides!A:F,5,FALSE)</f>
        <v>Si33</v>
      </c>
      <c r="F156">
        <f>VLOOKUP(B156,Nuclides!A:F,4,FALSE)</f>
        <v>6.11</v>
      </c>
      <c r="G156" s="3" t="str">
        <f t="shared" si="13"/>
        <v>6.11s</v>
      </c>
      <c r="H156" s="3">
        <f t="shared" si="14"/>
        <v>0.1134447104026097</v>
      </c>
      <c r="I156" s="3">
        <f t="shared" si="15"/>
        <v>0</v>
      </c>
      <c r="J156" s="3">
        <f t="shared" si="16"/>
        <v>0</v>
      </c>
      <c r="K156" s="3" t="str">
        <f t="shared" si="17"/>
        <v>Si33</v>
      </c>
      <c r="L156" s="3" cm="1">
        <f t="array" ref="L156">SUM(($J156*EXP(-$H156*12*3600*_xlfn.SEQUENCE(L$1-1))))+$J156</f>
        <v>0</v>
      </c>
      <c r="M156" s="3"/>
      <c r="N156" s="3"/>
    </row>
    <row r="157" spans="2:14" hidden="1" x14ac:dyDescent="0.2">
      <c r="B157" s="3">
        <v>14034</v>
      </c>
      <c r="C157" s="3">
        <v>0</v>
      </c>
      <c r="D157">
        <v>154</v>
      </c>
      <c r="E157" t="str">
        <f>VLOOKUP(B157,Nuclides!A:F,5,FALSE)</f>
        <v>Si34</v>
      </c>
      <c r="F157">
        <f>VLOOKUP(B157,Nuclides!A:F,4,FALSE)</f>
        <v>2.77</v>
      </c>
      <c r="G157" s="3" t="str">
        <f t="shared" si="13"/>
        <v>2.77s</v>
      </c>
      <c r="H157" s="3">
        <f t="shared" si="14"/>
        <v>0.25023363919131597</v>
      </c>
      <c r="I157" s="3">
        <f t="shared" si="15"/>
        <v>0</v>
      </c>
      <c r="J157" s="3">
        <f t="shared" si="16"/>
        <v>0</v>
      </c>
      <c r="K157" s="3" t="str">
        <f t="shared" si="17"/>
        <v>Si34</v>
      </c>
      <c r="L157" s="3" cm="1">
        <f t="array" ref="L157">SUM(($J157*EXP(-$H157*12*3600*_xlfn.SEQUENCE(L$1-1))))+$J157</f>
        <v>0</v>
      </c>
      <c r="M157" s="3"/>
      <c r="N157" s="3"/>
    </row>
    <row r="158" spans="2:14" hidden="1" x14ac:dyDescent="0.2">
      <c r="B158" s="3">
        <v>14035</v>
      </c>
      <c r="C158" s="3">
        <v>0</v>
      </c>
      <c r="D158">
        <v>155</v>
      </c>
      <c r="E158" t="str">
        <f>VLOOKUP(B158,Nuclides!A:F,5,FALSE)</f>
        <v>Si35</v>
      </c>
      <c r="F158">
        <f>VLOOKUP(B158,Nuclides!A:F,4,FALSE)</f>
        <v>0.78</v>
      </c>
      <c r="G158" s="3" t="str">
        <f t="shared" si="13"/>
        <v>0.78s</v>
      </c>
      <c r="H158" s="3">
        <f t="shared" si="14"/>
        <v>0.88865023148710931</v>
      </c>
      <c r="I158" s="3">
        <f t="shared" si="15"/>
        <v>0</v>
      </c>
      <c r="J158" s="3">
        <f t="shared" si="16"/>
        <v>0</v>
      </c>
      <c r="K158" s="3" t="str">
        <f t="shared" si="17"/>
        <v>Si35</v>
      </c>
      <c r="L158" s="3" cm="1">
        <f t="array" ref="L158">SUM(($J158*EXP(-$H158*12*3600*_xlfn.SEQUENCE(L$1-1))))+$J158</f>
        <v>0</v>
      </c>
      <c r="M158" s="3"/>
      <c r="N158" s="3"/>
    </row>
    <row r="159" spans="2:14" hidden="1" x14ac:dyDescent="0.2">
      <c r="B159" s="3">
        <v>14036</v>
      </c>
      <c r="C159" s="3">
        <v>0</v>
      </c>
      <c r="D159">
        <v>156</v>
      </c>
      <c r="E159" t="str">
        <f>VLOOKUP(B159,Nuclides!A:F,5,FALSE)</f>
        <v>Si36</v>
      </c>
      <c r="F159">
        <f>VLOOKUP(B159,Nuclides!A:F,4,FALSE)</f>
        <v>0.45</v>
      </c>
      <c r="G159" s="3" t="str">
        <f t="shared" si="13"/>
        <v>0.45s</v>
      </c>
      <c r="H159" s="3">
        <f t="shared" si="14"/>
        <v>1.5403270679109895</v>
      </c>
      <c r="I159" s="3">
        <f t="shared" si="15"/>
        <v>0</v>
      </c>
      <c r="J159" s="3">
        <f t="shared" si="16"/>
        <v>0</v>
      </c>
      <c r="K159" s="3" t="str">
        <f t="shared" si="17"/>
        <v>Si36</v>
      </c>
      <c r="L159" s="3" cm="1">
        <f t="array" ref="L159">SUM(($J159*EXP(-$H159*12*3600*_xlfn.SEQUENCE(L$1-1))))+$J159</f>
        <v>0</v>
      </c>
      <c r="M159" s="3"/>
      <c r="N159" s="3"/>
    </row>
    <row r="160" spans="2:14" hidden="1" x14ac:dyDescent="0.2">
      <c r="B160" s="3">
        <v>14037</v>
      </c>
      <c r="C160" s="3">
        <v>0</v>
      </c>
      <c r="D160">
        <v>157</v>
      </c>
      <c r="E160" t="str">
        <f>VLOOKUP(B160,Nuclides!A:F,5,FALSE)</f>
        <v>Si37</v>
      </c>
      <c r="F160">
        <f>VLOOKUP(B160,Nuclides!A:F,4,FALSE)</f>
        <v>0.09</v>
      </c>
      <c r="G160" s="3" t="str">
        <f t="shared" si="13"/>
        <v>0.09s</v>
      </c>
      <c r="H160" s="3">
        <f t="shared" si="14"/>
        <v>7.7016353395549482</v>
      </c>
      <c r="I160" s="3">
        <f t="shared" si="15"/>
        <v>0</v>
      </c>
      <c r="J160" s="3">
        <f t="shared" si="16"/>
        <v>0</v>
      </c>
      <c r="K160" s="3" t="str">
        <f t="shared" si="17"/>
        <v>Si37</v>
      </c>
      <c r="L160" s="3" cm="1">
        <f t="array" ref="L160">SUM(($J160*EXP(-$H160*12*3600*_xlfn.SEQUENCE(L$1-1))))+$J160</f>
        <v>0</v>
      </c>
      <c r="M160" s="3"/>
      <c r="N160" s="3"/>
    </row>
    <row r="161" spans="2:14" hidden="1" x14ac:dyDescent="0.2">
      <c r="B161" s="3">
        <v>14038</v>
      </c>
      <c r="C161" s="3">
        <v>0</v>
      </c>
      <c r="D161">
        <v>158</v>
      </c>
      <c r="E161" t="str">
        <f>VLOOKUP(B161,Nuclides!A:F,5,FALSE)</f>
        <v>Si38</v>
      </c>
      <c r="F161">
        <f>VLOOKUP(B161,Nuclides!A:F,4,FALSE)</f>
        <v>9.5000000000000001E-2</v>
      </c>
      <c r="G161" s="3" t="str">
        <f t="shared" si="13"/>
        <v>0.095s</v>
      </c>
      <c r="H161" s="3">
        <f t="shared" si="14"/>
        <v>7.2962861111573183</v>
      </c>
      <c r="I161" s="3">
        <f t="shared" si="15"/>
        <v>0</v>
      </c>
      <c r="J161" s="3">
        <f t="shared" si="16"/>
        <v>0</v>
      </c>
      <c r="K161" s="3" t="str">
        <f t="shared" si="17"/>
        <v>Si38</v>
      </c>
      <c r="L161" s="3" cm="1">
        <f t="array" ref="L161">SUM(($J161*EXP(-$H161*12*3600*_xlfn.SEQUENCE(L$1-1))))+$J161</f>
        <v>0</v>
      </c>
      <c r="M161" s="3"/>
      <c r="N161" s="3"/>
    </row>
    <row r="162" spans="2:14" hidden="1" x14ac:dyDescent="0.2">
      <c r="B162" s="3">
        <v>14039</v>
      </c>
      <c r="C162" s="3">
        <v>0</v>
      </c>
      <c r="D162">
        <v>159</v>
      </c>
      <c r="E162" t="str">
        <f>VLOOKUP(B162,Nuclides!A:F,5,FALSE)</f>
        <v>Si39</v>
      </c>
      <c r="F162">
        <f>VLOOKUP(B162,Nuclides!A:F,4,FALSE)</f>
        <v>4.7500000000000001E-2</v>
      </c>
      <c r="G162" s="3" t="str">
        <f t="shared" si="13"/>
        <v>0.0475s</v>
      </c>
      <c r="H162" s="3">
        <f t="shared" si="14"/>
        <v>14.592572222314637</v>
      </c>
      <c r="I162" s="3">
        <f t="shared" si="15"/>
        <v>0</v>
      </c>
      <c r="J162" s="3">
        <f t="shared" si="16"/>
        <v>0</v>
      </c>
      <c r="K162" s="3" t="str">
        <f t="shared" si="17"/>
        <v>Si39</v>
      </c>
      <c r="L162" s="3" cm="1">
        <f t="array" ref="L162">SUM(($J162*EXP(-$H162*12*3600*_xlfn.SEQUENCE(L$1-1))))+$J162</f>
        <v>0</v>
      </c>
      <c r="M162" s="3"/>
      <c r="N162" s="3"/>
    </row>
    <row r="163" spans="2:14" hidden="1" x14ac:dyDescent="0.2">
      <c r="B163" s="3">
        <v>15026</v>
      </c>
      <c r="C163" s="3">
        <v>0</v>
      </c>
      <c r="D163">
        <v>160</v>
      </c>
      <c r="E163" t="str">
        <f>VLOOKUP(B163,Nuclides!A:F,5,FALSE)</f>
        <v>P26</v>
      </c>
      <c r="F163">
        <f>VLOOKUP(B163,Nuclides!A:F,4,FALSE)</f>
        <v>4.3700000000000003E-2</v>
      </c>
      <c r="G163" s="3" t="str">
        <f t="shared" si="13"/>
        <v>0.0437s</v>
      </c>
      <c r="H163" s="3">
        <f t="shared" si="14"/>
        <v>15.86149154599417</v>
      </c>
      <c r="I163" s="3">
        <f t="shared" si="15"/>
        <v>0</v>
      </c>
      <c r="J163" s="3">
        <f t="shared" si="16"/>
        <v>0</v>
      </c>
      <c r="K163" s="3" t="str">
        <f t="shared" si="17"/>
        <v>P26</v>
      </c>
      <c r="L163" s="3" cm="1">
        <f t="array" ref="L163">SUM(($J163*EXP(-$H163*12*3600*_xlfn.SEQUENCE(L$1-1))))+$J163</f>
        <v>0</v>
      </c>
      <c r="M163" s="3"/>
      <c r="N163" s="3"/>
    </row>
    <row r="164" spans="2:14" hidden="1" x14ac:dyDescent="0.2">
      <c r="B164" s="3">
        <v>15027</v>
      </c>
      <c r="C164" s="3">
        <v>0</v>
      </c>
      <c r="D164">
        <v>161</v>
      </c>
      <c r="E164" t="str">
        <f>VLOOKUP(B164,Nuclides!A:F,5,FALSE)</f>
        <v>P27</v>
      </c>
      <c r="F164">
        <f>VLOOKUP(B164,Nuclides!A:F,4,FALSE)</f>
        <v>0.26</v>
      </c>
      <c r="G164" s="3" t="str">
        <f t="shared" si="13"/>
        <v>0.26s</v>
      </c>
      <c r="H164" s="3">
        <f t="shared" si="14"/>
        <v>2.665950694461328</v>
      </c>
      <c r="I164" s="3">
        <f t="shared" si="15"/>
        <v>0</v>
      </c>
      <c r="J164" s="3">
        <f t="shared" si="16"/>
        <v>0</v>
      </c>
      <c r="K164" s="3" t="str">
        <f t="shared" si="17"/>
        <v>P27</v>
      </c>
      <c r="L164" s="3" cm="1">
        <f t="array" ref="L164">SUM(($J164*EXP(-$H164*12*3600*_xlfn.SEQUENCE(L$1-1))))+$J164</f>
        <v>0</v>
      </c>
      <c r="M164" s="3"/>
      <c r="N164" s="3"/>
    </row>
    <row r="165" spans="2:14" hidden="1" x14ac:dyDescent="0.2">
      <c r="B165" s="3">
        <v>15028</v>
      </c>
      <c r="C165" s="3">
        <v>0</v>
      </c>
      <c r="D165">
        <v>162</v>
      </c>
      <c r="E165" t="str">
        <f>VLOOKUP(B165,Nuclides!A:F,5,FALSE)</f>
        <v>P28</v>
      </c>
      <c r="F165">
        <f>VLOOKUP(B165,Nuclides!A:F,4,FALSE)</f>
        <v>0.27029999999999998</v>
      </c>
      <c r="G165" s="3" t="str">
        <f t="shared" si="13"/>
        <v>0.2703s</v>
      </c>
      <c r="H165" s="3">
        <f t="shared" si="14"/>
        <v>2.5643624881980958</v>
      </c>
      <c r="I165" s="3">
        <f t="shared" si="15"/>
        <v>0</v>
      </c>
      <c r="J165" s="3">
        <f t="shared" si="16"/>
        <v>0</v>
      </c>
      <c r="K165" s="3" t="str">
        <f t="shared" si="17"/>
        <v>P28</v>
      </c>
      <c r="L165" s="3" cm="1">
        <f t="array" ref="L165">SUM(($J165*EXP(-$H165*12*3600*_xlfn.SEQUENCE(L$1-1))))+$J165</f>
        <v>0</v>
      </c>
      <c r="M165" s="3"/>
      <c r="N165" s="3"/>
    </row>
    <row r="166" spans="2:14" hidden="1" x14ac:dyDescent="0.2">
      <c r="B166" s="3">
        <v>15029</v>
      </c>
      <c r="C166" s="3">
        <v>0</v>
      </c>
      <c r="D166">
        <v>163</v>
      </c>
      <c r="E166" t="str">
        <f>VLOOKUP(B166,Nuclides!A:F,5,FALSE)</f>
        <v>P29</v>
      </c>
      <c r="F166">
        <f>VLOOKUP(B166,Nuclides!A:F,4,FALSE)</f>
        <v>4.1420000000000003</v>
      </c>
      <c r="G166" s="3" t="str">
        <f t="shared" si="13"/>
        <v>4.142s</v>
      </c>
      <c r="H166" s="3">
        <f t="shared" si="14"/>
        <v>0.16734601172379171</v>
      </c>
      <c r="I166" s="3">
        <f t="shared" si="15"/>
        <v>0</v>
      </c>
      <c r="J166" s="3">
        <f t="shared" si="16"/>
        <v>0</v>
      </c>
      <c r="K166" s="3" t="str">
        <f t="shared" si="17"/>
        <v>P29</v>
      </c>
      <c r="L166" s="3" cm="1">
        <f t="array" ref="L166">SUM(($J166*EXP(-$H166*12*3600*_xlfn.SEQUENCE(L$1-1))))+$J166</f>
        <v>0</v>
      </c>
      <c r="M166" s="3"/>
      <c r="N166" s="3"/>
    </row>
    <row r="167" spans="2:14" hidden="1" x14ac:dyDescent="0.2">
      <c r="B167" s="3">
        <v>15030</v>
      </c>
      <c r="C167" s="3">
        <v>0</v>
      </c>
      <c r="D167">
        <v>164</v>
      </c>
      <c r="E167" t="str">
        <f>VLOOKUP(B167,Nuclides!A:F,5,FALSE)</f>
        <v>P30</v>
      </c>
      <c r="F167">
        <f>VLOOKUP(B167,Nuclides!A:F,4,FALSE)</f>
        <v>149.88</v>
      </c>
      <c r="G167" s="3" t="str">
        <f t="shared" si="13"/>
        <v>2.5min</v>
      </c>
      <c r="H167" s="3">
        <f t="shared" si="14"/>
        <v>4.6246809484917625E-3</v>
      </c>
      <c r="I167" s="3">
        <f t="shared" si="15"/>
        <v>0</v>
      </c>
      <c r="J167" s="3">
        <f t="shared" si="16"/>
        <v>0</v>
      </c>
      <c r="K167" s="3" t="str">
        <f t="shared" si="17"/>
        <v>P30</v>
      </c>
      <c r="L167" s="3" cm="1">
        <f t="array" ref="L167">SUM(($J167*EXP(-$H167*12*3600*_xlfn.SEQUENCE(L$1-1))))+$J167</f>
        <v>0</v>
      </c>
      <c r="M167" s="3"/>
      <c r="N167" s="3"/>
    </row>
    <row r="168" spans="2:14" hidden="1" x14ac:dyDescent="0.2">
      <c r="B168" s="3">
        <v>15031</v>
      </c>
      <c r="C168" s="3">
        <v>0</v>
      </c>
      <c r="D168">
        <v>165</v>
      </c>
      <c r="E168" t="str">
        <f>VLOOKUP(B168,Nuclides!A:F,5,FALSE)</f>
        <v>P31</v>
      </c>
      <c r="F168" t="str">
        <f>VLOOKUP(B168,Nuclides!A:F,4,FALSE)</f>
        <v>STABLE</v>
      </c>
      <c r="G168" s="3" t="str">
        <f t="shared" si="13"/>
        <v>STABLE</v>
      </c>
      <c r="H168" s="3" t="e">
        <f t="shared" si="14"/>
        <v>#VALUE!</v>
      </c>
      <c r="I168" s="3" t="e">
        <f t="shared" si="15"/>
        <v>#VALUE!</v>
      </c>
      <c r="J168" s="3" t="e">
        <f t="shared" si="16"/>
        <v>#VALUE!</v>
      </c>
      <c r="K168" s="3" t="str">
        <f t="shared" si="17"/>
        <v>P31</v>
      </c>
      <c r="L168" s="3" t="e" cm="1">
        <f t="array" ref="L168">SUM(($J168*EXP(-$H168*12*3600*_xlfn.SEQUENCE(L$1-1))))+$J168</f>
        <v>#VALUE!</v>
      </c>
      <c r="M168" s="3"/>
      <c r="N168" s="3"/>
    </row>
    <row r="169" spans="2:14" hidden="1" x14ac:dyDescent="0.2">
      <c r="B169" s="3">
        <v>15032</v>
      </c>
      <c r="C169" s="3">
        <v>0</v>
      </c>
      <c r="D169">
        <v>166</v>
      </c>
      <c r="E169" t="str">
        <f>VLOOKUP(B169,Nuclides!A:F,5,FALSE)</f>
        <v>P32</v>
      </c>
      <c r="F169">
        <f>VLOOKUP(B169,Nuclides!A:F,4,FALSE)</f>
        <v>1232755.2</v>
      </c>
      <c r="G169" s="3" t="str">
        <f t="shared" si="13"/>
        <v>14.27d</v>
      </c>
      <c r="H169" s="3">
        <f t="shared" si="14"/>
        <v>5.6227479759156183E-7</v>
      </c>
      <c r="I169" s="3">
        <f t="shared" si="15"/>
        <v>0</v>
      </c>
      <c r="J169" s="3">
        <f t="shared" si="16"/>
        <v>0</v>
      </c>
      <c r="K169" s="3" t="str">
        <f t="shared" si="17"/>
        <v>P32</v>
      </c>
      <c r="L169" s="3" cm="1">
        <f t="array" ref="L169">SUM(($J169*EXP(-$H169*12*3600*_xlfn.SEQUENCE(L$1-1))))+$J169</f>
        <v>0</v>
      </c>
      <c r="M169" s="3"/>
      <c r="N169" s="3"/>
    </row>
    <row r="170" spans="2:14" hidden="1" x14ac:dyDescent="0.2">
      <c r="B170" s="3">
        <v>15033</v>
      </c>
      <c r="C170" s="3">
        <v>0</v>
      </c>
      <c r="D170">
        <v>167</v>
      </c>
      <c r="E170" t="str">
        <f>VLOOKUP(B170,Nuclides!A:F,5,FALSE)</f>
        <v>P33</v>
      </c>
      <c r="F170">
        <f>VLOOKUP(B170,Nuclides!A:F,4,FALSE)</f>
        <v>2190240</v>
      </c>
      <c r="G170" s="3" t="str">
        <f t="shared" si="13"/>
        <v>25.35d</v>
      </c>
      <c r="H170" s="3">
        <f t="shared" si="14"/>
        <v>3.1647088015922699E-7</v>
      </c>
      <c r="I170" s="3">
        <f t="shared" si="15"/>
        <v>0</v>
      </c>
      <c r="J170" s="3">
        <f t="shared" si="16"/>
        <v>0</v>
      </c>
      <c r="K170" s="3" t="str">
        <f t="shared" si="17"/>
        <v>P33</v>
      </c>
      <c r="L170" s="3" cm="1">
        <f t="array" ref="L170">SUM(($J170*EXP(-$H170*12*3600*_xlfn.SEQUENCE(L$1-1))))+$J170</f>
        <v>0</v>
      </c>
      <c r="M170" s="3"/>
      <c r="N170" s="3"/>
    </row>
    <row r="171" spans="2:14" hidden="1" x14ac:dyDescent="0.2">
      <c r="B171" s="3">
        <v>15034</v>
      </c>
      <c r="C171" s="3">
        <v>0</v>
      </c>
      <c r="D171">
        <v>168</v>
      </c>
      <c r="E171" t="str">
        <f>VLOOKUP(B171,Nuclides!A:F,5,FALSE)</f>
        <v>P34</v>
      </c>
      <c r="F171">
        <f>VLOOKUP(B171,Nuclides!A:F,4,FALSE)</f>
        <v>12.43</v>
      </c>
      <c r="G171" s="3" t="str">
        <f t="shared" si="13"/>
        <v>12.43s</v>
      </c>
      <c r="H171" s="3">
        <f t="shared" si="14"/>
        <v>5.5764053142393022E-2</v>
      </c>
      <c r="I171" s="3">
        <f t="shared" si="15"/>
        <v>0</v>
      </c>
      <c r="J171" s="3">
        <f t="shared" si="16"/>
        <v>0</v>
      </c>
      <c r="K171" s="3" t="str">
        <f t="shared" si="17"/>
        <v>P34</v>
      </c>
      <c r="L171" s="3" cm="1">
        <f t="array" ref="L171">SUM(($J171*EXP(-$H171*12*3600*_xlfn.SEQUENCE(L$1-1))))+$J171</f>
        <v>0</v>
      </c>
      <c r="M171" s="3"/>
      <c r="N171" s="3"/>
    </row>
    <row r="172" spans="2:14" hidden="1" x14ac:dyDescent="0.2">
      <c r="B172" s="3">
        <v>15035</v>
      </c>
      <c r="C172" s="3">
        <v>0</v>
      </c>
      <c r="D172">
        <v>169</v>
      </c>
      <c r="E172" t="str">
        <f>VLOOKUP(B172,Nuclides!A:F,5,FALSE)</f>
        <v>P35</v>
      </c>
      <c r="F172">
        <f>VLOOKUP(B172,Nuclides!A:F,4,FALSE)</f>
        <v>47.3</v>
      </c>
      <c r="G172" s="3" t="str">
        <f t="shared" si="13"/>
        <v>47.3s</v>
      </c>
      <c r="H172" s="3">
        <f t="shared" si="14"/>
        <v>1.4654274430442819E-2</v>
      </c>
      <c r="I172" s="3">
        <f t="shared" si="15"/>
        <v>0</v>
      </c>
      <c r="J172" s="3">
        <f t="shared" si="16"/>
        <v>0</v>
      </c>
      <c r="K172" s="3" t="str">
        <f t="shared" si="17"/>
        <v>P35</v>
      </c>
      <c r="L172" s="3" cm="1">
        <f t="array" ref="L172">SUM(($J172*EXP(-$H172*12*3600*_xlfn.SEQUENCE(L$1-1))))+$J172</f>
        <v>0</v>
      </c>
      <c r="M172" s="3"/>
      <c r="N172" s="3"/>
    </row>
    <row r="173" spans="2:14" hidden="1" x14ac:dyDescent="0.2">
      <c r="B173" s="3">
        <v>15036</v>
      </c>
      <c r="C173" s="3">
        <v>0</v>
      </c>
      <c r="D173">
        <v>170</v>
      </c>
      <c r="E173" t="str">
        <f>VLOOKUP(B173,Nuclides!A:F,5,FALSE)</f>
        <v>P36</v>
      </c>
      <c r="F173">
        <f>VLOOKUP(B173,Nuclides!A:F,4,FALSE)</f>
        <v>5.6</v>
      </c>
      <c r="G173" s="3" t="str">
        <f t="shared" si="13"/>
        <v>5.6s</v>
      </c>
      <c r="H173" s="3">
        <f t="shared" si="14"/>
        <v>0.12377628224284738</v>
      </c>
      <c r="I173" s="3">
        <f t="shared" si="15"/>
        <v>0</v>
      </c>
      <c r="J173" s="3">
        <f t="shared" si="16"/>
        <v>0</v>
      </c>
      <c r="K173" s="3" t="str">
        <f t="shared" si="17"/>
        <v>P36</v>
      </c>
      <c r="L173" s="3" cm="1">
        <f t="array" ref="L173">SUM(($J173*EXP(-$H173*12*3600*_xlfn.SEQUENCE(L$1-1))))+$J173</f>
        <v>0</v>
      </c>
      <c r="M173" s="3"/>
      <c r="N173" s="3"/>
    </row>
    <row r="174" spans="2:14" hidden="1" x14ac:dyDescent="0.2">
      <c r="B174" s="3">
        <v>15037</v>
      </c>
      <c r="C174" s="3">
        <v>0</v>
      </c>
      <c r="D174">
        <v>171</v>
      </c>
      <c r="E174" t="str">
        <f>VLOOKUP(B174,Nuclides!A:F,5,FALSE)</f>
        <v>P37</v>
      </c>
      <c r="F174">
        <f>VLOOKUP(B174,Nuclides!A:F,4,FALSE)</f>
        <v>2.31</v>
      </c>
      <c r="G174" s="3" t="str">
        <f t="shared" si="13"/>
        <v>2.31s</v>
      </c>
      <c r="H174" s="3">
        <f t="shared" si="14"/>
        <v>0.30006371452811481</v>
      </c>
      <c r="I174" s="3">
        <f t="shared" si="15"/>
        <v>0</v>
      </c>
      <c r="J174" s="3">
        <f t="shared" si="16"/>
        <v>0</v>
      </c>
      <c r="K174" s="3" t="str">
        <f t="shared" si="17"/>
        <v>P37</v>
      </c>
      <c r="L174" s="3" cm="1">
        <f t="array" ref="L174">SUM(($J174*EXP(-$H174*12*3600*_xlfn.SEQUENCE(L$1-1))))+$J174</f>
        <v>0</v>
      </c>
      <c r="M174" s="3"/>
      <c r="N174" s="3"/>
    </row>
    <row r="175" spans="2:14" hidden="1" x14ac:dyDescent="0.2">
      <c r="B175" s="3">
        <v>15038</v>
      </c>
      <c r="C175" s="3">
        <v>0</v>
      </c>
      <c r="D175">
        <v>172</v>
      </c>
      <c r="E175" t="str">
        <f>VLOOKUP(B175,Nuclides!A:F,5,FALSE)</f>
        <v>P38</v>
      </c>
      <c r="F175">
        <f>VLOOKUP(B175,Nuclides!A:F,4,FALSE)</f>
        <v>0.64</v>
      </c>
      <c r="G175" s="3" t="str">
        <f t="shared" si="13"/>
        <v>0.64s</v>
      </c>
      <c r="H175" s="3">
        <f t="shared" si="14"/>
        <v>1.0830424696249146</v>
      </c>
      <c r="I175" s="3">
        <f t="shared" si="15"/>
        <v>0</v>
      </c>
      <c r="J175" s="3">
        <f t="shared" si="16"/>
        <v>0</v>
      </c>
      <c r="K175" s="3" t="str">
        <f t="shared" si="17"/>
        <v>P38</v>
      </c>
      <c r="L175" s="3" cm="1">
        <f t="array" ref="L175">SUM(($J175*EXP(-$H175*12*3600*_xlfn.SEQUENCE(L$1-1))))+$J175</f>
        <v>0</v>
      </c>
      <c r="M175" s="3"/>
      <c r="N175" s="3"/>
    </row>
    <row r="176" spans="2:14" hidden="1" x14ac:dyDescent="0.2">
      <c r="B176" s="3">
        <v>15039</v>
      </c>
      <c r="C176" s="3">
        <v>0</v>
      </c>
      <c r="D176">
        <v>173</v>
      </c>
      <c r="E176" t="str">
        <f>VLOOKUP(B176,Nuclides!A:F,5,FALSE)</f>
        <v>P39</v>
      </c>
      <c r="F176">
        <f>VLOOKUP(B176,Nuclides!A:F,4,FALSE)</f>
        <v>0.28000000000000003</v>
      </c>
      <c r="G176" s="3" t="str">
        <f t="shared" si="13"/>
        <v>0.28s</v>
      </c>
      <c r="H176" s="3">
        <f t="shared" si="14"/>
        <v>2.4755256448569471</v>
      </c>
      <c r="I176" s="3">
        <f t="shared" si="15"/>
        <v>0</v>
      </c>
      <c r="J176" s="3">
        <f t="shared" si="16"/>
        <v>0</v>
      </c>
      <c r="K176" s="3" t="str">
        <f t="shared" si="17"/>
        <v>P39</v>
      </c>
      <c r="L176" s="3" cm="1">
        <f t="array" ref="L176">SUM(($J176*EXP(-$H176*12*3600*_xlfn.SEQUENCE(L$1-1))))+$J176</f>
        <v>0</v>
      </c>
      <c r="M176" s="3"/>
      <c r="N176" s="3"/>
    </row>
    <row r="177" spans="2:14" hidden="1" x14ac:dyDescent="0.2">
      <c r="B177" s="3">
        <v>15040</v>
      </c>
      <c r="C177" s="3">
        <v>0</v>
      </c>
      <c r="D177">
        <v>174</v>
      </c>
      <c r="E177" t="str">
        <f>VLOOKUP(B177,Nuclides!A:F,5,FALSE)</f>
        <v>P40</v>
      </c>
      <c r="F177">
        <f>VLOOKUP(B177,Nuclides!A:F,4,FALSE)</f>
        <v>0.15</v>
      </c>
      <c r="G177" s="3" t="str">
        <f t="shared" si="13"/>
        <v>0.15s</v>
      </c>
      <c r="H177" s="3">
        <f t="shared" si="14"/>
        <v>4.6209812037329687</v>
      </c>
      <c r="I177" s="3">
        <f t="shared" si="15"/>
        <v>0</v>
      </c>
      <c r="J177" s="3">
        <f t="shared" si="16"/>
        <v>0</v>
      </c>
      <c r="K177" s="3" t="str">
        <f t="shared" si="17"/>
        <v>P40</v>
      </c>
      <c r="L177" s="3" cm="1">
        <f t="array" ref="L177">SUM(($J177*EXP(-$H177*12*3600*_xlfn.SEQUENCE(L$1-1))))+$J177</f>
        <v>0</v>
      </c>
      <c r="M177" s="3"/>
      <c r="N177" s="3"/>
    </row>
    <row r="178" spans="2:14" hidden="1" x14ac:dyDescent="0.2">
      <c r="B178" s="3">
        <v>15041</v>
      </c>
      <c r="C178" s="3">
        <v>0</v>
      </c>
      <c r="D178">
        <v>175</v>
      </c>
      <c r="E178" t="str">
        <f>VLOOKUP(B178,Nuclides!A:F,5,FALSE)</f>
        <v>P41</v>
      </c>
      <c r="F178">
        <f>VLOOKUP(B178,Nuclides!A:F,4,FALSE)</f>
        <v>0.10100000000000001</v>
      </c>
      <c r="G178" s="3" t="str">
        <f t="shared" si="13"/>
        <v>0.101s</v>
      </c>
      <c r="H178" s="3">
        <f t="shared" si="14"/>
        <v>6.8628433718806461</v>
      </c>
      <c r="I178" s="3">
        <f t="shared" si="15"/>
        <v>0</v>
      </c>
      <c r="J178" s="3">
        <f t="shared" si="16"/>
        <v>0</v>
      </c>
      <c r="K178" s="3" t="str">
        <f t="shared" si="17"/>
        <v>P41</v>
      </c>
      <c r="L178" s="3" cm="1">
        <f t="array" ref="L178">SUM(($J178*EXP(-$H178*12*3600*_xlfn.SEQUENCE(L$1-1))))+$J178</f>
        <v>0</v>
      </c>
      <c r="M178" s="3"/>
      <c r="N178" s="3"/>
    </row>
    <row r="179" spans="2:14" hidden="1" x14ac:dyDescent="0.2">
      <c r="B179" s="3">
        <v>15042</v>
      </c>
      <c r="C179" s="3">
        <v>0</v>
      </c>
      <c r="D179">
        <v>176</v>
      </c>
      <c r="E179" t="str">
        <f>VLOOKUP(B179,Nuclides!A:F,5,FALSE)</f>
        <v>P42</v>
      </c>
      <c r="F179">
        <f>VLOOKUP(B179,Nuclides!A:F,4,FALSE)</f>
        <v>4.8500000000000001E-2</v>
      </c>
      <c r="G179" s="3" t="str">
        <f t="shared" si="13"/>
        <v>0.0485s</v>
      </c>
      <c r="H179" s="3">
        <f t="shared" si="14"/>
        <v>14.291694444534954</v>
      </c>
      <c r="I179" s="3">
        <f t="shared" si="15"/>
        <v>0</v>
      </c>
      <c r="J179" s="3">
        <f t="shared" si="16"/>
        <v>0</v>
      </c>
      <c r="K179" s="3" t="str">
        <f t="shared" si="17"/>
        <v>P42</v>
      </c>
      <c r="L179" s="3" cm="1">
        <f t="array" ref="L179">SUM(($J179*EXP(-$H179*12*3600*_xlfn.SEQUENCE(L$1-1))))+$J179</f>
        <v>0</v>
      </c>
      <c r="M179" s="3"/>
      <c r="N179" s="3"/>
    </row>
    <row r="180" spans="2:14" hidden="1" x14ac:dyDescent="0.2">
      <c r="B180" s="3">
        <v>16029</v>
      </c>
      <c r="C180" s="3">
        <v>0</v>
      </c>
      <c r="D180">
        <v>177</v>
      </c>
      <c r="E180" t="str">
        <f>VLOOKUP(B180,Nuclides!A:F,5,FALSE)</f>
        <v>S29</v>
      </c>
      <c r="F180">
        <f>VLOOKUP(B180,Nuclides!A:F,4,FALSE)</f>
        <v>0.188</v>
      </c>
      <c r="G180" s="3" t="str">
        <f t="shared" si="13"/>
        <v>0.188s</v>
      </c>
      <c r="H180" s="3">
        <f t="shared" si="14"/>
        <v>3.6869530880848154</v>
      </c>
      <c r="I180" s="3">
        <f t="shared" si="15"/>
        <v>0</v>
      </c>
      <c r="J180" s="3">
        <f t="shared" si="16"/>
        <v>0</v>
      </c>
      <c r="K180" s="3" t="str">
        <f t="shared" si="17"/>
        <v>S29</v>
      </c>
      <c r="L180" s="3" cm="1">
        <f t="array" ref="L180">SUM(($J180*EXP(-$H180*12*3600*_xlfn.SEQUENCE(L$1-1))))+$J180</f>
        <v>0</v>
      </c>
      <c r="M180" s="3"/>
      <c r="N180" s="3"/>
    </row>
    <row r="181" spans="2:14" hidden="1" x14ac:dyDescent="0.2">
      <c r="B181" s="3">
        <v>16030</v>
      </c>
      <c r="C181" s="3">
        <v>0</v>
      </c>
      <c r="D181">
        <v>178</v>
      </c>
      <c r="E181" t="str">
        <f>VLOOKUP(B181,Nuclides!A:F,5,FALSE)</f>
        <v>S30</v>
      </c>
      <c r="F181">
        <f>VLOOKUP(B181,Nuclides!A:F,4,FALSE)</f>
        <v>1.1779999999999999</v>
      </c>
      <c r="G181" s="3" t="str">
        <f t="shared" si="13"/>
        <v>1.178s</v>
      </c>
      <c r="H181" s="3">
        <f t="shared" si="14"/>
        <v>0.5884101702546225</v>
      </c>
      <c r="I181" s="3">
        <f t="shared" si="15"/>
        <v>0</v>
      </c>
      <c r="J181" s="3">
        <f t="shared" si="16"/>
        <v>0</v>
      </c>
      <c r="K181" s="3" t="str">
        <f t="shared" si="17"/>
        <v>S30</v>
      </c>
      <c r="L181" s="3" cm="1">
        <f t="array" ref="L181">SUM(($J181*EXP(-$H181*12*3600*_xlfn.SEQUENCE(L$1-1))))+$J181</f>
        <v>0</v>
      </c>
      <c r="M181" s="3"/>
      <c r="N181" s="3"/>
    </row>
    <row r="182" spans="2:14" hidden="1" x14ac:dyDescent="0.2">
      <c r="B182" s="3">
        <v>16031</v>
      </c>
      <c r="C182" s="3">
        <v>0</v>
      </c>
      <c r="D182">
        <v>179</v>
      </c>
      <c r="E182" t="str">
        <f>VLOOKUP(B182,Nuclides!A:F,5,FALSE)</f>
        <v>S31</v>
      </c>
      <c r="F182">
        <f>VLOOKUP(B182,Nuclides!A:F,4,FALSE)</f>
        <v>2.5533999999999999</v>
      </c>
      <c r="G182" s="3" t="str">
        <f t="shared" si="13"/>
        <v>2.5534s</v>
      </c>
      <c r="H182" s="3">
        <f t="shared" si="14"/>
        <v>0.27146047644706872</v>
      </c>
      <c r="I182" s="3">
        <f t="shared" si="15"/>
        <v>0</v>
      </c>
      <c r="J182" s="3">
        <f t="shared" si="16"/>
        <v>0</v>
      </c>
      <c r="K182" s="3" t="str">
        <f t="shared" si="17"/>
        <v>S31</v>
      </c>
      <c r="L182" s="3" cm="1">
        <f t="array" ref="L182">SUM(($J182*EXP(-$H182*12*3600*_xlfn.SEQUENCE(L$1-1))))+$J182</f>
        <v>0</v>
      </c>
      <c r="M182" s="3"/>
      <c r="N182" s="3"/>
    </row>
    <row r="183" spans="2:14" hidden="1" x14ac:dyDescent="0.2">
      <c r="B183" s="3">
        <v>16032</v>
      </c>
      <c r="C183" s="3">
        <v>0</v>
      </c>
      <c r="D183">
        <v>180</v>
      </c>
      <c r="E183" t="str">
        <f>VLOOKUP(B183,Nuclides!A:F,5,FALSE)</f>
        <v>S32</v>
      </c>
      <c r="F183" t="str">
        <f>VLOOKUP(B183,Nuclides!A:F,4,FALSE)</f>
        <v>STABLE</v>
      </c>
      <c r="G183" s="3" t="str">
        <f t="shared" si="13"/>
        <v>STABLE</v>
      </c>
      <c r="H183" s="3" t="e">
        <f t="shared" si="14"/>
        <v>#VALUE!</v>
      </c>
      <c r="I183" s="3" t="e">
        <f t="shared" si="15"/>
        <v>#VALUE!</v>
      </c>
      <c r="J183" s="3" t="e">
        <f t="shared" si="16"/>
        <v>#VALUE!</v>
      </c>
      <c r="K183" s="3" t="str">
        <f t="shared" si="17"/>
        <v>S32</v>
      </c>
      <c r="L183" s="3" t="e" cm="1">
        <f t="array" ref="L183">SUM(($J183*EXP(-$H183*12*3600*_xlfn.SEQUENCE(L$1-1))))+$J183</f>
        <v>#VALUE!</v>
      </c>
      <c r="M183" s="3"/>
      <c r="N183" s="3"/>
    </row>
    <row r="184" spans="2:14" hidden="1" x14ac:dyDescent="0.2">
      <c r="B184" s="3">
        <v>16033</v>
      </c>
      <c r="C184" s="3">
        <v>0</v>
      </c>
      <c r="D184">
        <v>181</v>
      </c>
      <c r="E184" t="str">
        <f>VLOOKUP(B184,Nuclides!A:F,5,FALSE)</f>
        <v>S33</v>
      </c>
      <c r="F184" t="str">
        <f>VLOOKUP(B184,Nuclides!A:F,4,FALSE)</f>
        <v>STABLE</v>
      </c>
      <c r="G184" s="3" t="str">
        <f t="shared" si="13"/>
        <v>STABLE</v>
      </c>
      <c r="H184" s="3" t="e">
        <f t="shared" si="14"/>
        <v>#VALUE!</v>
      </c>
      <c r="I184" s="3" t="e">
        <f t="shared" si="15"/>
        <v>#VALUE!</v>
      </c>
      <c r="J184" s="3" t="e">
        <f t="shared" si="16"/>
        <v>#VALUE!</v>
      </c>
      <c r="K184" s="3" t="str">
        <f t="shared" si="17"/>
        <v>S33</v>
      </c>
      <c r="L184" s="3" t="e" cm="1">
        <f t="array" ref="L184">SUM(($J184*EXP(-$H184*12*3600*_xlfn.SEQUENCE(L$1-1))))+$J184</f>
        <v>#VALUE!</v>
      </c>
      <c r="M184" s="3"/>
      <c r="N184" s="3"/>
    </row>
    <row r="185" spans="2:14" hidden="1" x14ac:dyDescent="0.2">
      <c r="B185" s="3">
        <v>16034</v>
      </c>
      <c r="C185" s="3">
        <v>0</v>
      </c>
      <c r="D185">
        <v>182</v>
      </c>
      <c r="E185" t="str">
        <f>VLOOKUP(B185,Nuclides!A:F,5,FALSE)</f>
        <v>S34</v>
      </c>
      <c r="F185" t="str">
        <f>VLOOKUP(B185,Nuclides!A:F,4,FALSE)</f>
        <v>STABLE</v>
      </c>
      <c r="G185" s="3" t="str">
        <f t="shared" si="13"/>
        <v>STABLE</v>
      </c>
      <c r="H185" s="3" t="e">
        <f t="shared" si="14"/>
        <v>#VALUE!</v>
      </c>
      <c r="I185" s="3" t="e">
        <f t="shared" si="15"/>
        <v>#VALUE!</v>
      </c>
      <c r="J185" s="3" t="e">
        <f t="shared" si="16"/>
        <v>#VALUE!</v>
      </c>
      <c r="K185" s="3" t="str">
        <f t="shared" si="17"/>
        <v>S34</v>
      </c>
      <c r="L185" s="3" t="e" cm="1">
        <f t="array" ref="L185">SUM(($J185*EXP(-$H185*12*3600*_xlfn.SEQUENCE(L$1-1))))+$J185</f>
        <v>#VALUE!</v>
      </c>
      <c r="M185" s="3"/>
      <c r="N185" s="3"/>
    </row>
    <row r="186" spans="2:14" hidden="1" x14ac:dyDescent="0.2">
      <c r="B186" s="3">
        <v>16035</v>
      </c>
      <c r="C186" s="3">
        <v>0</v>
      </c>
      <c r="D186">
        <v>183</v>
      </c>
      <c r="E186" t="str">
        <f>VLOOKUP(B186,Nuclides!A:F,5,FALSE)</f>
        <v>S35</v>
      </c>
      <c r="F186">
        <f>VLOOKUP(B186,Nuclides!A:F,4,FALSE)</f>
        <v>7548768</v>
      </c>
      <c r="G186" s="3" t="str">
        <f t="shared" si="13"/>
        <v>87.37d</v>
      </c>
      <c r="H186" s="3">
        <f t="shared" si="14"/>
        <v>9.1822557079505592E-8</v>
      </c>
      <c r="I186" s="3">
        <f t="shared" si="15"/>
        <v>0</v>
      </c>
      <c r="J186" s="3">
        <f t="shared" si="16"/>
        <v>0</v>
      </c>
      <c r="K186" s="3" t="str">
        <f t="shared" si="17"/>
        <v>S35</v>
      </c>
      <c r="L186" s="3" cm="1">
        <f t="array" ref="L186">SUM(($J186*EXP(-$H186*12*3600*_xlfn.SEQUENCE(L$1-1))))+$J186</f>
        <v>0</v>
      </c>
      <c r="M186" s="3"/>
      <c r="N186" s="3"/>
    </row>
    <row r="187" spans="2:14" hidden="1" x14ac:dyDescent="0.2">
      <c r="B187" s="3">
        <v>16036</v>
      </c>
      <c r="C187" s="3">
        <v>0</v>
      </c>
      <c r="D187">
        <v>184</v>
      </c>
      <c r="E187" t="str">
        <f>VLOOKUP(B187,Nuclides!A:F,5,FALSE)</f>
        <v>S36</v>
      </c>
      <c r="F187" t="str">
        <f>VLOOKUP(B187,Nuclides!A:F,4,FALSE)</f>
        <v>STABLE</v>
      </c>
      <c r="G187" s="3" t="str">
        <f t="shared" si="13"/>
        <v>STABLE</v>
      </c>
      <c r="H187" s="3" t="e">
        <f t="shared" si="14"/>
        <v>#VALUE!</v>
      </c>
      <c r="I187" s="3" t="e">
        <f t="shared" si="15"/>
        <v>#VALUE!</v>
      </c>
      <c r="J187" s="3" t="e">
        <f t="shared" si="16"/>
        <v>#VALUE!</v>
      </c>
      <c r="K187" s="3" t="str">
        <f t="shared" si="17"/>
        <v>S36</v>
      </c>
      <c r="L187" s="3" t="e" cm="1">
        <f t="array" ref="L187">SUM(($J187*EXP(-$H187*12*3600*_xlfn.SEQUENCE(L$1-1))))+$J187</f>
        <v>#VALUE!</v>
      </c>
      <c r="M187" s="3"/>
      <c r="N187" s="3"/>
    </row>
    <row r="188" spans="2:14" hidden="1" x14ac:dyDescent="0.2">
      <c r="B188" s="3">
        <v>16037</v>
      </c>
      <c r="C188" s="3">
        <v>0</v>
      </c>
      <c r="D188">
        <v>185</v>
      </c>
      <c r="E188" t="str">
        <f>VLOOKUP(B188,Nuclides!A:F,5,FALSE)</f>
        <v>S37</v>
      </c>
      <c r="F188">
        <f>VLOOKUP(B188,Nuclides!A:F,4,FALSE)</f>
        <v>303</v>
      </c>
      <c r="G188" s="3" t="str">
        <f t="shared" si="13"/>
        <v>5.05min</v>
      </c>
      <c r="H188" s="3">
        <f t="shared" si="14"/>
        <v>2.2876144572935488E-3</v>
      </c>
      <c r="I188" s="3">
        <f t="shared" si="15"/>
        <v>0</v>
      </c>
      <c r="J188" s="3">
        <f t="shared" si="16"/>
        <v>0</v>
      </c>
      <c r="K188" s="3" t="str">
        <f t="shared" si="17"/>
        <v>S37</v>
      </c>
      <c r="L188" s="3" cm="1">
        <f t="array" ref="L188">SUM(($J188*EXP(-$H188*12*3600*_xlfn.SEQUENCE(L$1-1))))+$J188</f>
        <v>0</v>
      </c>
      <c r="M188" s="3"/>
      <c r="N188" s="3"/>
    </row>
    <row r="189" spans="2:14" hidden="1" x14ac:dyDescent="0.2">
      <c r="B189" s="3">
        <v>16038</v>
      </c>
      <c r="C189" s="3">
        <v>0</v>
      </c>
      <c r="D189">
        <v>186</v>
      </c>
      <c r="E189" t="str">
        <f>VLOOKUP(B189,Nuclides!A:F,5,FALSE)</f>
        <v>S38</v>
      </c>
      <c r="F189">
        <f>VLOOKUP(B189,Nuclides!A:F,4,FALSE)</f>
        <v>10218</v>
      </c>
      <c r="G189" s="3" t="str">
        <f t="shared" si="13"/>
        <v>2.84h</v>
      </c>
      <c r="H189" s="3">
        <f t="shared" si="14"/>
        <v>6.7835895533367125E-5</v>
      </c>
      <c r="I189" s="3">
        <f t="shared" si="15"/>
        <v>0</v>
      </c>
      <c r="J189" s="3">
        <f t="shared" si="16"/>
        <v>0</v>
      </c>
      <c r="K189" s="3" t="str">
        <f t="shared" si="17"/>
        <v>S38</v>
      </c>
      <c r="L189" s="3" cm="1">
        <f t="array" ref="L189">SUM(($J189*EXP(-$H189*12*3600*_xlfn.SEQUENCE(L$1-1))))+$J189</f>
        <v>0</v>
      </c>
      <c r="M189" s="3"/>
      <c r="N189" s="3"/>
    </row>
    <row r="190" spans="2:14" hidden="1" x14ac:dyDescent="0.2">
      <c r="B190" s="3">
        <v>16039</v>
      </c>
      <c r="C190" s="3">
        <v>0</v>
      </c>
      <c r="D190">
        <v>187</v>
      </c>
      <c r="E190" t="str">
        <f>VLOOKUP(B190,Nuclides!A:F,5,FALSE)</f>
        <v>S39</v>
      </c>
      <c r="F190">
        <f>VLOOKUP(B190,Nuclides!A:F,4,FALSE)</f>
        <v>11.5</v>
      </c>
      <c r="G190" s="3" t="str">
        <f t="shared" si="13"/>
        <v>11.5s</v>
      </c>
      <c r="H190" s="3">
        <f t="shared" si="14"/>
        <v>6.027366787477785E-2</v>
      </c>
      <c r="I190" s="3">
        <f t="shared" si="15"/>
        <v>0</v>
      </c>
      <c r="J190" s="3">
        <f t="shared" si="16"/>
        <v>0</v>
      </c>
      <c r="K190" s="3" t="str">
        <f t="shared" si="17"/>
        <v>S39</v>
      </c>
      <c r="L190" s="3" cm="1">
        <f t="array" ref="L190">SUM(($J190*EXP(-$H190*12*3600*_xlfn.SEQUENCE(L$1-1))))+$J190</f>
        <v>0</v>
      </c>
      <c r="M190" s="3"/>
      <c r="N190" s="3"/>
    </row>
    <row r="191" spans="2:14" hidden="1" x14ac:dyDescent="0.2">
      <c r="B191" s="3">
        <v>16040</v>
      </c>
      <c r="C191" s="3">
        <v>0</v>
      </c>
      <c r="D191">
        <v>188</v>
      </c>
      <c r="E191" t="str">
        <f>VLOOKUP(B191,Nuclides!A:F,5,FALSE)</f>
        <v>S40</v>
      </c>
      <c r="F191">
        <f>VLOOKUP(B191,Nuclides!A:F,4,FALSE)</f>
        <v>8.8000000000000007</v>
      </c>
      <c r="G191" s="3" t="str">
        <f t="shared" si="13"/>
        <v>8.8s</v>
      </c>
      <c r="H191" s="3">
        <f t="shared" si="14"/>
        <v>7.8766725063630139E-2</v>
      </c>
      <c r="I191" s="3">
        <f t="shared" si="15"/>
        <v>0</v>
      </c>
      <c r="J191" s="3">
        <f t="shared" si="16"/>
        <v>0</v>
      </c>
      <c r="K191" s="3" t="str">
        <f t="shared" si="17"/>
        <v>S40</v>
      </c>
      <c r="L191" s="3" cm="1">
        <f t="array" ref="L191">SUM(($J191*EXP(-$H191*12*3600*_xlfn.SEQUENCE(L$1-1))))+$J191</f>
        <v>0</v>
      </c>
      <c r="M191" s="3"/>
      <c r="N191" s="3"/>
    </row>
    <row r="192" spans="2:14" hidden="1" x14ac:dyDescent="0.2">
      <c r="B192" s="3">
        <v>16041</v>
      </c>
      <c r="C192" s="3">
        <v>0</v>
      </c>
      <c r="D192">
        <v>189</v>
      </c>
      <c r="E192" t="str">
        <f>VLOOKUP(B192,Nuclides!A:F,5,FALSE)</f>
        <v>S41</v>
      </c>
      <c r="F192">
        <f>VLOOKUP(B192,Nuclides!A:F,4,FALSE)</f>
        <v>2.6</v>
      </c>
      <c r="G192" s="3" t="str">
        <f t="shared" si="13"/>
        <v>2.6s</v>
      </c>
      <c r="H192" s="3">
        <f t="shared" si="14"/>
        <v>0.26659506944613282</v>
      </c>
      <c r="I192" s="3">
        <f t="shared" si="15"/>
        <v>0</v>
      </c>
      <c r="J192" s="3">
        <f t="shared" si="16"/>
        <v>0</v>
      </c>
      <c r="K192" s="3" t="str">
        <f t="shared" si="17"/>
        <v>S41</v>
      </c>
      <c r="L192" s="3" cm="1">
        <f t="array" ref="L192">SUM(($J192*EXP(-$H192*12*3600*_xlfn.SEQUENCE(L$1-1))))+$J192</f>
        <v>0</v>
      </c>
      <c r="M192" s="3"/>
      <c r="N192" s="3"/>
    </row>
    <row r="193" spans="2:14" hidden="1" x14ac:dyDescent="0.2">
      <c r="B193" s="3">
        <v>16042</v>
      </c>
      <c r="C193" s="3">
        <v>0</v>
      </c>
      <c r="D193">
        <v>190</v>
      </c>
      <c r="E193" t="str">
        <f>VLOOKUP(B193,Nuclides!A:F,5,FALSE)</f>
        <v>S42</v>
      </c>
      <c r="F193">
        <f>VLOOKUP(B193,Nuclides!A:F,4,FALSE)</f>
        <v>1.03</v>
      </c>
      <c r="G193" s="3" t="str">
        <f t="shared" si="13"/>
        <v>1.03s</v>
      </c>
      <c r="H193" s="3">
        <f t="shared" si="14"/>
        <v>0.67295842772810222</v>
      </c>
      <c r="I193" s="3">
        <f t="shared" si="15"/>
        <v>0</v>
      </c>
      <c r="J193" s="3">
        <f t="shared" si="16"/>
        <v>0</v>
      </c>
      <c r="K193" s="3" t="str">
        <f t="shared" si="17"/>
        <v>S42</v>
      </c>
      <c r="L193" s="3" cm="1">
        <f t="array" ref="L193">SUM(($J193*EXP(-$H193*12*3600*_xlfn.SEQUENCE(L$1-1))))+$J193</f>
        <v>0</v>
      </c>
      <c r="M193" s="3"/>
      <c r="N193" s="3"/>
    </row>
    <row r="194" spans="2:14" hidden="1" x14ac:dyDescent="0.2">
      <c r="B194" s="3">
        <v>16043</v>
      </c>
      <c r="C194" s="3">
        <v>0</v>
      </c>
      <c r="D194">
        <v>191</v>
      </c>
      <c r="E194" t="str">
        <f>VLOOKUP(B194,Nuclides!A:F,5,FALSE)</f>
        <v>S43</v>
      </c>
      <c r="F194">
        <f>VLOOKUP(B194,Nuclides!A:F,4,FALSE)</f>
        <v>0.27300000000000002</v>
      </c>
      <c r="G194" s="3" t="str">
        <f t="shared" si="13"/>
        <v>0.273s</v>
      </c>
      <c r="H194" s="3">
        <f t="shared" si="14"/>
        <v>2.5390006613917406</v>
      </c>
      <c r="I194" s="3">
        <f t="shared" si="15"/>
        <v>0</v>
      </c>
      <c r="J194" s="3">
        <f t="shared" si="16"/>
        <v>0</v>
      </c>
      <c r="K194" s="3" t="str">
        <f t="shared" si="17"/>
        <v>S43</v>
      </c>
      <c r="L194" s="3" cm="1">
        <f t="array" ref="L194">SUM(($J194*EXP(-$H194*12*3600*_xlfn.SEQUENCE(L$1-1))))+$J194</f>
        <v>0</v>
      </c>
      <c r="M194" s="3"/>
      <c r="N194" s="3"/>
    </row>
    <row r="195" spans="2:14" hidden="1" x14ac:dyDescent="0.2">
      <c r="B195" s="3">
        <v>16044</v>
      </c>
      <c r="C195" s="3">
        <v>0</v>
      </c>
      <c r="D195">
        <v>192</v>
      </c>
      <c r="E195" t="str">
        <f>VLOOKUP(B195,Nuclides!A:F,5,FALSE)</f>
        <v>S44</v>
      </c>
      <c r="F195">
        <f>VLOOKUP(B195,Nuclides!A:F,4,FALSE)</f>
        <v>0.1</v>
      </c>
      <c r="G195" s="3" t="str">
        <f t="shared" si="13"/>
        <v>0.1s</v>
      </c>
      <c r="H195" s="3">
        <f t="shared" si="14"/>
        <v>6.9314718055994522</v>
      </c>
      <c r="I195" s="3">
        <f t="shared" si="15"/>
        <v>0</v>
      </c>
      <c r="J195" s="3">
        <f t="shared" si="16"/>
        <v>0</v>
      </c>
      <c r="K195" s="3" t="str">
        <f t="shared" si="17"/>
        <v>S44</v>
      </c>
      <c r="L195" s="3" cm="1">
        <f t="array" ref="L195">SUM(($J195*EXP(-$H195*12*3600*_xlfn.SEQUENCE(L$1-1))))+$J195</f>
        <v>0</v>
      </c>
      <c r="M195" s="3"/>
      <c r="N195" s="3"/>
    </row>
    <row r="196" spans="2:14" hidden="1" x14ac:dyDescent="0.2">
      <c r="B196" s="3">
        <v>17031</v>
      </c>
      <c r="C196" s="3">
        <v>0</v>
      </c>
      <c r="D196">
        <v>193</v>
      </c>
      <c r="E196" t="str">
        <f>VLOOKUP(B196,Nuclides!A:F,5,FALSE)</f>
        <v>Cl31</v>
      </c>
      <c r="F196">
        <f>VLOOKUP(B196,Nuclides!A:F,4,FALSE)</f>
        <v>0.19</v>
      </c>
      <c r="G196" s="3" t="str">
        <f t="shared" ref="G196:G259" si="18">IF(F196="STABLE", "STABLE", IF(F196&lt;60, F196&amp;"s", IF(F196&lt;3600, ROUND(F196/60,2)&amp;"min", IF(F196&lt;86400, ROUND(F196/3600,2)&amp;"h", IF(F196&lt;31536000, ROUND(F196/86400,2)&amp;"d", ROUND(F196/31536000,2)&amp;"y")))))</f>
        <v>0.19s</v>
      </c>
      <c r="H196" s="3">
        <f t="shared" ref="H196:H259" si="19">LN(2)/F196</f>
        <v>3.6481430555786591</v>
      </c>
      <c r="I196" s="3">
        <f t="shared" ref="I196:I259" si="20">100*6240000000000*C196*(1-EXP(-H196*2*3600))</f>
        <v>0</v>
      </c>
      <c r="J196" s="3">
        <f t="shared" ref="J196:J259" si="21">I196*EXP(-H196*10*3600)</f>
        <v>0</v>
      </c>
      <c r="K196" s="3" t="str">
        <f t="shared" ref="K196:K259" si="22">E196</f>
        <v>Cl31</v>
      </c>
      <c r="L196" s="3" cm="1">
        <f t="array" ref="L196">SUM(($J196*EXP(-$H196*12*3600*_xlfn.SEQUENCE(L$1-1))))+$J196</f>
        <v>0</v>
      </c>
      <c r="M196" s="3"/>
      <c r="N196" s="3"/>
    </row>
    <row r="197" spans="2:14" hidden="1" x14ac:dyDescent="0.2">
      <c r="B197" s="3">
        <v>17032</v>
      </c>
      <c r="C197" s="3">
        <v>0</v>
      </c>
      <c r="D197">
        <v>194</v>
      </c>
      <c r="E197" t="str">
        <f>VLOOKUP(B197,Nuclides!A:F,5,FALSE)</f>
        <v>Cl32</v>
      </c>
      <c r="F197">
        <f>VLOOKUP(B197,Nuclides!A:F,4,FALSE)</f>
        <v>0.29799999999999999</v>
      </c>
      <c r="G197" s="3" t="str">
        <f t="shared" si="18"/>
        <v>0.298s</v>
      </c>
      <c r="H197" s="3">
        <f t="shared" si="19"/>
        <v>2.325997250201159</v>
      </c>
      <c r="I197" s="3">
        <f t="shared" si="20"/>
        <v>0</v>
      </c>
      <c r="J197" s="3">
        <f t="shared" si="21"/>
        <v>0</v>
      </c>
      <c r="K197" s="3" t="str">
        <f t="shared" si="22"/>
        <v>Cl32</v>
      </c>
      <c r="L197" s="3" cm="1">
        <f t="array" ref="L197">SUM(($J197*EXP(-$H197*12*3600*_xlfn.SEQUENCE(L$1-1))))+$J197</f>
        <v>0</v>
      </c>
      <c r="M197" s="3"/>
      <c r="N197" s="3"/>
    </row>
    <row r="198" spans="2:14" hidden="1" x14ac:dyDescent="0.2">
      <c r="B198" s="3">
        <v>17033</v>
      </c>
      <c r="C198" s="3">
        <v>0</v>
      </c>
      <c r="D198">
        <v>195</v>
      </c>
      <c r="E198" t="str">
        <f>VLOOKUP(B198,Nuclides!A:F,5,FALSE)</f>
        <v>Cl33</v>
      </c>
      <c r="F198">
        <f>VLOOKUP(B198,Nuclides!A:F,4,FALSE)</f>
        <v>2.5110000000000001</v>
      </c>
      <c r="G198" s="3" t="str">
        <f t="shared" si="18"/>
        <v>2.511s</v>
      </c>
      <c r="H198" s="3">
        <f t="shared" si="19"/>
        <v>0.27604427740340315</v>
      </c>
      <c r="I198" s="3">
        <f t="shared" si="20"/>
        <v>0</v>
      </c>
      <c r="J198" s="3">
        <f t="shared" si="21"/>
        <v>0</v>
      </c>
      <c r="K198" s="3" t="str">
        <f t="shared" si="22"/>
        <v>Cl33</v>
      </c>
      <c r="L198" s="3" cm="1">
        <f t="array" ref="L198">SUM(($J198*EXP(-$H198*12*3600*_xlfn.SEQUENCE(L$1-1))))+$J198</f>
        <v>0</v>
      </c>
      <c r="M198" s="3"/>
      <c r="N198" s="3"/>
    </row>
    <row r="199" spans="2:14" hidden="1" x14ac:dyDescent="0.2">
      <c r="B199" s="3">
        <v>17034</v>
      </c>
      <c r="C199" s="3">
        <v>0</v>
      </c>
      <c r="D199">
        <v>196</v>
      </c>
      <c r="E199" t="str">
        <f>VLOOKUP(B199,Nuclides!A:F,5,FALSE)</f>
        <v>Cl34</v>
      </c>
      <c r="F199">
        <f>VLOOKUP(B199,Nuclides!A:F,4,FALSE)</f>
        <v>1.5264</v>
      </c>
      <c r="G199" s="3" t="str">
        <f t="shared" si="18"/>
        <v>1.5264s</v>
      </c>
      <c r="H199" s="3">
        <f t="shared" si="19"/>
        <v>0.45410585728507946</v>
      </c>
      <c r="I199" s="3">
        <f t="shared" si="20"/>
        <v>0</v>
      </c>
      <c r="J199" s="3">
        <f t="shared" si="21"/>
        <v>0</v>
      </c>
      <c r="K199" s="3" t="str">
        <f t="shared" si="22"/>
        <v>Cl34</v>
      </c>
      <c r="L199" s="3" cm="1">
        <f t="array" ref="L199">SUM(($J199*EXP(-$H199*12*3600*_xlfn.SEQUENCE(L$1-1))))+$J199</f>
        <v>0</v>
      </c>
      <c r="M199" s="3"/>
      <c r="N199" s="3"/>
    </row>
    <row r="200" spans="2:14" hidden="1" x14ac:dyDescent="0.2">
      <c r="B200" s="3">
        <v>17035</v>
      </c>
      <c r="C200" s="3">
        <v>0</v>
      </c>
      <c r="D200">
        <v>197</v>
      </c>
      <c r="E200" t="str">
        <f>VLOOKUP(B200,Nuclides!A:F,5,FALSE)</f>
        <v>Cl35</v>
      </c>
      <c r="F200" t="str">
        <f>VLOOKUP(B200,Nuclides!A:F,4,FALSE)</f>
        <v>STABLE</v>
      </c>
      <c r="G200" s="3" t="str">
        <f t="shared" si="18"/>
        <v>STABLE</v>
      </c>
      <c r="H200" s="3" t="e">
        <f t="shared" si="19"/>
        <v>#VALUE!</v>
      </c>
      <c r="I200" s="3" t="e">
        <f t="shared" si="20"/>
        <v>#VALUE!</v>
      </c>
      <c r="J200" s="3" t="e">
        <f t="shared" si="21"/>
        <v>#VALUE!</v>
      </c>
      <c r="K200" s="3" t="str">
        <f t="shared" si="22"/>
        <v>Cl35</v>
      </c>
      <c r="L200" s="3" t="e" cm="1">
        <f t="array" ref="L200">SUM(($J200*EXP(-$H200*12*3600*_xlfn.SEQUENCE(L$1-1))))+$J200</f>
        <v>#VALUE!</v>
      </c>
      <c r="M200" s="3"/>
      <c r="N200" s="3"/>
    </row>
    <row r="201" spans="2:14" hidden="1" x14ac:dyDescent="0.2">
      <c r="B201" s="3">
        <v>17036</v>
      </c>
      <c r="C201" s="3">
        <v>0</v>
      </c>
      <c r="D201">
        <v>198</v>
      </c>
      <c r="E201" t="str">
        <f>VLOOKUP(B201,Nuclides!A:F,5,FALSE)</f>
        <v>Cl36</v>
      </c>
      <c r="F201">
        <f>VLOOKUP(B201,Nuclides!A:F,4,FALSE)</f>
        <v>9498837600000</v>
      </c>
      <c r="G201" s="3" t="str">
        <f t="shared" si="18"/>
        <v>301206.16y</v>
      </c>
      <c r="H201" s="3">
        <f t="shared" si="19"/>
        <v>7.2971789786146596E-14</v>
      </c>
      <c r="I201" s="3">
        <f t="shared" si="20"/>
        <v>0</v>
      </c>
      <c r="J201" s="3">
        <f t="shared" si="21"/>
        <v>0</v>
      </c>
      <c r="K201" s="3" t="str">
        <f t="shared" si="22"/>
        <v>Cl36</v>
      </c>
      <c r="L201" s="3" cm="1">
        <f t="array" ref="L201">SUM(($J201*EXP(-$H201*12*3600*_xlfn.SEQUENCE(L$1-1))))+$J201</f>
        <v>0</v>
      </c>
      <c r="M201" s="3"/>
      <c r="N201" s="3"/>
    </row>
    <row r="202" spans="2:14" hidden="1" x14ac:dyDescent="0.2">
      <c r="B202" s="3">
        <v>17037</v>
      </c>
      <c r="C202" s="3">
        <v>0</v>
      </c>
      <c r="D202">
        <v>199</v>
      </c>
      <c r="E202" t="str">
        <f>VLOOKUP(B202,Nuclides!A:F,5,FALSE)</f>
        <v>Cl37</v>
      </c>
      <c r="F202" t="str">
        <f>VLOOKUP(B202,Nuclides!A:F,4,FALSE)</f>
        <v>STABLE</v>
      </c>
      <c r="G202" s="3" t="str">
        <f t="shared" si="18"/>
        <v>STABLE</v>
      </c>
      <c r="H202" s="3" t="e">
        <f t="shared" si="19"/>
        <v>#VALUE!</v>
      </c>
      <c r="I202" s="3" t="e">
        <f t="shared" si="20"/>
        <v>#VALUE!</v>
      </c>
      <c r="J202" s="3" t="e">
        <f t="shared" si="21"/>
        <v>#VALUE!</v>
      </c>
      <c r="K202" s="3" t="str">
        <f t="shared" si="22"/>
        <v>Cl37</v>
      </c>
      <c r="L202" s="3" t="e" cm="1">
        <f t="array" ref="L202">SUM(($J202*EXP(-$H202*12*3600*_xlfn.SEQUENCE(L$1-1))))+$J202</f>
        <v>#VALUE!</v>
      </c>
      <c r="M202" s="3"/>
      <c r="N202" s="3"/>
    </row>
    <row r="203" spans="2:14" hidden="1" x14ac:dyDescent="0.2">
      <c r="B203" s="3">
        <v>17038</v>
      </c>
      <c r="C203" s="3">
        <v>0</v>
      </c>
      <c r="D203">
        <v>200</v>
      </c>
      <c r="E203" t="str">
        <f>VLOOKUP(B203,Nuclides!A:F,5,FALSE)</f>
        <v>Cl38</v>
      </c>
      <c r="F203">
        <f>VLOOKUP(B203,Nuclides!A:F,4,FALSE)</f>
        <v>2234.4</v>
      </c>
      <c r="G203" s="3" t="str">
        <f t="shared" si="18"/>
        <v>37.24min</v>
      </c>
      <c r="H203" s="3">
        <f t="shared" si="19"/>
        <v>3.102162462226751E-4</v>
      </c>
      <c r="I203" s="3">
        <f t="shared" si="20"/>
        <v>0</v>
      </c>
      <c r="J203" s="3">
        <f t="shared" si="21"/>
        <v>0</v>
      </c>
      <c r="K203" s="3" t="str">
        <f t="shared" si="22"/>
        <v>Cl38</v>
      </c>
      <c r="L203" s="3" cm="1">
        <f t="array" ref="L203">SUM(($J203*EXP(-$H203*12*3600*_xlfn.SEQUENCE(L$1-1))))+$J203</f>
        <v>0</v>
      </c>
      <c r="M203" s="3"/>
      <c r="N203" s="3"/>
    </row>
    <row r="204" spans="2:14" hidden="1" x14ac:dyDescent="0.2">
      <c r="B204" s="3">
        <v>17039</v>
      </c>
      <c r="C204" s="3">
        <v>0</v>
      </c>
      <c r="D204">
        <v>201</v>
      </c>
      <c r="E204" t="str">
        <f>VLOOKUP(B204,Nuclides!A:F,5,FALSE)</f>
        <v>Cl39</v>
      </c>
      <c r="F204">
        <f>VLOOKUP(B204,Nuclides!A:F,4,FALSE)</f>
        <v>3372</v>
      </c>
      <c r="G204" s="3" t="str">
        <f t="shared" si="18"/>
        <v>56.2min</v>
      </c>
      <c r="H204" s="3">
        <f t="shared" si="19"/>
        <v>2.0555966208776551E-4</v>
      </c>
      <c r="I204" s="3">
        <f t="shared" si="20"/>
        <v>0</v>
      </c>
      <c r="J204" s="3">
        <f t="shared" si="21"/>
        <v>0</v>
      </c>
      <c r="K204" s="3" t="str">
        <f t="shared" si="22"/>
        <v>Cl39</v>
      </c>
      <c r="L204" s="3" cm="1">
        <f t="array" ref="L204">SUM(($J204*EXP(-$H204*12*3600*_xlfn.SEQUENCE(L$1-1))))+$J204</f>
        <v>0</v>
      </c>
      <c r="M204" s="3"/>
      <c r="N204" s="3"/>
    </row>
    <row r="205" spans="2:14" hidden="1" x14ac:dyDescent="0.2">
      <c r="B205" s="3">
        <v>17040</v>
      </c>
      <c r="C205" s="3">
        <v>0</v>
      </c>
      <c r="D205">
        <v>202</v>
      </c>
      <c r="E205" t="str">
        <f>VLOOKUP(B205,Nuclides!A:F,5,FALSE)</f>
        <v>Cl40</v>
      </c>
      <c r="F205">
        <f>VLOOKUP(B205,Nuclides!A:F,4,FALSE)</f>
        <v>81</v>
      </c>
      <c r="G205" s="3" t="str">
        <f t="shared" si="18"/>
        <v>1.35min</v>
      </c>
      <c r="H205" s="3">
        <f t="shared" si="19"/>
        <v>8.5573725995054979E-3</v>
      </c>
      <c r="I205" s="3">
        <f t="shared" si="20"/>
        <v>0</v>
      </c>
      <c r="J205" s="3">
        <f t="shared" si="21"/>
        <v>0</v>
      </c>
      <c r="K205" s="3" t="str">
        <f t="shared" si="22"/>
        <v>Cl40</v>
      </c>
      <c r="L205" s="3" cm="1">
        <f t="array" ref="L205">SUM(($J205*EXP(-$H205*12*3600*_xlfn.SEQUENCE(L$1-1))))+$J205</f>
        <v>0</v>
      </c>
      <c r="M205" s="3"/>
      <c r="N205" s="3"/>
    </row>
    <row r="206" spans="2:14" hidden="1" x14ac:dyDescent="0.2">
      <c r="B206" s="3">
        <v>17041</v>
      </c>
      <c r="C206" s="3">
        <v>0</v>
      </c>
      <c r="D206">
        <v>203</v>
      </c>
      <c r="E206" t="str">
        <f>VLOOKUP(B206,Nuclides!A:F,5,FALSE)</f>
        <v>Cl41</v>
      </c>
      <c r="F206">
        <f>VLOOKUP(B206,Nuclides!A:F,4,FALSE)</f>
        <v>38.4</v>
      </c>
      <c r="G206" s="3" t="str">
        <f t="shared" si="18"/>
        <v>38.4s</v>
      </c>
      <c r="H206" s="3">
        <f t="shared" si="19"/>
        <v>1.8050707827081909E-2</v>
      </c>
      <c r="I206" s="3">
        <f t="shared" si="20"/>
        <v>0</v>
      </c>
      <c r="J206" s="3">
        <f t="shared" si="21"/>
        <v>0</v>
      </c>
      <c r="K206" s="3" t="str">
        <f t="shared" si="22"/>
        <v>Cl41</v>
      </c>
      <c r="L206" s="3" cm="1">
        <f t="array" ref="L206">SUM(($J206*EXP(-$H206*12*3600*_xlfn.SEQUENCE(L$1-1))))+$J206</f>
        <v>0</v>
      </c>
      <c r="M206" s="3"/>
      <c r="N206" s="3"/>
    </row>
    <row r="207" spans="2:14" hidden="1" x14ac:dyDescent="0.2">
      <c r="B207" s="3">
        <v>17042</v>
      </c>
      <c r="C207" s="3">
        <v>0</v>
      </c>
      <c r="D207">
        <v>204</v>
      </c>
      <c r="E207" t="str">
        <f>VLOOKUP(B207,Nuclides!A:F,5,FALSE)</f>
        <v>Cl42</v>
      </c>
      <c r="F207">
        <f>VLOOKUP(B207,Nuclides!A:F,4,FALSE)</f>
        <v>6.8</v>
      </c>
      <c r="G207" s="3" t="str">
        <f t="shared" si="18"/>
        <v>6.8s</v>
      </c>
      <c r="H207" s="3">
        <f t="shared" si="19"/>
        <v>0.10193340890587431</v>
      </c>
      <c r="I207" s="3">
        <f t="shared" si="20"/>
        <v>0</v>
      </c>
      <c r="J207" s="3">
        <f t="shared" si="21"/>
        <v>0</v>
      </c>
      <c r="K207" s="3" t="str">
        <f t="shared" si="22"/>
        <v>Cl42</v>
      </c>
      <c r="L207" s="3" cm="1">
        <f t="array" ref="L207">SUM(($J207*EXP(-$H207*12*3600*_xlfn.SEQUENCE(L$1-1))))+$J207</f>
        <v>0</v>
      </c>
      <c r="M207" s="3"/>
      <c r="N207" s="3"/>
    </row>
    <row r="208" spans="2:14" hidden="1" x14ac:dyDescent="0.2">
      <c r="B208" s="3">
        <v>17043</v>
      </c>
      <c r="C208" s="3">
        <v>0</v>
      </c>
      <c r="D208">
        <v>205</v>
      </c>
      <c r="E208" t="str">
        <f>VLOOKUP(B208,Nuclides!A:F,5,FALSE)</f>
        <v>Cl43</v>
      </c>
      <c r="F208">
        <f>VLOOKUP(B208,Nuclides!A:F,4,FALSE)</f>
        <v>3.1749999999999998</v>
      </c>
      <c r="G208" s="3" t="str">
        <f t="shared" si="18"/>
        <v>3.175s</v>
      </c>
      <c r="H208" s="3">
        <f t="shared" si="19"/>
        <v>0.21831407261730562</v>
      </c>
      <c r="I208" s="3">
        <f t="shared" si="20"/>
        <v>0</v>
      </c>
      <c r="J208" s="3">
        <f t="shared" si="21"/>
        <v>0</v>
      </c>
      <c r="K208" s="3" t="str">
        <f t="shared" si="22"/>
        <v>Cl43</v>
      </c>
      <c r="L208" s="3" cm="1">
        <f t="array" ref="L208">SUM(($J208*EXP(-$H208*12*3600*_xlfn.SEQUENCE(L$1-1))))+$J208</f>
        <v>0</v>
      </c>
      <c r="M208" s="3"/>
      <c r="N208" s="3"/>
    </row>
    <row r="209" spans="2:14" hidden="1" x14ac:dyDescent="0.2">
      <c r="B209" s="3">
        <v>17044</v>
      </c>
      <c r="C209" s="3">
        <v>0</v>
      </c>
      <c r="D209">
        <v>206</v>
      </c>
      <c r="E209" t="str">
        <f>VLOOKUP(B209,Nuclides!A:F,5,FALSE)</f>
        <v>Cl44</v>
      </c>
      <c r="F209">
        <f>VLOOKUP(B209,Nuclides!A:F,4,FALSE)</f>
        <v>0.65</v>
      </c>
      <c r="G209" s="3" t="str">
        <f t="shared" si="18"/>
        <v>0.65s</v>
      </c>
      <c r="H209" s="3">
        <f t="shared" si="19"/>
        <v>1.0663802777845313</v>
      </c>
      <c r="I209" s="3">
        <f t="shared" si="20"/>
        <v>0</v>
      </c>
      <c r="J209" s="3">
        <f t="shared" si="21"/>
        <v>0</v>
      </c>
      <c r="K209" s="3" t="str">
        <f t="shared" si="22"/>
        <v>Cl44</v>
      </c>
      <c r="L209" s="3" cm="1">
        <f t="array" ref="L209">SUM(($J209*EXP(-$H209*12*3600*_xlfn.SEQUENCE(L$1-1))))+$J209</f>
        <v>0</v>
      </c>
      <c r="M209" s="3"/>
      <c r="N209" s="3"/>
    </row>
    <row r="210" spans="2:14" hidden="1" x14ac:dyDescent="0.2">
      <c r="B210" s="3">
        <v>17045</v>
      </c>
      <c r="C210" s="3">
        <v>0</v>
      </c>
      <c r="D210">
        <v>207</v>
      </c>
      <c r="E210" t="str">
        <f>VLOOKUP(B210,Nuclides!A:F,5,FALSE)</f>
        <v>Cl45</v>
      </c>
      <c r="F210">
        <f>VLOOKUP(B210,Nuclides!A:F,4,FALSE)</f>
        <v>0.4</v>
      </c>
      <c r="G210" s="3" t="str">
        <f t="shared" si="18"/>
        <v>0.4s</v>
      </c>
      <c r="H210" s="3">
        <f t="shared" si="19"/>
        <v>1.732867951399863</v>
      </c>
      <c r="I210" s="3">
        <f t="shared" si="20"/>
        <v>0</v>
      </c>
      <c r="J210" s="3">
        <f t="shared" si="21"/>
        <v>0</v>
      </c>
      <c r="K210" s="3" t="str">
        <f t="shared" si="22"/>
        <v>Cl45</v>
      </c>
      <c r="L210" s="3" cm="1">
        <f t="array" ref="L210">SUM(($J210*EXP(-$H210*12*3600*_xlfn.SEQUENCE(L$1-1))))+$J210</f>
        <v>0</v>
      </c>
      <c r="M210" s="3"/>
      <c r="N210" s="3"/>
    </row>
    <row r="211" spans="2:14" hidden="1" x14ac:dyDescent="0.2">
      <c r="B211" s="3">
        <v>18032</v>
      </c>
      <c r="C211" s="3">
        <v>0</v>
      </c>
      <c r="D211">
        <v>208</v>
      </c>
      <c r="E211" t="str">
        <f>VLOOKUP(B211,Nuclides!A:F,5,FALSE)</f>
        <v>Ar32</v>
      </c>
      <c r="F211">
        <f>VLOOKUP(B211,Nuclides!A:F,4,FALSE)</f>
        <v>9.8000000000000004E-2</v>
      </c>
      <c r="G211" s="3" t="str">
        <f t="shared" si="18"/>
        <v>0.098s</v>
      </c>
      <c r="H211" s="3">
        <f t="shared" si="19"/>
        <v>7.0729304138769926</v>
      </c>
      <c r="I211" s="3">
        <f t="shared" si="20"/>
        <v>0</v>
      </c>
      <c r="J211" s="3">
        <f t="shared" si="21"/>
        <v>0</v>
      </c>
      <c r="K211" s="3" t="str">
        <f t="shared" si="22"/>
        <v>Ar32</v>
      </c>
      <c r="L211" s="3" cm="1">
        <f t="array" ref="L211">SUM(($J211*EXP(-$H211*12*3600*_xlfn.SEQUENCE(L$1-1))))+$J211</f>
        <v>0</v>
      </c>
      <c r="M211" s="3"/>
      <c r="N211" s="3"/>
    </row>
    <row r="212" spans="2:14" hidden="1" x14ac:dyDescent="0.2">
      <c r="B212" s="3">
        <v>18033</v>
      </c>
      <c r="C212" s="3">
        <v>0</v>
      </c>
      <c r="D212">
        <v>209</v>
      </c>
      <c r="E212" t="str">
        <f>VLOOKUP(B212,Nuclides!A:F,5,FALSE)</f>
        <v>Ar33</v>
      </c>
      <c r="F212">
        <f>VLOOKUP(B212,Nuclides!A:F,4,FALSE)</f>
        <v>0.17299999999999999</v>
      </c>
      <c r="G212" s="3" t="str">
        <f t="shared" si="18"/>
        <v>0.173s</v>
      </c>
      <c r="H212" s="3">
        <f t="shared" si="19"/>
        <v>4.006631101502574</v>
      </c>
      <c r="I212" s="3">
        <f t="shared" si="20"/>
        <v>0</v>
      </c>
      <c r="J212" s="3">
        <f t="shared" si="21"/>
        <v>0</v>
      </c>
      <c r="K212" s="3" t="str">
        <f t="shared" si="22"/>
        <v>Ar33</v>
      </c>
      <c r="L212" s="3" cm="1">
        <f t="array" ref="L212">SUM(($J212*EXP(-$H212*12*3600*_xlfn.SEQUENCE(L$1-1))))+$J212</f>
        <v>0</v>
      </c>
      <c r="M212" s="3"/>
      <c r="N212" s="3"/>
    </row>
    <row r="213" spans="2:14" hidden="1" x14ac:dyDescent="0.2">
      <c r="B213" s="3">
        <v>18034</v>
      </c>
      <c r="C213" s="3">
        <v>0</v>
      </c>
      <c r="D213">
        <v>210</v>
      </c>
      <c r="E213" t="str">
        <f>VLOOKUP(B213,Nuclides!A:F,5,FALSE)</f>
        <v>Ar34</v>
      </c>
      <c r="F213">
        <f>VLOOKUP(B213,Nuclides!A:F,4,FALSE)</f>
        <v>0.84450000000000003</v>
      </c>
      <c r="G213" s="3" t="str">
        <f t="shared" si="18"/>
        <v>0.8445s</v>
      </c>
      <c r="H213" s="3">
        <f t="shared" si="19"/>
        <v>0.82077818894013643</v>
      </c>
      <c r="I213" s="3">
        <f t="shared" si="20"/>
        <v>0</v>
      </c>
      <c r="J213" s="3">
        <f t="shared" si="21"/>
        <v>0</v>
      </c>
      <c r="K213" s="3" t="str">
        <f t="shared" si="22"/>
        <v>Ar34</v>
      </c>
      <c r="L213" s="3" cm="1">
        <f t="array" ref="L213">SUM(($J213*EXP(-$H213*12*3600*_xlfn.SEQUENCE(L$1-1))))+$J213</f>
        <v>0</v>
      </c>
      <c r="M213" s="3"/>
      <c r="N213" s="3"/>
    </row>
    <row r="214" spans="2:14" hidden="1" x14ac:dyDescent="0.2">
      <c r="B214" s="3">
        <v>18035</v>
      </c>
      <c r="C214" s="3">
        <v>0</v>
      </c>
      <c r="D214">
        <v>211</v>
      </c>
      <c r="E214" t="str">
        <f>VLOOKUP(B214,Nuclides!A:F,5,FALSE)</f>
        <v>Ar35</v>
      </c>
      <c r="F214">
        <f>VLOOKUP(B214,Nuclides!A:F,4,FALSE)</f>
        <v>1.7756000000000001</v>
      </c>
      <c r="G214" s="3" t="str">
        <f t="shared" si="18"/>
        <v>1.7756s</v>
      </c>
      <c r="H214" s="3">
        <f t="shared" si="19"/>
        <v>0.39037349659830212</v>
      </c>
      <c r="I214" s="3">
        <f t="shared" si="20"/>
        <v>0</v>
      </c>
      <c r="J214" s="3">
        <f t="shared" si="21"/>
        <v>0</v>
      </c>
      <c r="K214" s="3" t="str">
        <f t="shared" si="22"/>
        <v>Ar35</v>
      </c>
      <c r="L214" s="3" cm="1">
        <f t="array" ref="L214">SUM(($J214*EXP(-$H214*12*3600*_xlfn.SEQUENCE(L$1-1))))+$J214</f>
        <v>0</v>
      </c>
      <c r="M214" s="3"/>
      <c r="N214" s="3"/>
    </row>
    <row r="215" spans="2:14" hidden="1" x14ac:dyDescent="0.2">
      <c r="B215" s="3">
        <v>18036</v>
      </c>
      <c r="C215" s="3">
        <v>0</v>
      </c>
      <c r="D215">
        <v>212</v>
      </c>
      <c r="E215" t="str">
        <f>VLOOKUP(B215,Nuclides!A:F,5,FALSE)</f>
        <v>Ar36</v>
      </c>
      <c r="F215" t="str">
        <f>VLOOKUP(B215,Nuclides!A:F,4,FALSE)</f>
        <v>STABLE</v>
      </c>
      <c r="G215" s="3" t="str">
        <f t="shared" si="18"/>
        <v>STABLE</v>
      </c>
      <c r="H215" s="3" t="e">
        <f t="shared" si="19"/>
        <v>#VALUE!</v>
      </c>
      <c r="I215" s="3" t="e">
        <f t="shared" si="20"/>
        <v>#VALUE!</v>
      </c>
      <c r="J215" s="3" t="e">
        <f t="shared" si="21"/>
        <v>#VALUE!</v>
      </c>
      <c r="K215" s="3" t="str">
        <f t="shared" si="22"/>
        <v>Ar36</v>
      </c>
      <c r="L215" s="3" t="e" cm="1">
        <f t="array" ref="L215">SUM(($J215*EXP(-$H215*12*3600*_xlfn.SEQUENCE(L$1-1))))+$J215</f>
        <v>#VALUE!</v>
      </c>
      <c r="M215" s="3"/>
      <c r="N215" s="3"/>
    </row>
    <row r="216" spans="2:14" hidden="1" x14ac:dyDescent="0.2">
      <c r="B216" s="3">
        <v>18037</v>
      </c>
      <c r="C216" s="3">
        <v>0</v>
      </c>
      <c r="D216">
        <v>213</v>
      </c>
      <c r="E216" t="str">
        <f>VLOOKUP(B216,Nuclides!A:F,5,FALSE)</f>
        <v>Ar37</v>
      </c>
      <c r="F216">
        <f>VLOOKUP(B216,Nuclides!A:F,4,FALSE)</f>
        <v>3027456</v>
      </c>
      <c r="G216" s="3" t="str">
        <f t="shared" si="18"/>
        <v>35.04d</v>
      </c>
      <c r="H216" s="3">
        <f t="shared" si="19"/>
        <v>2.2895367614259142E-7</v>
      </c>
      <c r="I216" s="3">
        <f t="shared" si="20"/>
        <v>0</v>
      </c>
      <c r="J216" s="3">
        <f t="shared" si="21"/>
        <v>0</v>
      </c>
      <c r="K216" s="3" t="str">
        <f t="shared" si="22"/>
        <v>Ar37</v>
      </c>
      <c r="L216" s="3" cm="1">
        <f t="array" ref="L216">SUM(($J216*EXP(-$H216*12*3600*_xlfn.SEQUENCE(L$1-1))))+$J216</f>
        <v>0</v>
      </c>
      <c r="M216" s="3"/>
      <c r="N216" s="3"/>
    </row>
    <row r="217" spans="2:14" hidden="1" x14ac:dyDescent="0.2">
      <c r="B217" s="3">
        <v>18038</v>
      </c>
      <c r="C217" s="3">
        <v>0</v>
      </c>
      <c r="D217">
        <v>214</v>
      </c>
      <c r="E217" t="str">
        <f>VLOOKUP(B217,Nuclides!A:F,5,FALSE)</f>
        <v>Ar38</v>
      </c>
      <c r="F217" t="str">
        <f>VLOOKUP(B217,Nuclides!A:F,4,FALSE)</f>
        <v>STABLE</v>
      </c>
      <c r="G217" s="3" t="str">
        <f t="shared" si="18"/>
        <v>STABLE</v>
      </c>
      <c r="H217" s="3" t="e">
        <f t="shared" si="19"/>
        <v>#VALUE!</v>
      </c>
      <c r="I217" s="3" t="e">
        <f t="shared" si="20"/>
        <v>#VALUE!</v>
      </c>
      <c r="J217" s="3" t="e">
        <f t="shared" si="21"/>
        <v>#VALUE!</v>
      </c>
      <c r="K217" s="3" t="str">
        <f t="shared" si="22"/>
        <v>Ar38</v>
      </c>
      <c r="L217" s="3" t="e" cm="1">
        <f t="array" ref="L217">SUM(($J217*EXP(-$H217*12*3600*_xlfn.SEQUENCE(L$1-1))))+$J217</f>
        <v>#VALUE!</v>
      </c>
      <c r="M217" s="3"/>
      <c r="N217" s="3"/>
    </row>
    <row r="218" spans="2:14" hidden="1" x14ac:dyDescent="0.2">
      <c r="B218" s="3">
        <v>18039</v>
      </c>
      <c r="C218" s="3">
        <v>0</v>
      </c>
      <c r="D218">
        <v>215</v>
      </c>
      <c r="E218" t="str">
        <f>VLOOKUP(B218,Nuclides!A:F,5,FALSE)</f>
        <v>Ar39</v>
      </c>
      <c r="F218">
        <f>VLOOKUP(B218,Nuclides!A:F,4,FALSE)</f>
        <v>8488994400</v>
      </c>
      <c r="G218" s="3" t="str">
        <f t="shared" si="18"/>
        <v>269.18y</v>
      </c>
      <c r="H218" s="3">
        <f t="shared" si="19"/>
        <v>8.1652448794164036E-11</v>
      </c>
      <c r="I218" s="3">
        <f t="shared" si="20"/>
        <v>0</v>
      </c>
      <c r="J218" s="3">
        <f t="shared" si="21"/>
        <v>0</v>
      </c>
      <c r="K218" s="3" t="str">
        <f t="shared" si="22"/>
        <v>Ar39</v>
      </c>
      <c r="L218" s="3" cm="1">
        <f t="array" ref="L218">SUM(($J218*EXP(-$H218*12*3600*_xlfn.SEQUENCE(L$1-1))))+$J218</f>
        <v>0</v>
      </c>
      <c r="M218" s="3"/>
      <c r="N218" s="3"/>
    </row>
    <row r="219" spans="2:14" hidden="1" x14ac:dyDescent="0.2">
      <c r="B219" s="3">
        <v>18040</v>
      </c>
      <c r="C219" s="3">
        <v>0</v>
      </c>
      <c r="D219">
        <v>216</v>
      </c>
      <c r="E219" t="str">
        <f>VLOOKUP(B219,Nuclides!A:F,5,FALSE)</f>
        <v>Ar40</v>
      </c>
      <c r="F219" t="str">
        <f>VLOOKUP(B219,Nuclides!A:F,4,FALSE)</f>
        <v>STABLE</v>
      </c>
      <c r="G219" s="3" t="str">
        <f t="shared" si="18"/>
        <v>STABLE</v>
      </c>
      <c r="H219" s="3" t="e">
        <f t="shared" si="19"/>
        <v>#VALUE!</v>
      </c>
      <c r="I219" s="3" t="e">
        <f t="shared" si="20"/>
        <v>#VALUE!</v>
      </c>
      <c r="J219" s="3" t="e">
        <f t="shared" si="21"/>
        <v>#VALUE!</v>
      </c>
      <c r="K219" s="3" t="str">
        <f t="shared" si="22"/>
        <v>Ar40</v>
      </c>
      <c r="L219" s="3" t="e" cm="1">
        <f t="array" ref="L219">SUM(($J219*EXP(-$H219*12*3600*_xlfn.SEQUENCE(L$1-1))))+$J219</f>
        <v>#VALUE!</v>
      </c>
      <c r="M219" s="3"/>
      <c r="N219" s="3"/>
    </row>
    <row r="220" spans="2:14" hidden="1" x14ac:dyDescent="0.2">
      <c r="B220" s="3">
        <v>18041</v>
      </c>
      <c r="C220" s="3">
        <v>0</v>
      </c>
      <c r="D220">
        <v>217</v>
      </c>
      <c r="E220" t="str">
        <f>VLOOKUP(B220,Nuclides!A:F,5,FALSE)</f>
        <v>Ar41</v>
      </c>
      <c r="F220">
        <f>VLOOKUP(B220,Nuclides!A:F,4,FALSE)</f>
        <v>6576.6</v>
      </c>
      <c r="G220" s="3" t="str">
        <f t="shared" si="18"/>
        <v>1.83h</v>
      </c>
      <c r="H220" s="3">
        <f t="shared" si="19"/>
        <v>1.053959767296088E-4</v>
      </c>
      <c r="I220" s="3">
        <f t="shared" si="20"/>
        <v>0</v>
      </c>
      <c r="J220" s="3">
        <f t="shared" si="21"/>
        <v>0</v>
      </c>
      <c r="K220" s="3" t="str">
        <f t="shared" si="22"/>
        <v>Ar41</v>
      </c>
      <c r="L220" s="3" cm="1">
        <f t="array" ref="L220">SUM(($J220*EXP(-$H220*12*3600*_xlfn.SEQUENCE(L$1-1))))+$J220</f>
        <v>0</v>
      </c>
      <c r="M220" s="3"/>
      <c r="N220" s="3"/>
    </row>
    <row r="221" spans="2:14" hidden="1" x14ac:dyDescent="0.2">
      <c r="B221" s="3">
        <v>18042</v>
      </c>
      <c r="C221" s="3">
        <v>0</v>
      </c>
      <c r="D221">
        <v>218</v>
      </c>
      <c r="E221" t="str">
        <f>VLOOKUP(B221,Nuclides!A:F,5,FALSE)</f>
        <v>Ar42</v>
      </c>
      <c r="F221">
        <f>VLOOKUP(B221,Nuclides!A:F,4,FALSE)</f>
        <v>1038245040</v>
      </c>
      <c r="G221" s="3" t="str">
        <f t="shared" si="18"/>
        <v>32.92y</v>
      </c>
      <c r="H221" s="3">
        <f t="shared" si="19"/>
        <v>6.6761424697963906E-10</v>
      </c>
      <c r="I221" s="3">
        <f t="shared" si="20"/>
        <v>0</v>
      </c>
      <c r="J221" s="3">
        <f t="shared" si="21"/>
        <v>0</v>
      </c>
      <c r="K221" s="3" t="str">
        <f t="shared" si="22"/>
        <v>Ar42</v>
      </c>
      <c r="L221" s="3" cm="1">
        <f t="array" ref="L221">SUM(($J221*EXP(-$H221*12*3600*_xlfn.SEQUENCE(L$1-1))))+$J221</f>
        <v>0</v>
      </c>
      <c r="M221" s="3"/>
      <c r="N221" s="3"/>
    </row>
    <row r="222" spans="2:14" hidden="1" x14ac:dyDescent="0.2">
      <c r="B222" s="3">
        <v>18043</v>
      </c>
      <c r="C222" s="3">
        <v>0</v>
      </c>
      <c r="D222">
        <v>219</v>
      </c>
      <c r="E222" t="str">
        <f>VLOOKUP(B222,Nuclides!A:F,5,FALSE)</f>
        <v>Ar43</v>
      </c>
      <c r="F222">
        <f>VLOOKUP(B222,Nuclides!A:F,4,FALSE)</f>
        <v>322.2</v>
      </c>
      <c r="G222" s="3" t="str">
        <f t="shared" si="18"/>
        <v>5.37min</v>
      </c>
      <c r="H222" s="3">
        <f t="shared" si="19"/>
        <v>2.1512947875851809E-3</v>
      </c>
      <c r="I222" s="3">
        <f t="shared" si="20"/>
        <v>0</v>
      </c>
      <c r="J222" s="3">
        <f t="shared" si="21"/>
        <v>0</v>
      </c>
      <c r="K222" s="3" t="str">
        <f t="shared" si="22"/>
        <v>Ar43</v>
      </c>
      <c r="L222" s="3" cm="1">
        <f t="array" ref="L222">SUM(($J222*EXP(-$H222*12*3600*_xlfn.SEQUENCE(L$1-1))))+$J222</f>
        <v>0</v>
      </c>
      <c r="M222" s="3"/>
      <c r="N222" s="3"/>
    </row>
    <row r="223" spans="2:14" hidden="1" x14ac:dyDescent="0.2">
      <c r="B223" s="3">
        <v>18044</v>
      </c>
      <c r="C223" s="3">
        <v>0</v>
      </c>
      <c r="D223">
        <v>220</v>
      </c>
      <c r="E223" t="str">
        <f>VLOOKUP(B223,Nuclides!A:F,5,FALSE)</f>
        <v>Ar44</v>
      </c>
      <c r="F223">
        <f>VLOOKUP(B223,Nuclides!A:F,4,FALSE)</f>
        <v>712.19999999999902</v>
      </c>
      <c r="G223" s="3" t="str">
        <f t="shared" si="18"/>
        <v>11.87min</v>
      </c>
      <c r="H223" s="3">
        <f t="shared" si="19"/>
        <v>9.7324793675926174E-4</v>
      </c>
      <c r="I223" s="3">
        <f t="shared" si="20"/>
        <v>0</v>
      </c>
      <c r="J223" s="3">
        <f t="shared" si="21"/>
        <v>0</v>
      </c>
      <c r="K223" s="3" t="str">
        <f t="shared" si="22"/>
        <v>Ar44</v>
      </c>
      <c r="L223" s="3" cm="1">
        <f t="array" ref="L223">SUM(($J223*EXP(-$H223*12*3600*_xlfn.SEQUENCE(L$1-1))))+$J223</f>
        <v>0</v>
      </c>
      <c r="M223" s="3"/>
      <c r="N223" s="3"/>
    </row>
    <row r="224" spans="2:14" hidden="1" x14ac:dyDescent="0.2">
      <c r="B224" s="3">
        <v>18045</v>
      </c>
      <c r="C224" s="3">
        <v>0</v>
      </c>
      <c r="D224">
        <v>221</v>
      </c>
      <c r="E224" t="str">
        <f>VLOOKUP(B224,Nuclides!A:F,5,FALSE)</f>
        <v>Ar45</v>
      </c>
      <c r="F224">
        <f>VLOOKUP(B224,Nuclides!A:F,4,FALSE)</f>
        <v>21.48</v>
      </c>
      <c r="G224" s="3" t="str">
        <f t="shared" si="18"/>
        <v>21.48s</v>
      </c>
      <c r="H224" s="3">
        <f t="shared" si="19"/>
        <v>3.2269421813777711E-2</v>
      </c>
      <c r="I224" s="3">
        <f t="shared" si="20"/>
        <v>0</v>
      </c>
      <c r="J224" s="3">
        <f t="shared" si="21"/>
        <v>0</v>
      </c>
      <c r="K224" s="3" t="str">
        <f t="shared" si="22"/>
        <v>Ar45</v>
      </c>
      <c r="L224" s="3" cm="1">
        <f t="array" ref="L224">SUM(($J224*EXP(-$H224*12*3600*_xlfn.SEQUENCE(L$1-1))))+$J224</f>
        <v>0</v>
      </c>
      <c r="M224" s="3"/>
      <c r="N224" s="3"/>
    </row>
    <row r="225" spans="2:14" hidden="1" x14ac:dyDescent="0.2">
      <c r="B225" s="3">
        <v>18046</v>
      </c>
      <c r="C225" s="3">
        <v>0</v>
      </c>
      <c r="D225">
        <v>222</v>
      </c>
      <c r="E225" t="str">
        <f>VLOOKUP(B225,Nuclides!A:F,5,FALSE)</f>
        <v>Ar46</v>
      </c>
      <c r="F225">
        <f>VLOOKUP(B225,Nuclides!A:F,4,FALSE)</f>
        <v>8.4</v>
      </c>
      <c r="G225" s="3" t="str">
        <f t="shared" si="18"/>
        <v>8.4s</v>
      </c>
      <c r="H225" s="3">
        <f t="shared" si="19"/>
        <v>8.2517521495231574E-2</v>
      </c>
      <c r="I225" s="3">
        <f t="shared" si="20"/>
        <v>0</v>
      </c>
      <c r="J225" s="3">
        <f t="shared" si="21"/>
        <v>0</v>
      </c>
      <c r="K225" s="3" t="str">
        <f t="shared" si="22"/>
        <v>Ar46</v>
      </c>
      <c r="L225" s="3" cm="1">
        <f t="array" ref="L225">SUM(($J225*EXP(-$H225*12*3600*_xlfn.SEQUENCE(L$1-1))))+$J225</f>
        <v>0</v>
      </c>
      <c r="M225" s="3"/>
      <c r="N225" s="3"/>
    </row>
    <row r="226" spans="2:14" hidden="1" x14ac:dyDescent="0.2">
      <c r="B226" s="3">
        <v>19035</v>
      </c>
      <c r="C226" s="3">
        <v>0</v>
      </c>
      <c r="D226">
        <v>223</v>
      </c>
      <c r="E226" t="str">
        <f>VLOOKUP(B226,Nuclides!A:F,5,FALSE)</f>
        <v>K35</v>
      </c>
      <c r="F226">
        <f>VLOOKUP(B226,Nuclides!A:F,4,FALSE)</f>
        <v>0.17799999999999999</v>
      </c>
      <c r="G226" s="3" t="str">
        <f t="shared" si="18"/>
        <v>0.178s</v>
      </c>
      <c r="H226" s="3">
        <f t="shared" si="19"/>
        <v>3.8940852840446367</v>
      </c>
      <c r="I226" s="3">
        <f t="shared" si="20"/>
        <v>0</v>
      </c>
      <c r="J226" s="3">
        <f t="shared" si="21"/>
        <v>0</v>
      </c>
      <c r="K226" s="3" t="str">
        <f t="shared" si="22"/>
        <v>K35</v>
      </c>
      <c r="L226" s="3" cm="1">
        <f t="array" ref="L226">SUM(($J226*EXP(-$H226*12*3600*_xlfn.SEQUENCE(L$1-1))))+$J226</f>
        <v>0</v>
      </c>
      <c r="M226" s="3"/>
      <c r="N226" s="3"/>
    </row>
    <row r="227" spans="2:14" hidden="1" x14ac:dyDescent="0.2">
      <c r="B227" s="3">
        <v>19036</v>
      </c>
      <c r="C227" s="3">
        <v>0</v>
      </c>
      <c r="D227">
        <v>224</v>
      </c>
      <c r="E227" t="str">
        <f>VLOOKUP(B227,Nuclides!A:F,5,FALSE)</f>
        <v>K36</v>
      </c>
      <c r="F227">
        <f>VLOOKUP(B227,Nuclides!A:F,4,FALSE)</f>
        <v>0.34200000000000003</v>
      </c>
      <c r="G227" s="3" t="str">
        <f t="shared" si="18"/>
        <v>0.342s</v>
      </c>
      <c r="H227" s="3">
        <f t="shared" si="19"/>
        <v>2.0267461419881441</v>
      </c>
      <c r="I227" s="3">
        <f t="shared" si="20"/>
        <v>0</v>
      </c>
      <c r="J227" s="3">
        <f t="shared" si="21"/>
        <v>0</v>
      </c>
      <c r="K227" s="3" t="str">
        <f t="shared" si="22"/>
        <v>K36</v>
      </c>
      <c r="L227" s="3" cm="1">
        <f t="array" ref="L227">SUM(($J227*EXP(-$H227*12*3600*_xlfn.SEQUENCE(L$1-1))))+$J227</f>
        <v>0</v>
      </c>
      <c r="M227" s="3"/>
      <c r="N227" s="3"/>
    </row>
    <row r="228" spans="2:14" hidden="1" x14ac:dyDescent="0.2">
      <c r="B228" s="3">
        <v>19037</v>
      </c>
      <c r="C228" s="3">
        <v>0</v>
      </c>
      <c r="D228">
        <v>225</v>
      </c>
      <c r="E228" t="str">
        <f>VLOOKUP(B228,Nuclides!A:F,5,FALSE)</f>
        <v>K37</v>
      </c>
      <c r="F228">
        <f>VLOOKUP(B228,Nuclides!A:F,4,FALSE)</f>
        <v>1.226</v>
      </c>
      <c r="G228" s="3" t="str">
        <f t="shared" si="18"/>
        <v>1.226s</v>
      </c>
      <c r="H228" s="3">
        <f t="shared" si="19"/>
        <v>0.56537290420876452</v>
      </c>
      <c r="I228" s="3">
        <f t="shared" si="20"/>
        <v>0</v>
      </c>
      <c r="J228" s="3">
        <f t="shared" si="21"/>
        <v>0</v>
      </c>
      <c r="K228" s="3" t="str">
        <f t="shared" si="22"/>
        <v>K37</v>
      </c>
      <c r="L228" s="3" cm="1">
        <f t="array" ref="L228">SUM(($J228*EXP(-$H228*12*3600*_xlfn.SEQUENCE(L$1-1))))+$J228</f>
        <v>0</v>
      </c>
      <c r="M228" s="3"/>
      <c r="N228" s="3"/>
    </row>
    <row r="229" spans="2:14" hidden="1" x14ac:dyDescent="0.2">
      <c r="B229" s="3">
        <v>19038</v>
      </c>
      <c r="C229" s="3">
        <v>0</v>
      </c>
      <c r="D229">
        <v>226</v>
      </c>
      <c r="E229" t="str">
        <f>VLOOKUP(B229,Nuclides!A:F,5,FALSE)</f>
        <v>K38</v>
      </c>
      <c r="F229">
        <f>VLOOKUP(B229,Nuclides!A:F,4,FALSE)</f>
        <v>458.16</v>
      </c>
      <c r="G229" s="3" t="str">
        <f t="shared" si="18"/>
        <v>7.64min</v>
      </c>
      <c r="H229" s="3">
        <f t="shared" si="19"/>
        <v>1.5128932699492433E-3</v>
      </c>
      <c r="I229" s="3">
        <f t="shared" si="20"/>
        <v>0</v>
      </c>
      <c r="J229" s="3">
        <f t="shared" si="21"/>
        <v>0</v>
      </c>
      <c r="K229" s="3" t="str">
        <f t="shared" si="22"/>
        <v>K38</v>
      </c>
      <c r="L229" s="3" cm="1">
        <f t="array" ref="L229">SUM(($J229*EXP(-$H229*12*3600*_xlfn.SEQUENCE(L$1-1))))+$J229</f>
        <v>0</v>
      </c>
      <c r="M229" s="3"/>
      <c r="N229" s="3"/>
    </row>
    <row r="230" spans="2:14" hidden="1" x14ac:dyDescent="0.2">
      <c r="B230" s="3">
        <v>19039</v>
      </c>
      <c r="C230" s="3">
        <v>0</v>
      </c>
      <c r="D230">
        <v>227</v>
      </c>
      <c r="E230" t="str">
        <f>VLOOKUP(B230,Nuclides!A:F,5,FALSE)</f>
        <v>K39</v>
      </c>
      <c r="F230" t="str">
        <f>VLOOKUP(B230,Nuclides!A:F,4,FALSE)</f>
        <v>STABLE</v>
      </c>
      <c r="G230" s="3" t="str">
        <f t="shared" si="18"/>
        <v>STABLE</v>
      </c>
      <c r="H230" s="3" t="e">
        <f t="shared" si="19"/>
        <v>#VALUE!</v>
      </c>
      <c r="I230" s="3" t="e">
        <f t="shared" si="20"/>
        <v>#VALUE!</v>
      </c>
      <c r="J230" s="3" t="e">
        <f t="shared" si="21"/>
        <v>#VALUE!</v>
      </c>
      <c r="K230" s="3" t="str">
        <f t="shared" si="22"/>
        <v>K39</v>
      </c>
      <c r="L230" s="3" t="e" cm="1">
        <f t="array" ref="L230">SUM(($J230*EXP(-$H230*12*3600*_xlfn.SEQUENCE(L$1-1))))+$J230</f>
        <v>#VALUE!</v>
      </c>
      <c r="M230" s="3"/>
      <c r="N230" s="3"/>
    </row>
    <row r="231" spans="2:14" hidden="1" x14ac:dyDescent="0.2">
      <c r="B231" s="3">
        <v>19040</v>
      </c>
      <c r="C231" s="3">
        <v>0</v>
      </c>
      <c r="D231">
        <v>228</v>
      </c>
      <c r="E231" t="str">
        <f>VLOOKUP(B231,Nuclides!A:F,5,FALSE)</f>
        <v>K40</v>
      </c>
      <c r="F231">
        <f>VLOOKUP(B231,Nuclides!A:F,4,FALSE)</f>
        <v>3.93838848E+16</v>
      </c>
      <c r="G231" s="3" t="str">
        <f t="shared" si="18"/>
        <v>1248854794.52y</v>
      </c>
      <c r="H231" s="3">
        <f t="shared" si="19"/>
        <v>1.7599766607075421E-17</v>
      </c>
      <c r="I231" s="3">
        <f t="shared" si="20"/>
        <v>0</v>
      </c>
      <c r="J231" s="3">
        <f t="shared" si="21"/>
        <v>0</v>
      </c>
      <c r="K231" s="3" t="str">
        <f t="shared" si="22"/>
        <v>K40</v>
      </c>
      <c r="L231" s="3" cm="1">
        <f t="array" ref="L231">SUM(($J231*EXP(-$H231*12*3600*_xlfn.SEQUENCE(L$1-1))))+$J231</f>
        <v>0</v>
      </c>
      <c r="M231" s="3"/>
      <c r="N231" s="3"/>
    </row>
    <row r="232" spans="2:14" hidden="1" x14ac:dyDescent="0.2">
      <c r="B232" s="3">
        <v>19041</v>
      </c>
      <c r="C232" s="3">
        <v>0</v>
      </c>
      <c r="D232">
        <v>229</v>
      </c>
      <c r="E232" t="str">
        <f>VLOOKUP(B232,Nuclides!A:F,5,FALSE)</f>
        <v>K41</v>
      </c>
      <c r="F232" t="str">
        <f>VLOOKUP(B232,Nuclides!A:F,4,FALSE)</f>
        <v>STABLE</v>
      </c>
      <c r="G232" s="3" t="str">
        <f t="shared" si="18"/>
        <v>STABLE</v>
      </c>
      <c r="H232" s="3" t="e">
        <f t="shared" si="19"/>
        <v>#VALUE!</v>
      </c>
      <c r="I232" s="3" t="e">
        <f t="shared" si="20"/>
        <v>#VALUE!</v>
      </c>
      <c r="J232" s="3" t="e">
        <f t="shared" si="21"/>
        <v>#VALUE!</v>
      </c>
      <c r="K232" s="3" t="str">
        <f t="shared" si="22"/>
        <v>K41</v>
      </c>
      <c r="L232" s="3" t="e" cm="1">
        <f t="array" ref="L232">SUM(($J232*EXP(-$H232*12*3600*_xlfn.SEQUENCE(L$1-1))))+$J232</f>
        <v>#VALUE!</v>
      </c>
      <c r="M232" s="3"/>
      <c r="N232" s="3"/>
    </row>
    <row r="233" spans="2:14" hidden="1" x14ac:dyDescent="0.2">
      <c r="B233" s="3">
        <v>19042</v>
      </c>
      <c r="C233" s="3">
        <v>0</v>
      </c>
      <c r="D233">
        <v>230</v>
      </c>
      <c r="E233" t="str">
        <f>VLOOKUP(B233,Nuclides!A:F,5,FALSE)</f>
        <v>K42</v>
      </c>
      <c r="F233">
        <f>VLOOKUP(B233,Nuclides!A:F,4,FALSE)</f>
        <v>44478</v>
      </c>
      <c r="G233" s="3" t="str">
        <f t="shared" si="18"/>
        <v>12.36h</v>
      </c>
      <c r="H233" s="3">
        <f t="shared" si="19"/>
        <v>1.5584045608164606E-5</v>
      </c>
      <c r="I233" s="3">
        <f t="shared" si="20"/>
        <v>0</v>
      </c>
      <c r="J233" s="3">
        <f t="shared" si="21"/>
        <v>0</v>
      </c>
      <c r="K233" s="3" t="str">
        <f t="shared" si="22"/>
        <v>K42</v>
      </c>
      <c r="L233" s="3" cm="1">
        <f t="array" ref="L233">SUM(($J233*EXP(-$H233*12*3600*_xlfn.SEQUENCE(L$1-1))))+$J233</f>
        <v>0</v>
      </c>
      <c r="M233" s="3"/>
      <c r="N233" s="3"/>
    </row>
    <row r="234" spans="2:14" hidden="1" x14ac:dyDescent="0.2">
      <c r="B234" s="3">
        <v>19043</v>
      </c>
      <c r="C234" s="3">
        <v>0</v>
      </c>
      <c r="D234">
        <v>231</v>
      </c>
      <c r="E234" t="str">
        <f>VLOOKUP(B234,Nuclides!A:F,5,FALSE)</f>
        <v>K43</v>
      </c>
      <c r="F234">
        <f>VLOOKUP(B234,Nuclides!A:F,4,FALSE)</f>
        <v>80280</v>
      </c>
      <c r="G234" s="3" t="str">
        <f t="shared" si="18"/>
        <v>22.3h</v>
      </c>
      <c r="H234" s="3">
        <f t="shared" si="19"/>
        <v>8.6341203358239325E-6</v>
      </c>
      <c r="I234" s="3">
        <f t="shared" si="20"/>
        <v>0</v>
      </c>
      <c r="J234" s="3">
        <f t="shared" si="21"/>
        <v>0</v>
      </c>
      <c r="K234" s="3" t="str">
        <f t="shared" si="22"/>
        <v>K43</v>
      </c>
      <c r="L234" s="3" cm="1">
        <f t="array" ref="L234">SUM(($J234*EXP(-$H234*12*3600*_xlfn.SEQUENCE(L$1-1))))+$J234</f>
        <v>0</v>
      </c>
      <c r="M234" s="3"/>
      <c r="N234" s="3"/>
    </row>
    <row r="235" spans="2:14" hidden="1" x14ac:dyDescent="0.2">
      <c r="B235" s="3">
        <v>19044</v>
      </c>
      <c r="C235" s="3">
        <v>0</v>
      </c>
      <c r="D235">
        <v>232</v>
      </c>
      <c r="E235" t="str">
        <f>VLOOKUP(B235,Nuclides!A:F,5,FALSE)</f>
        <v>K44</v>
      </c>
      <c r="F235">
        <f>VLOOKUP(B235,Nuclides!A:F,4,FALSE)</f>
        <v>1327.8</v>
      </c>
      <c r="G235" s="3" t="str">
        <f t="shared" si="18"/>
        <v>22.13min</v>
      </c>
      <c r="H235" s="3">
        <f t="shared" si="19"/>
        <v>5.2202679662595669E-4</v>
      </c>
      <c r="I235" s="3">
        <f t="shared" si="20"/>
        <v>0</v>
      </c>
      <c r="J235" s="3">
        <f t="shared" si="21"/>
        <v>0</v>
      </c>
      <c r="K235" s="3" t="str">
        <f t="shared" si="22"/>
        <v>K44</v>
      </c>
      <c r="L235" s="3" cm="1">
        <f t="array" ref="L235">SUM(($J235*EXP(-$H235*12*3600*_xlfn.SEQUENCE(L$1-1))))+$J235</f>
        <v>0</v>
      </c>
      <c r="M235" s="3"/>
      <c r="N235" s="3"/>
    </row>
    <row r="236" spans="2:14" hidden="1" x14ac:dyDescent="0.2">
      <c r="B236" s="3">
        <v>19045</v>
      </c>
      <c r="C236" s="3">
        <v>0</v>
      </c>
      <c r="D236">
        <v>233</v>
      </c>
      <c r="E236" t="str">
        <f>VLOOKUP(B236,Nuclides!A:F,5,FALSE)</f>
        <v>K45</v>
      </c>
      <c r="F236">
        <f>VLOOKUP(B236,Nuclides!A:F,4,FALSE)</f>
        <v>1068.5999999999999</v>
      </c>
      <c r="G236" s="3" t="str">
        <f t="shared" si="18"/>
        <v>17.81min</v>
      </c>
      <c r="H236" s="3">
        <f t="shared" si="19"/>
        <v>6.4864980400518931E-4</v>
      </c>
      <c r="I236" s="3">
        <f t="shared" si="20"/>
        <v>0</v>
      </c>
      <c r="J236" s="3">
        <f t="shared" si="21"/>
        <v>0</v>
      </c>
      <c r="K236" s="3" t="str">
        <f t="shared" si="22"/>
        <v>K45</v>
      </c>
      <c r="L236" s="3" cm="1">
        <f t="array" ref="L236">SUM(($J236*EXP(-$H236*12*3600*_xlfn.SEQUENCE(L$1-1))))+$J236</f>
        <v>0</v>
      </c>
      <c r="M236" s="3"/>
      <c r="N236" s="3"/>
    </row>
    <row r="237" spans="2:14" hidden="1" x14ac:dyDescent="0.2">
      <c r="B237" s="3">
        <v>19046</v>
      </c>
      <c r="C237" s="3">
        <v>0</v>
      </c>
      <c r="D237">
        <v>234</v>
      </c>
      <c r="E237" t="str">
        <f>VLOOKUP(B237,Nuclides!A:F,5,FALSE)</f>
        <v>K46</v>
      </c>
      <c r="F237">
        <f>VLOOKUP(B237,Nuclides!A:F,4,FALSE)</f>
        <v>105</v>
      </c>
      <c r="G237" s="3" t="str">
        <f t="shared" si="18"/>
        <v>1.75min</v>
      </c>
      <c r="H237" s="3">
        <f t="shared" si="19"/>
        <v>6.6014017196185269E-3</v>
      </c>
      <c r="I237" s="3">
        <f t="shared" si="20"/>
        <v>0</v>
      </c>
      <c r="J237" s="3">
        <f t="shared" si="21"/>
        <v>0</v>
      </c>
      <c r="K237" s="3" t="str">
        <f t="shared" si="22"/>
        <v>K46</v>
      </c>
      <c r="L237" s="3" cm="1">
        <f t="array" ref="L237">SUM(($J237*EXP(-$H237*12*3600*_xlfn.SEQUENCE(L$1-1))))+$J237</f>
        <v>0</v>
      </c>
      <c r="M237" s="3"/>
      <c r="N237" s="3"/>
    </row>
    <row r="238" spans="2:14" hidden="1" x14ac:dyDescent="0.2">
      <c r="B238" s="3">
        <v>19047</v>
      </c>
      <c r="C238" s="3">
        <v>0</v>
      </c>
      <c r="D238">
        <v>235</v>
      </c>
      <c r="E238" t="str">
        <f>VLOOKUP(B238,Nuclides!A:F,5,FALSE)</f>
        <v>K47</v>
      </c>
      <c r="F238">
        <f>VLOOKUP(B238,Nuclides!A:F,4,FALSE)</f>
        <v>17.5</v>
      </c>
      <c r="G238" s="3" t="str">
        <f t="shared" si="18"/>
        <v>17.5s</v>
      </c>
      <c r="H238" s="3">
        <f t="shared" si="19"/>
        <v>3.960841031771116E-2</v>
      </c>
      <c r="I238" s="3">
        <f t="shared" si="20"/>
        <v>0</v>
      </c>
      <c r="J238" s="3">
        <f t="shared" si="21"/>
        <v>0</v>
      </c>
      <c r="K238" s="3" t="str">
        <f t="shared" si="22"/>
        <v>K47</v>
      </c>
      <c r="L238" s="3" cm="1">
        <f t="array" ref="L238">SUM(($J238*EXP(-$H238*12*3600*_xlfn.SEQUENCE(L$1-1))))+$J238</f>
        <v>0</v>
      </c>
      <c r="M238" s="3"/>
      <c r="N238" s="3"/>
    </row>
    <row r="239" spans="2:14" hidden="1" x14ac:dyDescent="0.2">
      <c r="B239" s="3">
        <v>19048</v>
      </c>
      <c r="C239" s="3">
        <v>0</v>
      </c>
      <c r="D239">
        <v>236</v>
      </c>
      <c r="E239" t="str">
        <f>VLOOKUP(B239,Nuclides!A:F,5,FALSE)</f>
        <v>K48</v>
      </c>
      <c r="F239">
        <f>VLOOKUP(B239,Nuclides!A:F,4,FALSE)</f>
        <v>6.83</v>
      </c>
      <c r="G239" s="3" t="str">
        <f t="shared" si="18"/>
        <v>6.83s</v>
      </c>
      <c r="H239" s="3">
        <f t="shared" si="19"/>
        <v>0.10148567797363767</v>
      </c>
      <c r="I239" s="3">
        <f t="shared" si="20"/>
        <v>0</v>
      </c>
      <c r="J239" s="3">
        <f t="shared" si="21"/>
        <v>0</v>
      </c>
      <c r="K239" s="3" t="str">
        <f t="shared" si="22"/>
        <v>K48</v>
      </c>
      <c r="L239" s="3" cm="1">
        <f t="array" ref="L239">SUM(($J239*EXP(-$H239*12*3600*_xlfn.SEQUENCE(L$1-1))))+$J239</f>
        <v>0</v>
      </c>
      <c r="M239" s="3"/>
      <c r="N239" s="3"/>
    </row>
    <row r="240" spans="2:14" hidden="1" x14ac:dyDescent="0.2">
      <c r="B240" s="3">
        <v>19049</v>
      </c>
      <c r="C240" s="3">
        <v>0</v>
      </c>
      <c r="D240">
        <v>237</v>
      </c>
      <c r="E240" t="str">
        <f>VLOOKUP(B240,Nuclides!A:F,5,FALSE)</f>
        <v>K49</v>
      </c>
      <c r="F240">
        <f>VLOOKUP(B240,Nuclides!A:F,4,FALSE)</f>
        <v>1.2629999999999999</v>
      </c>
      <c r="G240" s="3" t="str">
        <f t="shared" si="18"/>
        <v>1.263s</v>
      </c>
      <c r="H240" s="3">
        <f t="shared" si="19"/>
        <v>0.54881011920819112</v>
      </c>
      <c r="I240" s="3">
        <f t="shared" si="20"/>
        <v>0</v>
      </c>
      <c r="J240" s="3">
        <f t="shared" si="21"/>
        <v>0</v>
      </c>
      <c r="K240" s="3" t="str">
        <f t="shared" si="22"/>
        <v>K49</v>
      </c>
      <c r="L240" s="3" cm="1">
        <f t="array" ref="L240">SUM(($J240*EXP(-$H240*12*3600*_xlfn.SEQUENCE(L$1-1))))+$J240</f>
        <v>0</v>
      </c>
      <c r="M240" s="3"/>
      <c r="N240" s="3"/>
    </row>
    <row r="241" spans="2:14" hidden="1" x14ac:dyDescent="0.2">
      <c r="B241" s="3">
        <v>19050</v>
      </c>
      <c r="C241" s="3">
        <v>0</v>
      </c>
      <c r="D241">
        <v>238</v>
      </c>
      <c r="E241" t="str">
        <f>VLOOKUP(B241,Nuclides!A:F,5,FALSE)</f>
        <v>K50</v>
      </c>
      <c r="F241">
        <f>VLOOKUP(B241,Nuclides!A:F,4,FALSE)</f>
        <v>0.47199999999999998</v>
      </c>
      <c r="G241" s="3" t="str">
        <f t="shared" si="18"/>
        <v>0.472s</v>
      </c>
      <c r="H241" s="3">
        <f t="shared" si="19"/>
        <v>1.4685321622032741</v>
      </c>
      <c r="I241" s="3">
        <f t="shared" si="20"/>
        <v>0</v>
      </c>
      <c r="J241" s="3">
        <f t="shared" si="21"/>
        <v>0</v>
      </c>
      <c r="K241" s="3" t="str">
        <f t="shared" si="22"/>
        <v>K50</v>
      </c>
      <c r="L241" s="3" cm="1">
        <f t="array" ref="L241">SUM(($J241*EXP(-$H241*12*3600*_xlfn.SEQUENCE(L$1-1))))+$J241</f>
        <v>0</v>
      </c>
      <c r="M241" s="3"/>
      <c r="N241" s="3"/>
    </row>
    <row r="242" spans="2:14" hidden="1" x14ac:dyDescent="0.2">
      <c r="B242" s="3">
        <v>19051</v>
      </c>
      <c r="C242" s="3">
        <v>0</v>
      </c>
      <c r="D242">
        <v>239</v>
      </c>
      <c r="E242" t="str">
        <f>VLOOKUP(B242,Nuclides!A:F,5,FALSE)</f>
        <v>K51</v>
      </c>
      <c r="F242">
        <f>VLOOKUP(B242,Nuclides!A:F,4,FALSE)</f>
        <v>0.36499999999999999</v>
      </c>
      <c r="G242" s="3" t="str">
        <f t="shared" si="18"/>
        <v>0.365s</v>
      </c>
      <c r="H242" s="3">
        <f t="shared" si="19"/>
        <v>1.8990333713971104</v>
      </c>
      <c r="I242" s="3">
        <f t="shared" si="20"/>
        <v>0</v>
      </c>
      <c r="J242" s="3">
        <f t="shared" si="21"/>
        <v>0</v>
      </c>
      <c r="K242" s="3" t="str">
        <f t="shared" si="22"/>
        <v>K51</v>
      </c>
      <c r="L242" s="3" cm="1">
        <f t="array" ref="L242">SUM(($J242*EXP(-$H242*12*3600*_xlfn.SEQUENCE(L$1-1))))+$J242</f>
        <v>0</v>
      </c>
      <c r="M242" s="3"/>
      <c r="N242" s="3"/>
    </row>
    <row r="243" spans="2:14" hidden="1" x14ac:dyDescent="0.2">
      <c r="B243" s="3">
        <v>20036</v>
      </c>
      <c r="C243" s="3">
        <v>0</v>
      </c>
      <c r="D243">
        <v>240</v>
      </c>
      <c r="E243" t="str">
        <f>VLOOKUP(B243,Nuclides!A:F,5,FALSE)</f>
        <v>Ca36</v>
      </c>
      <c r="F243">
        <f>VLOOKUP(B243,Nuclides!A:F,4,FALSE)</f>
        <v>0.10199999999999999</v>
      </c>
      <c r="G243" s="3" t="str">
        <f t="shared" si="18"/>
        <v>0.102s</v>
      </c>
      <c r="H243" s="3">
        <f t="shared" si="19"/>
        <v>6.7955605937249546</v>
      </c>
      <c r="I243" s="3">
        <f t="shared" si="20"/>
        <v>0</v>
      </c>
      <c r="J243" s="3">
        <f t="shared" si="21"/>
        <v>0</v>
      </c>
      <c r="K243" s="3" t="str">
        <f t="shared" si="22"/>
        <v>Ca36</v>
      </c>
      <c r="L243" s="3" cm="1">
        <f t="array" ref="L243">SUM(($J243*EXP(-$H243*12*3600*_xlfn.SEQUENCE(L$1-1))))+$J243</f>
        <v>0</v>
      </c>
      <c r="M243" s="3"/>
      <c r="N243" s="3"/>
    </row>
    <row r="244" spans="2:14" hidden="1" x14ac:dyDescent="0.2">
      <c r="B244" s="3">
        <v>20037</v>
      </c>
      <c r="C244" s="3">
        <v>0</v>
      </c>
      <c r="D244">
        <v>241</v>
      </c>
      <c r="E244" t="str">
        <f>VLOOKUP(B244,Nuclides!A:F,5,FALSE)</f>
        <v>Ca37</v>
      </c>
      <c r="F244">
        <f>VLOOKUP(B244,Nuclides!A:F,4,FALSE)</f>
        <v>0.18110000000000001</v>
      </c>
      <c r="G244" s="3" t="str">
        <f t="shared" si="18"/>
        <v>0.1811s</v>
      </c>
      <c r="H244" s="3">
        <f t="shared" si="19"/>
        <v>3.8274278330201286</v>
      </c>
      <c r="I244" s="3">
        <f t="shared" si="20"/>
        <v>0</v>
      </c>
      <c r="J244" s="3">
        <f t="shared" si="21"/>
        <v>0</v>
      </c>
      <c r="K244" s="3" t="str">
        <f t="shared" si="22"/>
        <v>Ca37</v>
      </c>
      <c r="L244" s="3" cm="1">
        <f t="array" ref="L244">SUM(($J244*EXP(-$H244*12*3600*_xlfn.SEQUENCE(L$1-1))))+$J244</f>
        <v>0</v>
      </c>
      <c r="M244" s="3"/>
      <c r="N244" s="3"/>
    </row>
    <row r="245" spans="2:14" hidden="1" x14ac:dyDescent="0.2">
      <c r="B245" s="3">
        <v>20038</v>
      </c>
      <c r="C245" s="3">
        <v>0</v>
      </c>
      <c r="D245">
        <v>242</v>
      </c>
      <c r="E245" t="str">
        <f>VLOOKUP(B245,Nuclides!A:F,5,FALSE)</f>
        <v>Ca38</v>
      </c>
      <c r="F245">
        <f>VLOOKUP(B245,Nuclides!A:F,4,FALSE)</f>
        <v>0.44</v>
      </c>
      <c r="G245" s="3" t="str">
        <f t="shared" si="18"/>
        <v>0.44s</v>
      </c>
      <c r="H245" s="3">
        <f t="shared" si="19"/>
        <v>1.575334501272603</v>
      </c>
      <c r="I245" s="3">
        <f t="shared" si="20"/>
        <v>0</v>
      </c>
      <c r="J245" s="3">
        <f t="shared" si="21"/>
        <v>0</v>
      </c>
      <c r="K245" s="3" t="str">
        <f t="shared" si="22"/>
        <v>Ca38</v>
      </c>
      <c r="L245" s="3" cm="1">
        <f t="array" ref="L245">SUM(($J245*EXP(-$H245*12*3600*_xlfn.SEQUENCE(L$1-1))))+$J245</f>
        <v>0</v>
      </c>
      <c r="M245" s="3"/>
      <c r="N245" s="3"/>
    </row>
    <row r="246" spans="2:14" hidden="1" x14ac:dyDescent="0.2">
      <c r="B246" s="3">
        <v>20039</v>
      </c>
      <c r="C246" s="3">
        <v>0</v>
      </c>
      <c r="D246">
        <v>243</v>
      </c>
      <c r="E246" t="str">
        <f>VLOOKUP(B246,Nuclides!A:F,5,FALSE)</f>
        <v>Ca39</v>
      </c>
      <c r="F246">
        <f>VLOOKUP(B246,Nuclides!A:F,4,FALSE)</f>
        <v>0.85960000000000003</v>
      </c>
      <c r="G246" s="3" t="str">
        <f t="shared" si="18"/>
        <v>0.8596s</v>
      </c>
      <c r="H246" s="3">
        <f t="shared" si="19"/>
        <v>0.80636014490454311</v>
      </c>
      <c r="I246" s="3">
        <f t="shared" si="20"/>
        <v>0</v>
      </c>
      <c r="J246" s="3">
        <f t="shared" si="21"/>
        <v>0</v>
      </c>
      <c r="K246" s="3" t="str">
        <f t="shared" si="22"/>
        <v>Ca39</v>
      </c>
      <c r="L246" s="3" cm="1">
        <f t="array" ref="L246">SUM(($J246*EXP(-$H246*12*3600*_xlfn.SEQUENCE(L$1-1))))+$J246</f>
        <v>0</v>
      </c>
      <c r="M246" s="3"/>
      <c r="N246" s="3"/>
    </row>
    <row r="247" spans="2:14" hidden="1" x14ac:dyDescent="0.2">
      <c r="B247" s="3">
        <v>20040</v>
      </c>
      <c r="C247" s="3">
        <v>0</v>
      </c>
      <c r="D247">
        <v>244</v>
      </c>
      <c r="E247" t="str">
        <f>VLOOKUP(B247,Nuclides!A:F,5,FALSE)</f>
        <v>Ca40</v>
      </c>
      <c r="F247">
        <f>VLOOKUP(B247,Nuclides!A:F,4,FALSE)</f>
        <v>9.4672799999999999E+28</v>
      </c>
      <c r="G247" s="3" t="str">
        <f t="shared" si="18"/>
        <v>3.00205479452055E+21y</v>
      </c>
      <c r="H247" s="3">
        <f t="shared" si="19"/>
        <v>7.3215029085433761E-30</v>
      </c>
      <c r="I247" s="3">
        <f t="shared" si="20"/>
        <v>0</v>
      </c>
      <c r="J247" s="3">
        <f t="shared" si="21"/>
        <v>0</v>
      </c>
      <c r="K247" s="3" t="str">
        <f t="shared" si="22"/>
        <v>Ca40</v>
      </c>
      <c r="L247" s="3" cm="1">
        <f t="array" ref="L247">SUM(($J247*EXP(-$H247*12*3600*_xlfn.SEQUENCE(L$1-1))))+$J247</f>
        <v>0</v>
      </c>
      <c r="M247" s="3"/>
      <c r="N247" s="3"/>
    </row>
    <row r="248" spans="2:14" hidden="1" x14ac:dyDescent="0.2">
      <c r="B248" s="3">
        <v>20041</v>
      </c>
      <c r="C248" s="3">
        <v>0</v>
      </c>
      <c r="D248">
        <v>245</v>
      </c>
      <c r="E248" t="str">
        <f>VLOOKUP(B248,Nuclides!A:F,5,FALSE)</f>
        <v>Ca41</v>
      </c>
      <c r="F248">
        <f>VLOOKUP(B248,Nuclides!A:F,4,FALSE)</f>
        <v>3136825440000</v>
      </c>
      <c r="G248" s="3" t="str">
        <f t="shared" si="18"/>
        <v>99468.08y</v>
      </c>
      <c r="H248" s="3">
        <f t="shared" si="19"/>
        <v>2.2097091273269745E-13</v>
      </c>
      <c r="I248" s="3">
        <f t="shared" si="20"/>
        <v>0</v>
      </c>
      <c r="J248" s="3">
        <f t="shared" si="21"/>
        <v>0</v>
      </c>
      <c r="K248" s="3" t="str">
        <f t="shared" si="22"/>
        <v>Ca41</v>
      </c>
      <c r="L248" s="3" cm="1">
        <f t="array" ref="L248">SUM(($J248*EXP(-$H248*12*3600*_xlfn.SEQUENCE(L$1-1))))+$J248</f>
        <v>0</v>
      </c>
      <c r="M248" s="3"/>
      <c r="N248" s="3"/>
    </row>
    <row r="249" spans="2:14" hidden="1" x14ac:dyDescent="0.2">
      <c r="B249" s="3">
        <v>20042</v>
      </c>
      <c r="C249" s="3">
        <v>0</v>
      </c>
      <c r="D249">
        <v>246</v>
      </c>
      <c r="E249" t="str">
        <f>VLOOKUP(B249,Nuclides!A:F,5,FALSE)</f>
        <v>Ca42</v>
      </c>
      <c r="F249" t="str">
        <f>VLOOKUP(B249,Nuclides!A:F,4,FALSE)</f>
        <v>STABLE</v>
      </c>
      <c r="G249" s="3" t="str">
        <f t="shared" si="18"/>
        <v>STABLE</v>
      </c>
      <c r="H249" s="3" t="e">
        <f t="shared" si="19"/>
        <v>#VALUE!</v>
      </c>
      <c r="I249" s="3" t="e">
        <f t="shared" si="20"/>
        <v>#VALUE!</v>
      </c>
      <c r="J249" s="3" t="e">
        <f t="shared" si="21"/>
        <v>#VALUE!</v>
      </c>
      <c r="K249" s="3" t="str">
        <f t="shared" si="22"/>
        <v>Ca42</v>
      </c>
      <c r="L249" s="3" t="e" cm="1">
        <f t="array" ref="L249">SUM(($J249*EXP(-$H249*12*3600*_xlfn.SEQUENCE(L$1-1))))+$J249</f>
        <v>#VALUE!</v>
      </c>
      <c r="M249" s="3"/>
      <c r="N249" s="3"/>
    </row>
    <row r="250" spans="2:14" hidden="1" x14ac:dyDescent="0.2">
      <c r="B250" s="3">
        <v>20043</v>
      </c>
      <c r="C250" s="3">
        <v>0</v>
      </c>
      <c r="D250">
        <v>247</v>
      </c>
      <c r="E250" t="str">
        <f>VLOOKUP(B250,Nuclides!A:F,5,FALSE)</f>
        <v>Ca43</v>
      </c>
      <c r="F250" t="str">
        <f>VLOOKUP(B250,Nuclides!A:F,4,FALSE)</f>
        <v>STABLE</v>
      </c>
      <c r="G250" s="3" t="str">
        <f t="shared" si="18"/>
        <v>STABLE</v>
      </c>
      <c r="H250" s="3" t="e">
        <f t="shared" si="19"/>
        <v>#VALUE!</v>
      </c>
      <c r="I250" s="3" t="e">
        <f t="shared" si="20"/>
        <v>#VALUE!</v>
      </c>
      <c r="J250" s="3" t="e">
        <f t="shared" si="21"/>
        <v>#VALUE!</v>
      </c>
      <c r="K250" s="3" t="str">
        <f t="shared" si="22"/>
        <v>Ca43</v>
      </c>
      <c r="L250" s="3" t="e" cm="1">
        <f t="array" ref="L250">SUM(($J250*EXP(-$H250*12*3600*_xlfn.SEQUENCE(L$1-1))))+$J250</f>
        <v>#VALUE!</v>
      </c>
      <c r="M250" s="3"/>
      <c r="N250" s="3"/>
    </row>
    <row r="251" spans="2:14" hidden="1" x14ac:dyDescent="0.2">
      <c r="B251" s="3">
        <v>20044</v>
      </c>
      <c r="C251" s="3">
        <v>0</v>
      </c>
      <c r="D251">
        <v>248</v>
      </c>
      <c r="E251" t="str">
        <f>VLOOKUP(B251,Nuclides!A:F,5,FALSE)</f>
        <v>Ca44</v>
      </c>
      <c r="F251" t="str">
        <f>VLOOKUP(B251,Nuclides!A:F,4,FALSE)</f>
        <v>STABLE</v>
      </c>
      <c r="G251" s="3" t="str">
        <f t="shared" si="18"/>
        <v>STABLE</v>
      </c>
      <c r="H251" s="3" t="e">
        <f t="shared" si="19"/>
        <v>#VALUE!</v>
      </c>
      <c r="I251" s="3" t="e">
        <f t="shared" si="20"/>
        <v>#VALUE!</v>
      </c>
      <c r="J251" s="3" t="e">
        <f t="shared" si="21"/>
        <v>#VALUE!</v>
      </c>
      <c r="K251" s="3" t="str">
        <f t="shared" si="22"/>
        <v>Ca44</v>
      </c>
      <c r="L251" s="3" t="e" cm="1">
        <f t="array" ref="L251">SUM(($J251*EXP(-$H251*12*3600*_xlfn.SEQUENCE(L$1-1))))+$J251</f>
        <v>#VALUE!</v>
      </c>
      <c r="M251" s="3"/>
      <c r="N251" s="3"/>
    </row>
    <row r="252" spans="2:14" hidden="1" x14ac:dyDescent="0.2">
      <c r="B252" s="3">
        <v>20045</v>
      </c>
      <c r="C252" s="3">
        <v>0</v>
      </c>
      <c r="D252">
        <v>249</v>
      </c>
      <c r="E252" t="str">
        <f>VLOOKUP(B252,Nuclides!A:F,5,FALSE)</f>
        <v>Ca45</v>
      </c>
      <c r="F252">
        <f>VLOOKUP(B252,Nuclides!A:F,4,FALSE)</f>
        <v>14049504</v>
      </c>
      <c r="G252" s="3" t="str">
        <f t="shared" si="18"/>
        <v>162.61d</v>
      </c>
      <c r="H252" s="3">
        <f t="shared" si="19"/>
        <v>4.9336060586903655E-8</v>
      </c>
      <c r="I252" s="3">
        <f t="shared" si="20"/>
        <v>0</v>
      </c>
      <c r="J252" s="3">
        <f t="shared" si="21"/>
        <v>0</v>
      </c>
      <c r="K252" s="3" t="str">
        <f t="shared" si="22"/>
        <v>Ca45</v>
      </c>
      <c r="L252" s="3" cm="1">
        <f t="array" ref="L252">SUM(($J252*EXP(-$H252*12*3600*_xlfn.SEQUENCE(L$1-1))))+$J252</f>
        <v>0</v>
      </c>
      <c r="M252" s="3"/>
      <c r="N252" s="3"/>
    </row>
    <row r="253" spans="2:14" hidden="1" x14ac:dyDescent="0.2">
      <c r="B253" s="3">
        <v>20046</v>
      </c>
      <c r="C253" s="3">
        <v>0</v>
      </c>
      <c r="D253">
        <v>250</v>
      </c>
      <c r="E253" t="str">
        <f>VLOOKUP(B253,Nuclides!A:F,5,FALSE)</f>
        <v>Ca46</v>
      </c>
      <c r="F253">
        <f>VLOOKUP(B253,Nuclides!A:F,4,FALSE)</f>
        <v>8.8361279999999998E+22</v>
      </c>
      <c r="G253" s="3" t="str">
        <f t="shared" si="18"/>
        <v>2801917808219180y</v>
      </c>
      <c r="H253" s="3">
        <f t="shared" si="19"/>
        <v>7.844467402010759E-24</v>
      </c>
      <c r="I253" s="3">
        <f t="shared" si="20"/>
        <v>0</v>
      </c>
      <c r="J253" s="3">
        <f t="shared" si="21"/>
        <v>0</v>
      </c>
      <c r="K253" s="3" t="str">
        <f t="shared" si="22"/>
        <v>Ca46</v>
      </c>
      <c r="L253" s="3" cm="1">
        <f t="array" ref="L253">SUM(($J253*EXP(-$H253*12*3600*_xlfn.SEQUENCE(L$1-1))))+$J253</f>
        <v>0</v>
      </c>
      <c r="M253" s="3"/>
      <c r="N253" s="3"/>
    </row>
    <row r="254" spans="2:14" hidden="1" x14ac:dyDescent="0.2">
      <c r="B254" s="3">
        <v>20047</v>
      </c>
      <c r="C254" s="3">
        <v>0</v>
      </c>
      <c r="D254">
        <v>251</v>
      </c>
      <c r="E254" t="str">
        <f>VLOOKUP(B254,Nuclides!A:F,5,FALSE)</f>
        <v>Ca47</v>
      </c>
      <c r="F254">
        <f>VLOOKUP(B254,Nuclides!A:F,4,FALSE)</f>
        <v>391910.39999999898</v>
      </c>
      <c r="G254" s="3" t="str">
        <f t="shared" si="18"/>
        <v>4.54d</v>
      </c>
      <c r="H254" s="3">
        <f t="shared" si="19"/>
        <v>1.7686368633237268E-6</v>
      </c>
      <c r="I254" s="3">
        <f t="shared" si="20"/>
        <v>0</v>
      </c>
      <c r="J254" s="3">
        <f t="shared" si="21"/>
        <v>0</v>
      </c>
      <c r="K254" s="3" t="str">
        <f t="shared" si="22"/>
        <v>Ca47</v>
      </c>
      <c r="L254" s="3" cm="1">
        <f t="array" ref="L254">SUM(($J254*EXP(-$H254*12*3600*_xlfn.SEQUENCE(L$1-1))))+$J254</f>
        <v>0</v>
      </c>
      <c r="M254" s="3"/>
      <c r="N254" s="3"/>
    </row>
    <row r="255" spans="2:14" hidden="1" x14ac:dyDescent="0.2">
      <c r="B255" s="3">
        <v>20048</v>
      </c>
      <c r="C255" s="3">
        <v>0</v>
      </c>
      <c r="D255">
        <v>252</v>
      </c>
      <c r="E255" t="str">
        <f>VLOOKUP(B255,Nuclides!A:F,5,FALSE)</f>
        <v>Ca48</v>
      </c>
      <c r="F255">
        <f>VLOOKUP(B255,Nuclides!A:F,4,FALSE)</f>
        <v>1.8303407999999899E+30</v>
      </c>
      <c r="G255" s="3" t="str">
        <f t="shared" si="18"/>
        <v>5.80397260273969E+22y</v>
      </c>
      <c r="H255" s="3">
        <f t="shared" si="19"/>
        <v>3.7869842630396979E-31</v>
      </c>
      <c r="I255" s="3">
        <f t="shared" si="20"/>
        <v>0</v>
      </c>
      <c r="J255" s="3">
        <f t="shared" si="21"/>
        <v>0</v>
      </c>
      <c r="K255" s="3" t="str">
        <f t="shared" si="22"/>
        <v>Ca48</v>
      </c>
      <c r="L255" s="3" cm="1">
        <f t="array" ref="L255">SUM(($J255*EXP(-$H255*12*3600*_xlfn.SEQUENCE(L$1-1))))+$J255</f>
        <v>0</v>
      </c>
      <c r="M255" s="3"/>
      <c r="N255" s="3"/>
    </row>
    <row r="256" spans="2:14" hidden="1" x14ac:dyDescent="0.2">
      <c r="B256" s="3">
        <v>20049</v>
      </c>
      <c r="C256" s="3">
        <v>0</v>
      </c>
      <c r="D256">
        <v>253</v>
      </c>
      <c r="E256" t="str">
        <f>VLOOKUP(B256,Nuclides!A:F,5,FALSE)</f>
        <v>Ca49</v>
      </c>
      <c r="F256">
        <f>VLOOKUP(B256,Nuclides!A:F,4,FALSE)</f>
        <v>523.08000000000004</v>
      </c>
      <c r="G256" s="3" t="str">
        <f t="shared" si="18"/>
        <v>8.72min</v>
      </c>
      <c r="H256" s="3">
        <f t="shared" si="19"/>
        <v>1.3251265209144783E-3</v>
      </c>
      <c r="I256" s="3">
        <f t="shared" si="20"/>
        <v>0</v>
      </c>
      <c r="J256" s="3">
        <f t="shared" si="21"/>
        <v>0</v>
      </c>
      <c r="K256" s="3" t="str">
        <f t="shared" si="22"/>
        <v>Ca49</v>
      </c>
      <c r="L256" s="3" cm="1">
        <f t="array" ref="L256">SUM(($J256*EXP(-$H256*12*3600*_xlfn.SEQUENCE(L$1-1))))+$J256</f>
        <v>0</v>
      </c>
      <c r="M256" s="3"/>
      <c r="N256" s="3"/>
    </row>
    <row r="257" spans="2:14" hidden="1" x14ac:dyDescent="0.2">
      <c r="B257" s="3">
        <v>20050</v>
      </c>
      <c r="C257" s="3">
        <v>0</v>
      </c>
      <c r="D257">
        <v>254</v>
      </c>
      <c r="E257" t="str">
        <f>VLOOKUP(B257,Nuclides!A:F,5,FALSE)</f>
        <v>Ca50</v>
      </c>
      <c r="F257">
        <f>VLOOKUP(B257,Nuclides!A:F,4,FALSE)</f>
        <v>13.9</v>
      </c>
      <c r="G257" s="3" t="str">
        <f t="shared" si="18"/>
        <v>13.9s</v>
      </c>
      <c r="H257" s="3">
        <f t="shared" si="19"/>
        <v>4.9866703637406133E-2</v>
      </c>
      <c r="I257" s="3">
        <f t="shared" si="20"/>
        <v>0</v>
      </c>
      <c r="J257" s="3">
        <f t="shared" si="21"/>
        <v>0</v>
      </c>
      <c r="K257" s="3" t="str">
        <f t="shared" si="22"/>
        <v>Ca50</v>
      </c>
      <c r="L257" s="3" cm="1">
        <f t="array" ref="L257">SUM(($J257*EXP(-$H257*12*3600*_xlfn.SEQUENCE(L$1-1))))+$J257</f>
        <v>0</v>
      </c>
      <c r="M257" s="3"/>
      <c r="N257" s="3"/>
    </row>
    <row r="258" spans="2:14" hidden="1" x14ac:dyDescent="0.2">
      <c r="B258" s="3">
        <v>20051</v>
      </c>
      <c r="C258" s="3">
        <v>0</v>
      </c>
      <c r="D258">
        <v>255</v>
      </c>
      <c r="E258" t="str">
        <f>VLOOKUP(B258,Nuclides!A:F,5,FALSE)</f>
        <v>Ca51</v>
      </c>
      <c r="F258">
        <f>VLOOKUP(B258,Nuclides!A:F,4,FALSE)</f>
        <v>10</v>
      </c>
      <c r="G258" s="3" t="str">
        <f t="shared" si="18"/>
        <v>10s</v>
      </c>
      <c r="H258" s="3">
        <f t="shared" si="19"/>
        <v>6.9314718055994526E-2</v>
      </c>
      <c r="I258" s="3">
        <f t="shared" si="20"/>
        <v>0</v>
      </c>
      <c r="J258" s="3">
        <f t="shared" si="21"/>
        <v>0</v>
      </c>
      <c r="K258" s="3" t="str">
        <f t="shared" si="22"/>
        <v>Ca51</v>
      </c>
      <c r="L258" s="3" cm="1">
        <f t="array" ref="L258">SUM(($J258*EXP(-$H258*12*3600*_xlfn.SEQUENCE(L$1-1))))+$J258</f>
        <v>0</v>
      </c>
      <c r="M258" s="3"/>
      <c r="N258" s="3"/>
    </row>
    <row r="259" spans="2:14" hidden="1" x14ac:dyDescent="0.2">
      <c r="B259" s="3">
        <v>21040</v>
      </c>
      <c r="C259" s="3">
        <v>0</v>
      </c>
      <c r="D259">
        <v>256</v>
      </c>
      <c r="E259" t="str">
        <f>VLOOKUP(B259,Nuclides!A:F,5,FALSE)</f>
        <v>Sc40</v>
      </c>
      <c r="F259">
        <f>VLOOKUP(B259,Nuclides!A:F,4,FALSE)</f>
        <v>0.18229999999999999</v>
      </c>
      <c r="G259" s="3" t="str">
        <f t="shared" si="18"/>
        <v>0.1823s</v>
      </c>
      <c r="H259" s="3">
        <f t="shared" si="19"/>
        <v>3.8022335741083122</v>
      </c>
      <c r="I259" s="3">
        <f t="shared" si="20"/>
        <v>0</v>
      </c>
      <c r="J259" s="3">
        <f t="shared" si="21"/>
        <v>0</v>
      </c>
      <c r="K259" s="3" t="str">
        <f t="shared" si="22"/>
        <v>Sc40</v>
      </c>
      <c r="L259" s="3" cm="1">
        <f t="array" ref="L259">SUM(($J259*EXP(-$H259*12*3600*_xlfn.SEQUENCE(L$1-1))))+$J259</f>
        <v>0</v>
      </c>
      <c r="M259" s="3"/>
      <c r="N259" s="3"/>
    </row>
    <row r="260" spans="2:14" hidden="1" x14ac:dyDescent="0.2">
      <c r="B260" s="3">
        <v>21041</v>
      </c>
      <c r="C260" s="3">
        <v>0</v>
      </c>
      <c r="D260">
        <v>257</v>
      </c>
      <c r="E260" t="str">
        <f>VLOOKUP(B260,Nuclides!A:F,5,FALSE)</f>
        <v>Sc41</v>
      </c>
      <c r="F260">
        <f>VLOOKUP(B260,Nuclides!A:F,4,FALSE)</f>
        <v>0.59629999999999905</v>
      </c>
      <c r="G260" s="3" t="str">
        <f t="shared" ref="G260:G323" si="23">IF(F260="STABLE", "STABLE", IF(F260&lt;60, F260&amp;"s", IF(F260&lt;3600, ROUND(F260/60,2)&amp;"min", IF(F260&lt;86400, ROUND(F260/3600,2)&amp;"h", IF(F260&lt;31536000, ROUND(F260/86400,2)&amp;"d", ROUND(F260/31536000,2)&amp;"y")))))</f>
        <v>0.596299999999999s</v>
      </c>
      <c r="H260" s="3">
        <f t="shared" ref="H260:H323" si="24">LN(2)/F260</f>
        <v>1.1624135176252663</v>
      </c>
      <c r="I260" s="3">
        <f t="shared" ref="I260:I323" si="25">100*6240000000000*C260*(1-EXP(-H260*2*3600))</f>
        <v>0</v>
      </c>
      <c r="J260" s="3">
        <f t="shared" ref="J260:J323" si="26">I260*EXP(-H260*10*3600)</f>
        <v>0</v>
      </c>
      <c r="K260" s="3" t="str">
        <f t="shared" ref="K260:K323" si="27">E260</f>
        <v>Sc41</v>
      </c>
      <c r="L260" s="3" cm="1">
        <f t="array" ref="L260">SUM(($J260*EXP(-$H260*12*3600*_xlfn.SEQUENCE(L$1-1))))+$J260</f>
        <v>0</v>
      </c>
      <c r="M260" s="3"/>
      <c r="N260" s="3"/>
    </row>
    <row r="261" spans="2:14" hidden="1" x14ac:dyDescent="0.2">
      <c r="B261" s="3">
        <v>21042</v>
      </c>
      <c r="C261" s="3">
        <v>0</v>
      </c>
      <c r="D261">
        <v>258</v>
      </c>
      <c r="E261" t="str">
        <f>VLOOKUP(B261,Nuclides!A:F,5,FALSE)</f>
        <v>Sc42</v>
      </c>
      <c r="F261">
        <f>VLOOKUP(B261,Nuclides!A:F,4,FALSE)</f>
        <v>0.68069999999999997</v>
      </c>
      <c r="G261" s="3" t="str">
        <f t="shared" si="23"/>
        <v>0.6807s</v>
      </c>
      <c r="H261" s="3">
        <f t="shared" si="24"/>
        <v>1.0182858536211918</v>
      </c>
      <c r="I261" s="3">
        <f t="shared" si="25"/>
        <v>0</v>
      </c>
      <c r="J261" s="3">
        <f t="shared" si="26"/>
        <v>0</v>
      </c>
      <c r="K261" s="3" t="str">
        <f t="shared" si="27"/>
        <v>Sc42</v>
      </c>
      <c r="L261" s="3" cm="1">
        <f t="array" ref="L261">SUM(($J261*EXP(-$H261*12*3600*_xlfn.SEQUENCE(L$1-1))))+$J261</f>
        <v>0</v>
      </c>
      <c r="M261" s="3"/>
      <c r="N261" s="3"/>
    </row>
    <row r="262" spans="2:14" hidden="1" x14ac:dyDescent="0.2">
      <c r="B262" s="3">
        <v>21043</v>
      </c>
      <c r="C262" s="3">
        <v>0</v>
      </c>
      <c r="D262">
        <v>259</v>
      </c>
      <c r="E262" t="str">
        <f>VLOOKUP(B262,Nuclides!A:F,5,FALSE)</f>
        <v>Sc43</v>
      </c>
      <c r="F262">
        <f>VLOOKUP(B262,Nuclides!A:F,4,FALSE)</f>
        <v>14007.6</v>
      </c>
      <c r="G262" s="3" t="str">
        <f t="shared" si="23"/>
        <v>3.89h</v>
      </c>
      <c r="H262" s="3">
        <f t="shared" si="24"/>
        <v>4.9483650344095011E-5</v>
      </c>
      <c r="I262" s="3">
        <f t="shared" si="25"/>
        <v>0</v>
      </c>
      <c r="J262" s="3">
        <f t="shared" si="26"/>
        <v>0</v>
      </c>
      <c r="K262" s="3" t="str">
        <f t="shared" si="27"/>
        <v>Sc43</v>
      </c>
      <c r="L262" s="3" cm="1">
        <f t="array" ref="L262">SUM(($J262*EXP(-$H262*12*3600*_xlfn.SEQUENCE(L$1-1))))+$J262</f>
        <v>0</v>
      </c>
      <c r="M262" s="3"/>
      <c r="N262" s="3"/>
    </row>
    <row r="263" spans="2:14" hidden="1" x14ac:dyDescent="0.2">
      <c r="B263" s="3">
        <v>21044</v>
      </c>
      <c r="C263" s="3">
        <v>0</v>
      </c>
      <c r="D263">
        <v>260</v>
      </c>
      <c r="E263" t="str">
        <f>VLOOKUP(B263,Nuclides!A:F,5,FALSE)</f>
        <v>Sc44</v>
      </c>
      <c r="F263">
        <f>VLOOKUP(B263,Nuclides!A:F,4,FALSE)</f>
        <v>14292</v>
      </c>
      <c r="G263" s="3" t="str">
        <f t="shared" si="23"/>
        <v>3.97h</v>
      </c>
      <c r="H263" s="3">
        <f t="shared" si="24"/>
        <v>4.8498963095434182E-5</v>
      </c>
      <c r="I263" s="3">
        <f t="shared" si="25"/>
        <v>0</v>
      </c>
      <c r="J263" s="3">
        <f t="shared" si="26"/>
        <v>0</v>
      </c>
      <c r="K263" s="3" t="str">
        <f t="shared" si="27"/>
        <v>Sc44</v>
      </c>
      <c r="L263" s="3" cm="1">
        <f t="array" ref="L263">SUM(($J263*EXP(-$H263*12*3600*_xlfn.SEQUENCE(L$1-1))))+$J263</f>
        <v>0</v>
      </c>
      <c r="M263" s="3"/>
      <c r="N263" s="3"/>
    </row>
    <row r="264" spans="2:14" hidden="1" x14ac:dyDescent="0.2">
      <c r="B264" s="3">
        <v>21045</v>
      </c>
      <c r="C264" s="3">
        <v>0</v>
      </c>
      <c r="D264">
        <v>261</v>
      </c>
      <c r="E264" t="str">
        <f>VLOOKUP(B264,Nuclides!A:F,5,FALSE)</f>
        <v>Sc45</v>
      </c>
      <c r="F264" t="str">
        <f>VLOOKUP(B264,Nuclides!A:F,4,FALSE)</f>
        <v>STABLE</v>
      </c>
      <c r="G264" s="3" t="str">
        <f t="shared" si="23"/>
        <v>STABLE</v>
      </c>
      <c r="H264" s="3" t="e">
        <f t="shared" si="24"/>
        <v>#VALUE!</v>
      </c>
      <c r="I264" s="3" t="e">
        <f t="shared" si="25"/>
        <v>#VALUE!</v>
      </c>
      <c r="J264" s="3" t="e">
        <f t="shared" si="26"/>
        <v>#VALUE!</v>
      </c>
      <c r="K264" s="3" t="str">
        <f t="shared" si="27"/>
        <v>Sc45</v>
      </c>
      <c r="L264" s="3" t="e" cm="1">
        <f t="array" ref="L264">SUM(($J264*EXP(-$H264*12*3600*_xlfn.SEQUENCE(L$1-1))))+$J264</f>
        <v>#VALUE!</v>
      </c>
      <c r="M264" s="3"/>
      <c r="N264" s="3"/>
    </row>
    <row r="265" spans="2:14" hidden="1" x14ac:dyDescent="0.2">
      <c r="B265" s="3">
        <v>21046</v>
      </c>
      <c r="C265" s="3">
        <v>0</v>
      </c>
      <c r="D265">
        <v>262</v>
      </c>
      <c r="E265" t="str">
        <f>VLOOKUP(B265,Nuclides!A:F,5,FALSE)</f>
        <v>Sc46</v>
      </c>
      <c r="F265">
        <f>VLOOKUP(B265,Nuclides!A:F,4,FALSE)</f>
        <v>7239456</v>
      </c>
      <c r="G265" s="3" t="str">
        <f t="shared" si="23"/>
        <v>83.79d</v>
      </c>
      <c r="H265" s="3">
        <f t="shared" si="24"/>
        <v>9.5745755006998491E-8</v>
      </c>
      <c r="I265" s="3">
        <f t="shared" si="25"/>
        <v>0</v>
      </c>
      <c r="J265" s="3">
        <f t="shared" si="26"/>
        <v>0</v>
      </c>
      <c r="K265" s="3" t="str">
        <f t="shared" si="27"/>
        <v>Sc46</v>
      </c>
      <c r="L265" s="3" cm="1">
        <f t="array" ref="L265">SUM(($J265*EXP(-$H265*12*3600*_xlfn.SEQUENCE(L$1-1))))+$J265</f>
        <v>0</v>
      </c>
      <c r="M265" s="3"/>
      <c r="N265" s="3"/>
    </row>
    <row r="266" spans="2:14" hidden="1" x14ac:dyDescent="0.2">
      <c r="B266" s="3">
        <v>21047</v>
      </c>
      <c r="C266" s="3">
        <v>0</v>
      </c>
      <c r="D266">
        <v>263</v>
      </c>
      <c r="E266" t="str">
        <f>VLOOKUP(B266,Nuclides!A:F,5,FALSE)</f>
        <v>Sc47</v>
      </c>
      <c r="F266">
        <f>VLOOKUP(B266,Nuclides!A:F,4,FALSE)</f>
        <v>289370.88</v>
      </c>
      <c r="G266" s="3" t="str">
        <f t="shared" si="23"/>
        <v>3.35d</v>
      </c>
      <c r="H266" s="3">
        <f t="shared" si="24"/>
        <v>2.3953591341324507E-6</v>
      </c>
      <c r="I266" s="3">
        <f t="shared" si="25"/>
        <v>0</v>
      </c>
      <c r="J266" s="3">
        <f t="shared" si="26"/>
        <v>0</v>
      </c>
      <c r="K266" s="3" t="str">
        <f t="shared" si="27"/>
        <v>Sc47</v>
      </c>
      <c r="L266" s="3" cm="1">
        <f t="array" ref="L266">SUM(($J266*EXP(-$H266*12*3600*_xlfn.SEQUENCE(L$1-1))))+$J266</f>
        <v>0</v>
      </c>
      <c r="M266" s="3"/>
      <c r="N266" s="3"/>
    </row>
    <row r="267" spans="2:14" hidden="1" x14ac:dyDescent="0.2">
      <c r="B267" s="3">
        <v>21048</v>
      </c>
      <c r="C267" s="3">
        <v>0</v>
      </c>
      <c r="D267">
        <v>264</v>
      </c>
      <c r="E267" t="str">
        <f>VLOOKUP(B267,Nuclides!A:F,5,FALSE)</f>
        <v>Sc48</v>
      </c>
      <c r="F267">
        <f>VLOOKUP(B267,Nuclides!A:F,4,FALSE)</f>
        <v>157212</v>
      </c>
      <c r="G267" s="3" t="str">
        <f t="shared" si="23"/>
        <v>1.82d</v>
      </c>
      <c r="H267" s="3">
        <f t="shared" si="24"/>
        <v>4.4089966450394709E-6</v>
      </c>
      <c r="I267" s="3">
        <f t="shared" si="25"/>
        <v>0</v>
      </c>
      <c r="J267" s="3">
        <f t="shared" si="26"/>
        <v>0</v>
      </c>
      <c r="K267" s="3" t="str">
        <f t="shared" si="27"/>
        <v>Sc48</v>
      </c>
      <c r="L267" s="3" cm="1">
        <f t="array" ref="L267">SUM(($J267*EXP(-$H267*12*3600*_xlfn.SEQUENCE(L$1-1))))+$J267</f>
        <v>0</v>
      </c>
      <c r="M267" s="3"/>
      <c r="N267" s="3"/>
    </row>
    <row r="268" spans="2:14" hidden="1" x14ac:dyDescent="0.2">
      <c r="B268" s="3">
        <v>21049</v>
      </c>
      <c r="C268" s="3">
        <v>0</v>
      </c>
      <c r="D268">
        <v>265</v>
      </c>
      <c r="E268" t="str">
        <f>VLOOKUP(B268,Nuclides!A:F,5,FALSE)</f>
        <v>Sc49</v>
      </c>
      <c r="F268">
        <f>VLOOKUP(B268,Nuclides!A:F,4,FALSE)</f>
        <v>3430.8</v>
      </c>
      <c r="G268" s="3" t="str">
        <f t="shared" si="23"/>
        <v>57.18min</v>
      </c>
      <c r="H268" s="3">
        <f t="shared" si="24"/>
        <v>2.0203660387080135E-4</v>
      </c>
      <c r="I268" s="3">
        <f t="shared" si="25"/>
        <v>0</v>
      </c>
      <c r="J268" s="3">
        <f t="shared" si="26"/>
        <v>0</v>
      </c>
      <c r="K268" s="3" t="str">
        <f t="shared" si="27"/>
        <v>Sc49</v>
      </c>
      <c r="L268" s="3" cm="1">
        <f t="array" ref="L268">SUM(($J268*EXP(-$H268*12*3600*_xlfn.SEQUENCE(L$1-1))))+$J268</f>
        <v>0</v>
      </c>
      <c r="M268" s="3"/>
      <c r="N268" s="3"/>
    </row>
    <row r="269" spans="2:14" hidden="1" x14ac:dyDescent="0.2">
      <c r="B269" s="3">
        <v>21050</v>
      </c>
      <c r="C269" s="3">
        <v>0</v>
      </c>
      <c r="D269">
        <v>266</v>
      </c>
      <c r="E269" t="str">
        <f>VLOOKUP(B269,Nuclides!A:F,5,FALSE)</f>
        <v>Sc50</v>
      </c>
      <c r="F269">
        <f>VLOOKUP(B269,Nuclides!A:F,4,FALSE)</f>
        <v>102.5</v>
      </c>
      <c r="G269" s="3" t="str">
        <f t="shared" si="23"/>
        <v>1.71min</v>
      </c>
      <c r="H269" s="3">
        <f t="shared" si="24"/>
        <v>6.7624115176580027E-3</v>
      </c>
      <c r="I269" s="3">
        <f t="shared" si="25"/>
        <v>0</v>
      </c>
      <c r="J269" s="3">
        <f t="shared" si="26"/>
        <v>0</v>
      </c>
      <c r="K269" s="3" t="str">
        <f t="shared" si="27"/>
        <v>Sc50</v>
      </c>
      <c r="L269" s="3" cm="1">
        <f t="array" ref="L269">SUM(($J269*EXP(-$H269*12*3600*_xlfn.SEQUENCE(L$1-1))))+$J269</f>
        <v>0</v>
      </c>
      <c r="M269" s="3"/>
      <c r="N269" s="3"/>
    </row>
    <row r="270" spans="2:14" hidden="1" x14ac:dyDescent="0.2">
      <c r="B270" s="3">
        <v>21051</v>
      </c>
      <c r="C270" s="3">
        <v>0</v>
      </c>
      <c r="D270">
        <v>267</v>
      </c>
      <c r="E270" t="str">
        <f>VLOOKUP(B270,Nuclides!A:F,5,FALSE)</f>
        <v>Sc51</v>
      </c>
      <c r="F270">
        <f>VLOOKUP(B270,Nuclides!A:F,4,FALSE)</f>
        <v>12.4</v>
      </c>
      <c r="G270" s="3" t="str">
        <f t="shared" si="23"/>
        <v>12.4s</v>
      </c>
      <c r="H270" s="3">
        <f t="shared" si="24"/>
        <v>5.5898966174189137E-2</v>
      </c>
      <c r="I270" s="3">
        <f t="shared" si="25"/>
        <v>0</v>
      </c>
      <c r="J270" s="3">
        <f t="shared" si="26"/>
        <v>0</v>
      </c>
      <c r="K270" s="3" t="str">
        <f t="shared" si="27"/>
        <v>Sc51</v>
      </c>
      <c r="L270" s="3" cm="1">
        <f t="array" ref="L270">SUM(($J270*EXP(-$H270*12*3600*_xlfn.SEQUENCE(L$1-1))))+$J270</f>
        <v>0</v>
      </c>
      <c r="M270" s="3"/>
      <c r="N270" s="3"/>
    </row>
    <row r="271" spans="2:14" hidden="1" x14ac:dyDescent="0.2">
      <c r="B271" s="3">
        <v>22041</v>
      </c>
      <c r="C271" s="3">
        <v>0</v>
      </c>
      <c r="D271">
        <v>268</v>
      </c>
      <c r="E271" t="str">
        <f>VLOOKUP(B271,Nuclides!A:F,5,FALSE)</f>
        <v>Ti41</v>
      </c>
      <c r="F271">
        <f>VLOOKUP(B271,Nuclides!A:F,4,FALSE)</f>
        <v>8.1900000000000001E-2</v>
      </c>
      <c r="G271" s="3" t="str">
        <f t="shared" si="23"/>
        <v>0.0819s</v>
      </c>
      <c r="H271" s="3">
        <f t="shared" si="24"/>
        <v>8.4633355379724691</v>
      </c>
      <c r="I271" s="3">
        <f t="shared" si="25"/>
        <v>0</v>
      </c>
      <c r="J271" s="3">
        <f t="shared" si="26"/>
        <v>0</v>
      </c>
      <c r="K271" s="3" t="str">
        <f t="shared" si="27"/>
        <v>Ti41</v>
      </c>
      <c r="L271" s="3" cm="1">
        <f t="array" ref="L271">SUM(($J271*EXP(-$H271*12*3600*_xlfn.SEQUENCE(L$1-1))))+$J271</f>
        <v>0</v>
      </c>
      <c r="M271" s="3"/>
      <c r="N271" s="3"/>
    </row>
    <row r="272" spans="2:14" hidden="1" x14ac:dyDescent="0.2">
      <c r="B272" s="3">
        <v>22042</v>
      </c>
      <c r="C272" s="3">
        <v>0</v>
      </c>
      <c r="D272">
        <v>269</v>
      </c>
      <c r="E272" t="str">
        <f>VLOOKUP(B272,Nuclides!A:F,5,FALSE)</f>
        <v>Ti42</v>
      </c>
      <c r="F272">
        <f>VLOOKUP(B272,Nuclides!A:F,4,FALSE)</f>
        <v>0.20865</v>
      </c>
      <c r="G272" s="3" t="str">
        <f t="shared" si="23"/>
        <v>0.20865s</v>
      </c>
      <c r="H272" s="3">
        <f t="shared" si="24"/>
        <v>3.3220569401387263</v>
      </c>
      <c r="I272" s="3">
        <f t="shared" si="25"/>
        <v>0</v>
      </c>
      <c r="J272" s="3">
        <f t="shared" si="26"/>
        <v>0</v>
      </c>
      <c r="K272" s="3" t="str">
        <f t="shared" si="27"/>
        <v>Ti42</v>
      </c>
      <c r="L272" s="3" cm="1">
        <f t="array" ref="L272">SUM(($J272*EXP(-$H272*12*3600*_xlfn.SEQUENCE(L$1-1))))+$J272</f>
        <v>0</v>
      </c>
      <c r="M272" s="3"/>
      <c r="N272" s="3"/>
    </row>
    <row r="273" spans="2:14" hidden="1" x14ac:dyDescent="0.2">
      <c r="B273" s="3">
        <v>22043</v>
      </c>
      <c r="C273" s="3">
        <v>0</v>
      </c>
      <c r="D273">
        <v>270</v>
      </c>
      <c r="E273" t="str">
        <f>VLOOKUP(B273,Nuclides!A:F,5,FALSE)</f>
        <v>Ti43</v>
      </c>
      <c r="F273">
        <f>VLOOKUP(B273,Nuclides!A:F,4,FALSE)</f>
        <v>0.50900000000000001</v>
      </c>
      <c r="G273" s="3" t="str">
        <f t="shared" si="23"/>
        <v>0.509s</v>
      </c>
      <c r="H273" s="3">
        <f t="shared" si="24"/>
        <v>1.361782280078478</v>
      </c>
      <c r="I273" s="3">
        <f t="shared" si="25"/>
        <v>0</v>
      </c>
      <c r="J273" s="3">
        <f t="shared" si="26"/>
        <v>0</v>
      </c>
      <c r="K273" s="3" t="str">
        <f t="shared" si="27"/>
        <v>Ti43</v>
      </c>
      <c r="L273" s="3" cm="1">
        <f t="array" ref="L273">SUM(($J273*EXP(-$H273*12*3600*_xlfn.SEQUENCE(L$1-1))))+$J273</f>
        <v>0</v>
      </c>
      <c r="M273" s="3"/>
      <c r="N273" s="3"/>
    </row>
    <row r="274" spans="2:14" hidden="1" x14ac:dyDescent="0.2">
      <c r="B274" s="3">
        <v>22044</v>
      </c>
      <c r="C274" s="3">
        <v>0</v>
      </c>
      <c r="D274">
        <v>271</v>
      </c>
      <c r="E274" t="str">
        <f>VLOOKUP(B274,Nuclides!A:F,5,FALSE)</f>
        <v>Ti44</v>
      </c>
      <c r="F274">
        <f>VLOOKUP(B274,Nuclides!A:F,4,FALSE)</f>
        <v>1893456000</v>
      </c>
      <c r="G274" s="3" t="str">
        <f t="shared" si="23"/>
        <v>60.04y</v>
      </c>
      <c r="H274" s="3">
        <f t="shared" si="24"/>
        <v>3.6607514542716876E-10</v>
      </c>
      <c r="I274" s="3">
        <f t="shared" si="25"/>
        <v>0</v>
      </c>
      <c r="J274" s="3">
        <f t="shared" si="26"/>
        <v>0</v>
      </c>
      <c r="K274" s="3" t="str">
        <f t="shared" si="27"/>
        <v>Ti44</v>
      </c>
      <c r="L274" s="3" cm="1">
        <f t="array" ref="L274">SUM(($J274*EXP(-$H274*12*3600*_xlfn.SEQUENCE(L$1-1))))+$J274</f>
        <v>0</v>
      </c>
      <c r="M274" s="3"/>
      <c r="N274" s="3"/>
    </row>
    <row r="275" spans="2:14" hidden="1" x14ac:dyDescent="0.2">
      <c r="B275" s="3">
        <v>22045</v>
      </c>
      <c r="C275" s="3">
        <v>0</v>
      </c>
      <c r="D275">
        <v>272</v>
      </c>
      <c r="E275" t="str">
        <f>VLOOKUP(B275,Nuclides!A:F,5,FALSE)</f>
        <v>Ti45</v>
      </c>
      <c r="F275">
        <f>VLOOKUP(B275,Nuclides!A:F,4,FALSE)</f>
        <v>11088</v>
      </c>
      <c r="G275" s="3" t="str">
        <f t="shared" si="23"/>
        <v>3.08h</v>
      </c>
      <c r="H275" s="3">
        <f t="shared" si="24"/>
        <v>6.2513273860023921E-5</v>
      </c>
      <c r="I275" s="3">
        <f t="shared" si="25"/>
        <v>0</v>
      </c>
      <c r="J275" s="3">
        <f t="shared" si="26"/>
        <v>0</v>
      </c>
      <c r="K275" s="3" t="str">
        <f t="shared" si="27"/>
        <v>Ti45</v>
      </c>
      <c r="L275" s="3" cm="1">
        <f t="array" ref="L275">SUM(($J275*EXP(-$H275*12*3600*_xlfn.SEQUENCE(L$1-1))))+$J275</f>
        <v>0</v>
      </c>
      <c r="M275" s="3"/>
      <c r="N275" s="3"/>
    </row>
    <row r="276" spans="2:14" hidden="1" x14ac:dyDescent="0.2">
      <c r="B276" s="3">
        <v>22046</v>
      </c>
      <c r="C276" s="3">
        <v>0</v>
      </c>
      <c r="D276">
        <v>273</v>
      </c>
      <c r="E276" t="str">
        <f>VLOOKUP(B276,Nuclides!A:F,5,FALSE)</f>
        <v>Ti46</v>
      </c>
      <c r="F276" t="str">
        <f>VLOOKUP(B276,Nuclides!A:F,4,FALSE)</f>
        <v>STABLE</v>
      </c>
      <c r="G276" s="3" t="str">
        <f t="shared" si="23"/>
        <v>STABLE</v>
      </c>
      <c r="H276" s="3" t="e">
        <f t="shared" si="24"/>
        <v>#VALUE!</v>
      </c>
      <c r="I276" s="3" t="e">
        <f t="shared" si="25"/>
        <v>#VALUE!</v>
      </c>
      <c r="J276" s="3" t="e">
        <f t="shared" si="26"/>
        <v>#VALUE!</v>
      </c>
      <c r="K276" s="3" t="str">
        <f t="shared" si="27"/>
        <v>Ti46</v>
      </c>
      <c r="L276" s="3" t="e" cm="1">
        <f t="array" ref="L276">SUM(($J276*EXP(-$H276*12*3600*_xlfn.SEQUENCE(L$1-1))))+$J276</f>
        <v>#VALUE!</v>
      </c>
      <c r="M276" s="3"/>
      <c r="N276" s="3"/>
    </row>
    <row r="277" spans="2:14" hidden="1" x14ac:dyDescent="0.2">
      <c r="B277" s="3">
        <v>22047</v>
      </c>
      <c r="C277" s="3">
        <v>0</v>
      </c>
      <c r="D277">
        <v>274</v>
      </c>
      <c r="E277" t="str">
        <f>VLOOKUP(B277,Nuclides!A:F,5,FALSE)</f>
        <v>Ti47</v>
      </c>
      <c r="F277" t="str">
        <f>VLOOKUP(B277,Nuclides!A:F,4,FALSE)</f>
        <v>STABLE</v>
      </c>
      <c r="G277" s="3" t="str">
        <f t="shared" si="23"/>
        <v>STABLE</v>
      </c>
      <c r="H277" s="3" t="e">
        <f t="shared" si="24"/>
        <v>#VALUE!</v>
      </c>
      <c r="I277" s="3" t="e">
        <f t="shared" si="25"/>
        <v>#VALUE!</v>
      </c>
      <c r="J277" s="3" t="e">
        <f t="shared" si="26"/>
        <v>#VALUE!</v>
      </c>
      <c r="K277" s="3" t="str">
        <f t="shared" si="27"/>
        <v>Ti47</v>
      </c>
      <c r="L277" s="3" t="e" cm="1">
        <f t="array" ref="L277">SUM(($J277*EXP(-$H277*12*3600*_xlfn.SEQUENCE(L$1-1))))+$J277</f>
        <v>#VALUE!</v>
      </c>
      <c r="M277" s="3"/>
      <c r="N277" s="3"/>
    </row>
    <row r="278" spans="2:14" hidden="1" x14ac:dyDescent="0.2">
      <c r="B278" s="3">
        <v>22048</v>
      </c>
      <c r="C278" s="3">
        <v>0</v>
      </c>
      <c r="D278">
        <v>275</v>
      </c>
      <c r="E278" t="str">
        <f>VLOOKUP(B278,Nuclides!A:F,5,FALSE)</f>
        <v>Ti48</v>
      </c>
      <c r="F278" t="str">
        <f>VLOOKUP(B278,Nuclides!A:F,4,FALSE)</f>
        <v>STABLE</v>
      </c>
      <c r="G278" s="3" t="str">
        <f t="shared" si="23"/>
        <v>STABLE</v>
      </c>
      <c r="H278" s="3" t="e">
        <f t="shared" si="24"/>
        <v>#VALUE!</v>
      </c>
      <c r="I278" s="3" t="e">
        <f t="shared" si="25"/>
        <v>#VALUE!</v>
      </c>
      <c r="J278" s="3" t="e">
        <f t="shared" si="26"/>
        <v>#VALUE!</v>
      </c>
      <c r="K278" s="3" t="str">
        <f t="shared" si="27"/>
        <v>Ti48</v>
      </c>
      <c r="L278" s="3" t="e" cm="1">
        <f t="array" ref="L278">SUM(($J278*EXP(-$H278*12*3600*_xlfn.SEQUENCE(L$1-1))))+$J278</f>
        <v>#VALUE!</v>
      </c>
      <c r="M278" s="3"/>
      <c r="N278" s="3"/>
    </row>
    <row r="279" spans="2:14" hidden="1" x14ac:dyDescent="0.2">
      <c r="B279" s="3">
        <v>22049</v>
      </c>
      <c r="C279" s="3">
        <v>0</v>
      </c>
      <c r="D279">
        <v>276</v>
      </c>
      <c r="E279" t="str">
        <f>VLOOKUP(B279,Nuclides!A:F,5,FALSE)</f>
        <v>Ti49</v>
      </c>
      <c r="F279" t="str">
        <f>VLOOKUP(B279,Nuclides!A:F,4,FALSE)</f>
        <v>STABLE</v>
      </c>
      <c r="G279" s="3" t="str">
        <f t="shared" si="23"/>
        <v>STABLE</v>
      </c>
      <c r="H279" s="3" t="e">
        <f t="shared" si="24"/>
        <v>#VALUE!</v>
      </c>
      <c r="I279" s="3" t="e">
        <f t="shared" si="25"/>
        <v>#VALUE!</v>
      </c>
      <c r="J279" s="3" t="e">
        <f t="shared" si="26"/>
        <v>#VALUE!</v>
      </c>
      <c r="K279" s="3" t="str">
        <f t="shared" si="27"/>
        <v>Ti49</v>
      </c>
      <c r="L279" s="3" t="e" cm="1">
        <f t="array" ref="L279">SUM(($J279*EXP(-$H279*12*3600*_xlfn.SEQUENCE(L$1-1))))+$J279</f>
        <v>#VALUE!</v>
      </c>
      <c r="M279" s="3"/>
      <c r="N279" s="3"/>
    </row>
    <row r="280" spans="2:14" hidden="1" x14ac:dyDescent="0.2">
      <c r="B280" s="3">
        <v>22050</v>
      </c>
      <c r="C280" s="3">
        <v>0</v>
      </c>
      <c r="D280">
        <v>277</v>
      </c>
      <c r="E280" t="str">
        <f>VLOOKUP(B280,Nuclides!A:F,5,FALSE)</f>
        <v>Ti50</v>
      </c>
      <c r="F280" t="str">
        <f>VLOOKUP(B280,Nuclides!A:F,4,FALSE)</f>
        <v>STABLE</v>
      </c>
      <c r="G280" s="3" t="str">
        <f t="shared" si="23"/>
        <v>STABLE</v>
      </c>
      <c r="H280" s="3" t="e">
        <f t="shared" si="24"/>
        <v>#VALUE!</v>
      </c>
      <c r="I280" s="3" t="e">
        <f t="shared" si="25"/>
        <v>#VALUE!</v>
      </c>
      <c r="J280" s="3" t="e">
        <f t="shared" si="26"/>
        <v>#VALUE!</v>
      </c>
      <c r="K280" s="3" t="str">
        <f t="shared" si="27"/>
        <v>Ti50</v>
      </c>
      <c r="L280" s="3" t="e" cm="1">
        <f t="array" ref="L280">SUM(($J280*EXP(-$H280*12*3600*_xlfn.SEQUENCE(L$1-1))))+$J280</f>
        <v>#VALUE!</v>
      </c>
      <c r="M280" s="3"/>
      <c r="N280" s="3"/>
    </row>
    <row r="281" spans="2:14" hidden="1" x14ac:dyDescent="0.2">
      <c r="B281" s="3">
        <v>22051</v>
      </c>
      <c r="C281" s="3">
        <v>0</v>
      </c>
      <c r="D281">
        <v>278</v>
      </c>
      <c r="E281" t="str">
        <f>VLOOKUP(B281,Nuclides!A:F,5,FALSE)</f>
        <v>Ti51</v>
      </c>
      <c r="F281">
        <f>VLOOKUP(B281,Nuclides!A:F,4,FALSE)</f>
        <v>345.599999999999</v>
      </c>
      <c r="G281" s="3" t="str">
        <f t="shared" si="23"/>
        <v>5.76min</v>
      </c>
      <c r="H281" s="3">
        <f t="shared" si="24"/>
        <v>2.0056342030091065E-3</v>
      </c>
      <c r="I281" s="3">
        <f t="shared" si="25"/>
        <v>0</v>
      </c>
      <c r="J281" s="3">
        <f t="shared" si="26"/>
        <v>0</v>
      </c>
      <c r="K281" s="3" t="str">
        <f t="shared" si="27"/>
        <v>Ti51</v>
      </c>
      <c r="L281" s="3" cm="1">
        <f t="array" ref="L281">SUM(($J281*EXP(-$H281*12*3600*_xlfn.SEQUENCE(L$1-1))))+$J281</f>
        <v>0</v>
      </c>
      <c r="M281" s="3"/>
      <c r="N281" s="3"/>
    </row>
    <row r="282" spans="2:14" hidden="1" x14ac:dyDescent="0.2">
      <c r="B282" s="3">
        <v>22052</v>
      </c>
      <c r="C282" s="3">
        <v>0</v>
      </c>
      <c r="D282">
        <v>279</v>
      </c>
      <c r="E282" t="str">
        <f>VLOOKUP(B282,Nuclides!A:F,5,FALSE)</f>
        <v>Ti52</v>
      </c>
      <c r="F282">
        <f>VLOOKUP(B282,Nuclides!A:F,4,FALSE)</f>
        <v>102</v>
      </c>
      <c r="G282" s="3" t="str">
        <f t="shared" si="23"/>
        <v>1.7min</v>
      </c>
      <c r="H282" s="3">
        <f t="shared" si="24"/>
        <v>6.7955605937249537E-3</v>
      </c>
      <c r="I282" s="3">
        <f t="shared" si="25"/>
        <v>0</v>
      </c>
      <c r="J282" s="3">
        <f t="shared" si="26"/>
        <v>0</v>
      </c>
      <c r="K282" s="3" t="str">
        <f t="shared" si="27"/>
        <v>Ti52</v>
      </c>
      <c r="L282" s="3" cm="1">
        <f t="array" ref="L282">SUM(($J282*EXP(-$H282*12*3600*_xlfn.SEQUENCE(L$1-1))))+$J282</f>
        <v>0</v>
      </c>
      <c r="M282" s="3"/>
      <c r="N282" s="3"/>
    </row>
    <row r="283" spans="2:14" hidden="1" x14ac:dyDescent="0.2">
      <c r="B283" s="3">
        <v>22053</v>
      </c>
      <c r="C283" s="3">
        <v>0</v>
      </c>
      <c r="D283">
        <v>280</v>
      </c>
      <c r="E283" t="str">
        <f>VLOOKUP(B283,Nuclides!A:F,5,FALSE)</f>
        <v>Ti53</v>
      </c>
      <c r="F283">
        <f>VLOOKUP(B283,Nuclides!A:F,4,FALSE)</f>
        <v>32.700000000000003</v>
      </c>
      <c r="G283" s="3" t="str">
        <f t="shared" si="23"/>
        <v>32.7s</v>
      </c>
      <c r="H283" s="3">
        <f t="shared" si="24"/>
        <v>2.1197161485013615E-2</v>
      </c>
      <c r="I283" s="3">
        <f t="shared" si="25"/>
        <v>0</v>
      </c>
      <c r="J283" s="3">
        <f t="shared" si="26"/>
        <v>0</v>
      </c>
      <c r="K283" s="3" t="str">
        <f t="shared" si="27"/>
        <v>Ti53</v>
      </c>
      <c r="L283" s="3" cm="1">
        <f t="array" ref="L283">SUM(($J283*EXP(-$H283*12*3600*_xlfn.SEQUENCE(L$1-1))))+$J283</f>
        <v>0</v>
      </c>
      <c r="M283" s="3"/>
      <c r="N283" s="3"/>
    </row>
    <row r="284" spans="2:14" hidden="1" x14ac:dyDescent="0.2">
      <c r="B284" s="3">
        <v>22054</v>
      </c>
      <c r="C284" s="3">
        <v>0</v>
      </c>
      <c r="D284">
        <v>281</v>
      </c>
      <c r="E284" t="str">
        <f>VLOOKUP(B284,Nuclides!A:F,5,FALSE)</f>
        <v>Ti54</v>
      </c>
      <c r="F284">
        <f>VLOOKUP(B284,Nuclides!A:F,4,FALSE)</f>
        <v>2.1</v>
      </c>
      <c r="G284" s="3" t="str">
        <f t="shared" si="23"/>
        <v>2.1s</v>
      </c>
      <c r="H284" s="3">
        <f t="shared" si="24"/>
        <v>0.3300700859809263</v>
      </c>
      <c r="I284" s="3">
        <f t="shared" si="25"/>
        <v>0</v>
      </c>
      <c r="J284" s="3">
        <f t="shared" si="26"/>
        <v>0</v>
      </c>
      <c r="K284" s="3" t="str">
        <f t="shared" si="27"/>
        <v>Ti54</v>
      </c>
      <c r="L284" s="3" cm="1">
        <f t="array" ref="L284">SUM(($J284*EXP(-$H284*12*3600*_xlfn.SEQUENCE(L$1-1))))+$J284</f>
        <v>0</v>
      </c>
      <c r="M284" s="3"/>
      <c r="N284" s="3"/>
    </row>
    <row r="285" spans="2:14" hidden="1" x14ac:dyDescent="0.2">
      <c r="B285" s="3">
        <v>23044</v>
      </c>
      <c r="C285" s="3">
        <v>0</v>
      </c>
      <c r="D285">
        <v>282</v>
      </c>
      <c r="E285" t="str">
        <f>VLOOKUP(B285,Nuclides!A:F,5,FALSE)</f>
        <v>V44</v>
      </c>
      <c r="F285">
        <f>VLOOKUP(B285,Nuclides!A:F,4,FALSE)</f>
        <v>0.111</v>
      </c>
      <c r="G285" s="3" t="str">
        <f t="shared" si="23"/>
        <v>0.111s</v>
      </c>
      <c r="H285" s="3">
        <f t="shared" si="24"/>
        <v>6.2445691942337413</v>
      </c>
      <c r="I285" s="3">
        <f t="shared" si="25"/>
        <v>0</v>
      </c>
      <c r="J285" s="3">
        <f t="shared" si="26"/>
        <v>0</v>
      </c>
      <c r="K285" s="3" t="str">
        <f t="shared" si="27"/>
        <v>V44</v>
      </c>
      <c r="L285" s="3" cm="1">
        <f t="array" ref="L285">SUM(($J285*EXP(-$H285*12*3600*_xlfn.SEQUENCE(L$1-1))))+$J285</f>
        <v>0</v>
      </c>
      <c r="M285" s="3"/>
      <c r="N285" s="3"/>
    </row>
    <row r="286" spans="2:14" hidden="1" x14ac:dyDescent="0.2">
      <c r="B286" s="3">
        <v>23045</v>
      </c>
      <c r="C286" s="3">
        <v>0</v>
      </c>
      <c r="D286">
        <v>283</v>
      </c>
      <c r="E286" t="str">
        <f>VLOOKUP(B286,Nuclides!A:F,5,FALSE)</f>
        <v>V45</v>
      </c>
      <c r="F286">
        <f>VLOOKUP(B286,Nuclides!A:F,4,FALSE)</f>
        <v>0.54700000000000004</v>
      </c>
      <c r="G286" s="3" t="str">
        <f t="shared" si="23"/>
        <v>0.547s</v>
      </c>
      <c r="H286" s="3">
        <f t="shared" si="24"/>
        <v>1.2671794891406678</v>
      </c>
      <c r="I286" s="3">
        <f t="shared" si="25"/>
        <v>0</v>
      </c>
      <c r="J286" s="3">
        <f t="shared" si="26"/>
        <v>0</v>
      </c>
      <c r="K286" s="3" t="str">
        <f t="shared" si="27"/>
        <v>V45</v>
      </c>
      <c r="L286" s="3" cm="1">
        <f t="array" ref="L286">SUM(($J286*EXP(-$H286*12*3600*_xlfn.SEQUENCE(L$1-1))))+$J286</f>
        <v>0</v>
      </c>
      <c r="M286" s="3"/>
      <c r="N286" s="3"/>
    </row>
    <row r="287" spans="2:14" hidden="1" x14ac:dyDescent="0.2">
      <c r="B287" s="3">
        <v>23046</v>
      </c>
      <c r="C287" s="3">
        <v>0</v>
      </c>
      <c r="D287">
        <v>284</v>
      </c>
      <c r="E287" t="str">
        <f>VLOOKUP(B287,Nuclides!A:F,5,FALSE)</f>
        <v>V46</v>
      </c>
      <c r="F287">
        <f>VLOOKUP(B287,Nuclides!A:F,4,FALSE)</f>
        <v>0.42249999999999999</v>
      </c>
      <c r="G287" s="3" t="str">
        <f t="shared" si="23"/>
        <v>0.4225s</v>
      </c>
      <c r="H287" s="3">
        <f t="shared" si="24"/>
        <v>1.6405850427454327</v>
      </c>
      <c r="I287" s="3">
        <f t="shared" si="25"/>
        <v>0</v>
      </c>
      <c r="J287" s="3">
        <f t="shared" si="26"/>
        <v>0</v>
      </c>
      <c r="K287" s="3" t="str">
        <f t="shared" si="27"/>
        <v>V46</v>
      </c>
      <c r="L287" s="3" cm="1">
        <f t="array" ref="L287">SUM(($J287*EXP(-$H287*12*3600*_xlfn.SEQUENCE(L$1-1))))+$J287</f>
        <v>0</v>
      </c>
      <c r="M287" s="3"/>
      <c r="N287" s="3"/>
    </row>
    <row r="288" spans="2:14" hidden="1" x14ac:dyDescent="0.2">
      <c r="B288" s="3">
        <v>23047</v>
      </c>
      <c r="C288" s="3">
        <v>0</v>
      </c>
      <c r="D288">
        <v>285</v>
      </c>
      <c r="E288" t="str">
        <f>VLOOKUP(B288,Nuclides!A:F,5,FALSE)</f>
        <v>V47</v>
      </c>
      <c r="F288">
        <f>VLOOKUP(B288,Nuclides!A:F,4,FALSE)</f>
        <v>1956</v>
      </c>
      <c r="G288" s="3" t="str">
        <f t="shared" si="23"/>
        <v>32.6min</v>
      </c>
      <c r="H288" s="3">
        <f t="shared" si="24"/>
        <v>3.5436972421265094E-4</v>
      </c>
      <c r="I288" s="3">
        <f t="shared" si="25"/>
        <v>0</v>
      </c>
      <c r="J288" s="3">
        <f t="shared" si="26"/>
        <v>0</v>
      </c>
      <c r="K288" s="3" t="str">
        <f t="shared" si="27"/>
        <v>V47</v>
      </c>
      <c r="L288" s="3" cm="1">
        <f t="array" ref="L288">SUM(($J288*EXP(-$H288*12*3600*_xlfn.SEQUENCE(L$1-1))))+$J288</f>
        <v>0</v>
      </c>
      <c r="M288" s="3"/>
      <c r="N288" s="3"/>
    </row>
    <row r="289" spans="2:14" hidden="1" x14ac:dyDescent="0.2">
      <c r="B289" s="3">
        <v>23048</v>
      </c>
      <c r="C289" s="3">
        <v>0</v>
      </c>
      <c r="D289">
        <v>286</v>
      </c>
      <c r="E289" t="str">
        <f>VLOOKUP(B289,Nuclides!A:F,5,FALSE)</f>
        <v>V48</v>
      </c>
      <c r="F289">
        <f>VLOOKUP(B289,Nuclides!A:F,4,FALSE)</f>
        <v>1380110.4</v>
      </c>
      <c r="G289" s="3" t="str">
        <f t="shared" si="23"/>
        <v>15.97d</v>
      </c>
      <c r="H289" s="3">
        <f t="shared" si="24"/>
        <v>5.0224038639223745E-7</v>
      </c>
      <c r="I289" s="3">
        <f t="shared" si="25"/>
        <v>0</v>
      </c>
      <c r="J289" s="3">
        <f t="shared" si="26"/>
        <v>0</v>
      </c>
      <c r="K289" s="3" t="str">
        <f t="shared" si="27"/>
        <v>V48</v>
      </c>
      <c r="L289" s="3" cm="1">
        <f t="array" ref="L289">SUM(($J289*EXP(-$H289*12*3600*_xlfn.SEQUENCE(L$1-1))))+$J289</f>
        <v>0</v>
      </c>
      <c r="M289" s="3"/>
      <c r="N289" s="3"/>
    </row>
    <row r="290" spans="2:14" hidden="1" x14ac:dyDescent="0.2">
      <c r="B290" s="3">
        <v>23049</v>
      </c>
      <c r="C290" s="3">
        <v>0</v>
      </c>
      <c r="D290">
        <v>287</v>
      </c>
      <c r="E290" t="str">
        <f>VLOOKUP(B290,Nuclides!A:F,5,FALSE)</f>
        <v>V49</v>
      </c>
      <c r="F290">
        <f>VLOOKUP(B290,Nuclides!A:F,4,FALSE)</f>
        <v>28512000</v>
      </c>
      <c r="G290" s="3" t="str">
        <f t="shared" si="23"/>
        <v>330d</v>
      </c>
      <c r="H290" s="3">
        <f t="shared" si="24"/>
        <v>2.4310717612231527E-8</v>
      </c>
      <c r="I290" s="3">
        <f t="shared" si="25"/>
        <v>0</v>
      </c>
      <c r="J290" s="3">
        <f t="shared" si="26"/>
        <v>0</v>
      </c>
      <c r="K290" s="3" t="str">
        <f t="shared" si="27"/>
        <v>V49</v>
      </c>
      <c r="L290" s="3" cm="1">
        <f t="array" ref="L290">SUM(($J290*EXP(-$H290*12*3600*_xlfn.SEQUENCE(L$1-1))))+$J290</f>
        <v>0</v>
      </c>
      <c r="M290" s="3"/>
      <c r="N290" s="3"/>
    </row>
    <row r="291" spans="2:14" hidden="1" x14ac:dyDescent="0.2">
      <c r="B291" s="3">
        <v>23050</v>
      </c>
      <c r="C291" s="3">
        <v>0</v>
      </c>
      <c r="D291">
        <v>288</v>
      </c>
      <c r="E291" t="str">
        <f>VLOOKUP(B291,Nuclides!A:F,5,FALSE)</f>
        <v>V50</v>
      </c>
      <c r="F291">
        <f>VLOOKUP(B291,Nuclides!A:F,4,FALSE)</f>
        <v>6.6270959999999998E+24</v>
      </c>
      <c r="G291" s="3" t="str">
        <f t="shared" si="23"/>
        <v>210143835616438000y</v>
      </c>
      <c r="H291" s="3">
        <f t="shared" si="24"/>
        <v>1.045928986934768E-25</v>
      </c>
      <c r="I291" s="3">
        <f t="shared" si="25"/>
        <v>0</v>
      </c>
      <c r="J291" s="3">
        <f t="shared" si="26"/>
        <v>0</v>
      </c>
      <c r="K291" s="3" t="str">
        <f t="shared" si="27"/>
        <v>V50</v>
      </c>
      <c r="L291" s="3" cm="1">
        <f t="array" ref="L291">SUM(($J291*EXP(-$H291*12*3600*_xlfn.SEQUENCE(L$1-1))))+$J291</f>
        <v>0</v>
      </c>
      <c r="M291" s="3"/>
      <c r="N291" s="3"/>
    </row>
    <row r="292" spans="2:14" hidden="1" x14ac:dyDescent="0.2">
      <c r="B292" s="3">
        <v>23051</v>
      </c>
      <c r="C292" s="3">
        <v>0</v>
      </c>
      <c r="D292">
        <v>289</v>
      </c>
      <c r="E292" t="str">
        <f>VLOOKUP(B292,Nuclides!A:F,5,FALSE)</f>
        <v>V51</v>
      </c>
      <c r="F292" t="str">
        <f>VLOOKUP(B292,Nuclides!A:F,4,FALSE)</f>
        <v>STABLE</v>
      </c>
      <c r="G292" s="3" t="str">
        <f t="shared" si="23"/>
        <v>STABLE</v>
      </c>
      <c r="H292" s="3" t="e">
        <f t="shared" si="24"/>
        <v>#VALUE!</v>
      </c>
      <c r="I292" s="3" t="e">
        <f t="shared" si="25"/>
        <v>#VALUE!</v>
      </c>
      <c r="J292" s="3" t="e">
        <f t="shared" si="26"/>
        <v>#VALUE!</v>
      </c>
      <c r="K292" s="3" t="str">
        <f t="shared" si="27"/>
        <v>V51</v>
      </c>
      <c r="L292" s="3" t="e" cm="1">
        <f t="array" ref="L292">SUM(($J292*EXP(-$H292*12*3600*_xlfn.SEQUENCE(L$1-1))))+$J292</f>
        <v>#VALUE!</v>
      </c>
      <c r="M292" s="3"/>
      <c r="N292" s="3"/>
    </row>
    <row r="293" spans="2:14" hidden="1" x14ac:dyDescent="0.2">
      <c r="B293" s="3">
        <v>23052</v>
      </c>
      <c r="C293" s="3">
        <v>0</v>
      </c>
      <c r="D293">
        <v>290</v>
      </c>
      <c r="E293" t="str">
        <f>VLOOKUP(B293,Nuclides!A:F,5,FALSE)</f>
        <v>V52</v>
      </c>
      <c r="F293">
        <f>VLOOKUP(B293,Nuclides!A:F,4,FALSE)</f>
        <v>224.57999999999899</v>
      </c>
      <c r="G293" s="3" t="str">
        <f t="shared" si="23"/>
        <v>3.74min</v>
      </c>
      <c r="H293" s="3">
        <f t="shared" si="24"/>
        <v>3.08641544465201E-3</v>
      </c>
      <c r="I293" s="3">
        <f t="shared" si="25"/>
        <v>0</v>
      </c>
      <c r="J293" s="3">
        <f t="shared" si="26"/>
        <v>0</v>
      </c>
      <c r="K293" s="3" t="str">
        <f t="shared" si="27"/>
        <v>V52</v>
      </c>
      <c r="L293" s="3" cm="1">
        <f t="array" ref="L293">SUM(($J293*EXP(-$H293*12*3600*_xlfn.SEQUENCE(L$1-1))))+$J293</f>
        <v>0</v>
      </c>
      <c r="M293" s="3"/>
      <c r="N293" s="3"/>
    </row>
    <row r="294" spans="2:14" hidden="1" x14ac:dyDescent="0.2">
      <c r="B294" s="3">
        <v>23053</v>
      </c>
      <c r="C294" s="3">
        <v>0</v>
      </c>
      <c r="D294">
        <v>291</v>
      </c>
      <c r="E294" t="str">
        <f>VLOOKUP(B294,Nuclides!A:F,5,FALSE)</f>
        <v>V53</v>
      </c>
      <c r="F294">
        <f>VLOOKUP(B294,Nuclides!A:F,4,FALSE)</f>
        <v>92.58</v>
      </c>
      <c r="G294" s="3" t="str">
        <f t="shared" si="23"/>
        <v>1.54min</v>
      </c>
      <c r="H294" s="3">
        <f t="shared" si="24"/>
        <v>7.4870077831059112E-3</v>
      </c>
      <c r="I294" s="3">
        <f t="shared" si="25"/>
        <v>0</v>
      </c>
      <c r="J294" s="3">
        <f t="shared" si="26"/>
        <v>0</v>
      </c>
      <c r="K294" s="3" t="str">
        <f t="shared" si="27"/>
        <v>V53</v>
      </c>
      <c r="L294" s="3" cm="1">
        <f t="array" ref="L294">SUM(($J294*EXP(-$H294*12*3600*_xlfn.SEQUENCE(L$1-1))))+$J294</f>
        <v>0</v>
      </c>
      <c r="M294" s="3"/>
      <c r="N294" s="3"/>
    </row>
    <row r="295" spans="2:14" hidden="1" x14ac:dyDescent="0.2">
      <c r="B295" s="3">
        <v>23054</v>
      </c>
      <c r="C295" s="3">
        <v>0</v>
      </c>
      <c r="D295">
        <v>292</v>
      </c>
      <c r="E295" t="str">
        <f>VLOOKUP(B295,Nuclides!A:F,5,FALSE)</f>
        <v>V54</v>
      </c>
      <c r="F295">
        <f>VLOOKUP(B295,Nuclides!A:F,4,FALSE)</f>
        <v>49.8</v>
      </c>
      <c r="G295" s="3" t="str">
        <f t="shared" si="23"/>
        <v>49.8s</v>
      </c>
      <c r="H295" s="3">
        <f t="shared" si="24"/>
        <v>1.3918618083533039E-2</v>
      </c>
      <c r="I295" s="3">
        <f t="shared" si="25"/>
        <v>0</v>
      </c>
      <c r="J295" s="3">
        <f t="shared" si="26"/>
        <v>0</v>
      </c>
      <c r="K295" s="3" t="str">
        <f t="shared" si="27"/>
        <v>V54</v>
      </c>
      <c r="L295" s="3" cm="1">
        <f t="array" ref="L295">SUM(($J295*EXP(-$H295*12*3600*_xlfn.SEQUENCE(L$1-1))))+$J295</f>
        <v>0</v>
      </c>
      <c r="M295" s="3"/>
      <c r="N295" s="3"/>
    </row>
    <row r="296" spans="2:14" hidden="1" x14ac:dyDescent="0.2">
      <c r="B296" s="3">
        <v>23055</v>
      </c>
      <c r="C296" s="3">
        <v>0</v>
      </c>
      <c r="D296">
        <v>293</v>
      </c>
      <c r="E296" t="str">
        <f>VLOOKUP(B296,Nuclides!A:F,5,FALSE)</f>
        <v>V55</v>
      </c>
      <c r="F296">
        <f>VLOOKUP(B296,Nuclides!A:F,4,FALSE)</f>
        <v>6.54</v>
      </c>
      <c r="G296" s="3" t="str">
        <f t="shared" si="23"/>
        <v>6.54s</v>
      </c>
      <c r="H296" s="3">
        <f t="shared" si="24"/>
        <v>0.10598580742506808</v>
      </c>
      <c r="I296" s="3">
        <f t="shared" si="25"/>
        <v>0</v>
      </c>
      <c r="J296" s="3">
        <f t="shared" si="26"/>
        <v>0</v>
      </c>
      <c r="K296" s="3" t="str">
        <f t="shared" si="27"/>
        <v>V55</v>
      </c>
      <c r="L296" s="3" cm="1">
        <f t="array" ref="L296">SUM(($J296*EXP(-$H296*12*3600*_xlfn.SEQUENCE(L$1-1))))+$J296</f>
        <v>0</v>
      </c>
      <c r="M296" s="3"/>
      <c r="N296" s="3"/>
    </row>
    <row r="297" spans="2:14" hidden="1" x14ac:dyDescent="0.2">
      <c r="B297" s="3">
        <v>23056</v>
      </c>
      <c r="C297" s="3">
        <v>0</v>
      </c>
      <c r="D297">
        <v>294</v>
      </c>
      <c r="E297" t="str">
        <f>VLOOKUP(B297,Nuclides!A:F,5,FALSE)</f>
        <v>V56</v>
      </c>
      <c r="F297">
        <f>VLOOKUP(B297,Nuclides!A:F,4,FALSE)</f>
        <v>0.216</v>
      </c>
      <c r="G297" s="3" t="str">
        <f t="shared" si="23"/>
        <v>0.216s</v>
      </c>
      <c r="H297" s="3">
        <f t="shared" si="24"/>
        <v>3.2090147248145615</v>
      </c>
      <c r="I297" s="3">
        <f t="shared" si="25"/>
        <v>0</v>
      </c>
      <c r="J297" s="3">
        <f t="shared" si="26"/>
        <v>0</v>
      </c>
      <c r="K297" s="3" t="str">
        <f t="shared" si="27"/>
        <v>V56</v>
      </c>
      <c r="L297" s="3" cm="1">
        <f t="array" ref="L297">SUM(($J297*EXP(-$H297*12*3600*_xlfn.SEQUENCE(L$1-1))))+$J297</f>
        <v>0</v>
      </c>
      <c r="M297" s="3"/>
      <c r="N297" s="3"/>
    </row>
    <row r="298" spans="2:14" hidden="1" x14ac:dyDescent="0.2">
      <c r="B298" s="3">
        <v>24045</v>
      </c>
      <c r="C298" s="3">
        <v>0</v>
      </c>
      <c r="D298">
        <v>295</v>
      </c>
      <c r="E298" t="str">
        <f>VLOOKUP(B298,Nuclides!A:F,5,FALSE)</f>
        <v>Cr45</v>
      </c>
      <c r="F298">
        <f>VLOOKUP(B298,Nuclides!A:F,4,FALSE)</f>
        <v>6.0900000000000003E-2</v>
      </c>
      <c r="G298" s="3" t="str">
        <f t="shared" si="23"/>
        <v>0.0609s</v>
      </c>
      <c r="H298" s="3">
        <f t="shared" si="24"/>
        <v>11.381727102790563</v>
      </c>
      <c r="I298" s="3">
        <f t="shared" si="25"/>
        <v>0</v>
      </c>
      <c r="J298" s="3">
        <f t="shared" si="26"/>
        <v>0</v>
      </c>
      <c r="K298" s="3" t="str">
        <f t="shared" si="27"/>
        <v>Cr45</v>
      </c>
      <c r="L298" s="3" cm="1">
        <f t="array" ref="L298">SUM(($J298*EXP(-$H298*12*3600*_xlfn.SEQUENCE(L$1-1))))+$J298</f>
        <v>0</v>
      </c>
      <c r="M298" s="3"/>
      <c r="N298" s="3"/>
    </row>
    <row r="299" spans="2:14" hidden="1" x14ac:dyDescent="0.2">
      <c r="B299" s="3">
        <v>24046</v>
      </c>
      <c r="C299" s="3">
        <v>0</v>
      </c>
      <c r="D299">
        <v>296</v>
      </c>
      <c r="E299" t="str">
        <f>VLOOKUP(B299,Nuclides!A:F,5,FALSE)</f>
        <v>Cr46</v>
      </c>
      <c r="F299">
        <f>VLOOKUP(B299,Nuclides!A:F,4,FALSE)</f>
        <v>0.26</v>
      </c>
      <c r="G299" s="3" t="str">
        <f t="shared" si="23"/>
        <v>0.26s</v>
      </c>
      <c r="H299" s="3">
        <f t="shared" si="24"/>
        <v>2.665950694461328</v>
      </c>
      <c r="I299" s="3">
        <f t="shared" si="25"/>
        <v>0</v>
      </c>
      <c r="J299" s="3">
        <f t="shared" si="26"/>
        <v>0</v>
      </c>
      <c r="K299" s="3" t="str">
        <f t="shared" si="27"/>
        <v>Cr46</v>
      </c>
      <c r="L299" s="3" cm="1">
        <f t="array" ref="L299">SUM(($J299*EXP(-$H299*12*3600*_xlfn.SEQUENCE(L$1-1))))+$J299</f>
        <v>0</v>
      </c>
      <c r="M299" s="3"/>
      <c r="N299" s="3"/>
    </row>
    <row r="300" spans="2:14" hidden="1" x14ac:dyDescent="0.2">
      <c r="B300" s="3">
        <v>24047</v>
      </c>
      <c r="C300" s="3">
        <v>0</v>
      </c>
      <c r="D300">
        <v>297</v>
      </c>
      <c r="E300" t="str">
        <f>VLOOKUP(B300,Nuclides!A:F,5,FALSE)</f>
        <v>Cr47</v>
      </c>
      <c r="F300">
        <f>VLOOKUP(B300,Nuclides!A:F,4,FALSE)</f>
        <v>0.5</v>
      </c>
      <c r="G300" s="3" t="str">
        <f t="shared" si="23"/>
        <v>0.5s</v>
      </c>
      <c r="H300" s="3">
        <f t="shared" si="24"/>
        <v>1.3862943611198906</v>
      </c>
      <c r="I300" s="3">
        <f t="shared" si="25"/>
        <v>0</v>
      </c>
      <c r="J300" s="3">
        <f t="shared" si="26"/>
        <v>0</v>
      </c>
      <c r="K300" s="3" t="str">
        <f t="shared" si="27"/>
        <v>Cr47</v>
      </c>
      <c r="L300" s="3" cm="1">
        <f t="array" ref="L300">SUM(($J300*EXP(-$H300*12*3600*_xlfn.SEQUENCE(L$1-1))))+$J300</f>
        <v>0</v>
      </c>
      <c r="M300" s="3"/>
      <c r="N300" s="3"/>
    </row>
    <row r="301" spans="2:14" hidden="1" x14ac:dyDescent="0.2">
      <c r="B301" s="3">
        <v>24048</v>
      </c>
      <c r="C301" s="3">
        <v>0</v>
      </c>
      <c r="D301">
        <v>298</v>
      </c>
      <c r="E301" t="str">
        <f>VLOOKUP(B301,Nuclides!A:F,5,FALSE)</f>
        <v>Cr48</v>
      </c>
      <c r="F301">
        <f>VLOOKUP(B301,Nuclides!A:F,4,FALSE)</f>
        <v>77616</v>
      </c>
      <c r="G301" s="3" t="str">
        <f t="shared" si="23"/>
        <v>21.56h</v>
      </c>
      <c r="H301" s="3">
        <f t="shared" si="24"/>
        <v>8.9304676942891324E-6</v>
      </c>
      <c r="I301" s="3">
        <f t="shared" si="25"/>
        <v>0</v>
      </c>
      <c r="J301" s="3">
        <f t="shared" si="26"/>
        <v>0</v>
      </c>
      <c r="K301" s="3" t="str">
        <f t="shared" si="27"/>
        <v>Cr48</v>
      </c>
      <c r="L301" s="3" cm="1">
        <f t="array" ref="L301">SUM(($J301*EXP(-$H301*12*3600*_xlfn.SEQUENCE(L$1-1))))+$J301</f>
        <v>0</v>
      </c>
      <c r="M301" s="3"/>
      <c r="N301" s="3"/>
    </row>
    <row r="302" spans="2:14" hidden="1" x14ac:dyDescent="0.2">
      <c r="B302" s="3">
        <v>24049</v>
      </c>
      <c r="C302" s="3">
        <v>0</v>
      </c>
      <c r="D302">
        <v>299</v>
      </c>
      <c r="E302" t="str">
        <f>VLOOKUP(B302,Nuclides!A:F,5,FALSE)</f>
        <v>Cr49</v>
      </c>
      <c r="F302">
        <f>VLOOKUP(B302,Nuclides!A:F,4,FALSE)</f>
        <v>2538</v>
      </c>
      <c r="G302" s="3" t="str">
        <f t="shared" si="23"/>
        <v>42.3min</v>
      </c>
      <c r="H302" s="3">
        <f t="shared" si="24"/>
        <v>2.7310763615443075E-4</v>
      </c>
      <c r="I302" s="3">
        <f t="shared" si="25"/>
        <v>0</v>
      </c>
      <c r="J302" s="3">
        <f t="shared" si="26"/>
        <v>0</v>
      </c>
      <c r="K302" s="3" t="str">
        <f t="shared" si="27"/>
        <v>Cr49</v>
      </c>
      <c r="L302" s="3" cm="1">
        <f t="array" ref="L302">SUM(($J302*EXP(-$H302*12*3600*_xlfn.SEQUENCE(L$1-1))))+$J302</f>
        <v>0</v>
      </c>
      <c r="M302" s="3"/>
      <c r="N302" s="3"/>
    </row>
    <row r="303" spans="2:14" hidden="1" x14ac:dyDescent="0.2">
      <c r="B303" s="3">
        <v>24050</v>
      </c>
      <c r="C303" s="3">
        <v>0</v>
      </c>
      <c r="D303">
        <v>300</v>
      </c>
      <c r="E303" t="str">
        <f>VLOOKUP(B303,Nuclides!A:F,5,FALSE)</f>
        <v>Cr50</v>
      </c>
      <c r="F303">
        <f>VLOOKUP(B303,Nuclides!A:F,4,FALSE)</f>
        <v>4.1024880000000004E+25</v>
      </c>
      <c r="G303" s="3" t="str">
        <f t="shared" si="23"/>
        <v>1300890410958900000y</v>
      </c>
      <c r="H303" s="3">
        <f t="shared" si="24"/>
        <v>1.6895775942792405E-26</v>
      </c>
      <c r="I303" s="3">
        <f t="shared" si="25"/>
        <v>0</v>
      </c>
      <c r="J303" s="3">
        <f t="shared" si="26"/>
        <v>0</v>
      </c>
      <c r="K303" s="3" t="str">
        <f t="shared" si="27"/>
        <v>Cr50</v>
      </c>
      <c r="L303" s="3" cm="1">
        <f t="array" ref="L303">SUM(($J303*EXP(-$H303*12*3600*_xlfn.SEQUENCE(L$1-1))))+$J303</f>
        <v>0</v>
      </c>
      <c r="M303" s="3"/>
      <c r="N303" s="3"/>
    </row>
    <row r="304" spans="2:14" hidden="1" x14ac:dyDescent="0.2">
      <c r="B304" s="3">
        <v>24051</v>
      </c>
      <c r="C304" s="3">
        <v>0</v>
      </c>
      <c r="D304">
        <v>301</v>
      </c>
      <c r="E304" t="str">
        <f>VLOOKUP(B304,Nuclides!A:F,5,FALSE)</f>
        <v>Cr51</v>
      </c>
      <c r="F304">
        <f>VLOOKUP(B304,Nuclides!A:F,4,FALSE)</f>
        <v>2393496</v>
      </c>
      <c r="G304" s="3" t="str">
        <f t="shared" si="23"/>
        <v>27.7d</v>
      </c>
      <c r="H304" s="3">
        <f t="shared" si="24"/>
        <v>2.8959613074763664E-7</v>
      </c>
      <c r="I304" s="3">
        <f t="shared" si="25"/>
        <v>0</v>
      </c>
      <c r="J304" s="3">
        <f t="shared" si="26"/>
        <v>0</v>
      </c>
      <c r="K304" s="3" t="str">
        <f t="shared" si="27"/>
        <v>Cr51</v>
      </c>
      <c r="L304" s="3" cm="1">
        <f t="array" ref="L304">SUM(($J304*EXP(-$H304*12*3600*_xlfn.SEQUENCE(L$1-1))))+$J304</f>
        <v>0</v>
      </c>
      <c r="M304" s="3"/>
      <c r="N304" s="3"/>
    </row>
    <row r="305" spans="2:14" hidden="1" x14ac:dyDescent="0.2">
      <c r="B305" s="3">
        <v>24052</v>
      </c>
      <c r="C305" s="3">
        <v>0</v>
      </c>
      <c r="D305">
        <v>302</v>
      </c>
      <c r="E305" t="str">
        <f>VLOOKUP(B305,Nuclides!A:F,5,FALSE)</f>
        <v>Cr52</v>
      </c>
      <c r="F305" t="str">
        <f>VLOOKUP(B305,Nuclides!A:F,4,FALSE)</f>
        <v>STABLE</v>
      </c>
      <c r="G305" s="3" t="str">
        <f t="shared" si="23"/>
        <v>STABLE</v>
      </c>
      <c r="H305" s="3" t="e">
        <f t="shared" si="24"/>
        <v>#VALUE!</v>
      </c>
      <c r="I305" s="3" t="e">
        <f t="shared" si="25"/>
        <v>#VALUE!</v>
      </c>
      <c r="J305" s="3" t="e">
        <f t="shared" si="26"/>
        <v>#VALUE!</v>
      </c>
      <c r="K305" s="3" t="str">
        <f t="shared" si="27"/>
        <v>Cr52</v>
      </c>
      <c r="L305" s="3" t="e" cm="1">
        <f t="array" ref="L305">SUM(($J305*EXP(-$H305*12*3600*_xlfn.SEQUENCE(L$1-1))))+$J305</f>
        <v>#VALUE!</v>
      </c>
      <c r="M305" s="3"/>
      <c r="N305" s="3"/>
    </row>
    <row r="306" spans="2:14" hidden="1" x14ac:dyDescent="0.2">
      <c r="B306" s="3">
        <v>24053</v>
      </c>
      <c r="C306" s="3">
        <v>0</v>
      </c>
      <c r="D306">
        <v>303</v>
      </c>
      <c r="E306" t="str">
        <f>VLOOKUP(B306,Nuclides!A:F,5,FALSE)</f>
        <v>Cr53</v>
      </c>
      <c r="F306" t="str">
        <f>VLOOKUP(B306,Nuclides!A:F,4,FALSE)</f>
        <v>STABLE</v>
      </c>
      <c r="G306" s="3" t="str">
        <f t="shared" si="23"/>
        <v>STABLE</v>
      </c>
      <c r="H306" s="3" t="e">
        <f t="shared" si="24"/>
        <v>#VALUE!</v>
      </c>
      <c r="I306" s="3" t="e">
        <f t="shared" si="25"/>
        <v>#VALUE!</v>
      </c>
      <c r="J306" s="3" t="e">
        <f t="shared" si="26"/>
        <v>#VALUE!</v>
      </c>
      <c r="K306" s="3" t="str">
        <f t="shared" si="27"/>
        <v>Cr53</v>
      </c>
      <c r="L306" s="3" t="e" cm="1">
        <f t="array" ref="L306">SUM(($J306*EXP(-$H306*12*3600*_xlfn.SEQUENCE(L$1-1))))+$J306</f>
        <v>#VALUE!</v>
      </c>
      <c r="M306" s="3"/>
      <c r="N306" s="3"/>
    </row>
    <row r="307" spans="2:14" hidden="1" x14ac:dyDescent="0.2">
      <c r="B307" s="3">
        <v>24054</v>
      </c>
      <c r="C307" s="3">
        <v>0</v>
      </c>
      <c r="D307">
        <v>304</v>
      </c>
      <c r="E307" t="str">
        <f>VLOOKUP(B307,Nuclides!A:F,5,FALSE)</f>
        <v>Cr54</v>
      </c>
      <c r="F307" t="str">
        <f>VLOOKUP(B307,Nuclides!A:F,4,FALSE)</f>
        <v>STABLE</v>
      </c>
      <c r="G307" s="3" t="str">
        <f t="shared" si="23"/>
        <v>STABLE</v>
      </c>
      <c r="H307" s="3" t="e">
        <f t="shared" si="24"/>
        <v>#VALUE!</v>
      </c>
      <c r="I307" s="3" t="e">
        <f t="shared" si="25"/>
        <v>#VALUE!</v>
      </c>
      <c r="J307" s="3" t="e">
        <f t="shared" si="26"/>
        <v>#VALUE!</v>
      </c>
      <c r="K307" s="3" t="str">
        <f t="shared" si="27"/>
        <v>Cr54</v>
      </c>
      <c r="L307" s="3" t="e" cm="1">
        <f t="array" ref="L307">SUM(($J307*EXP(-$H307*12*3600*_xlfn.SEQUENCE(L$1-1))))+$J307</f>
        <v>#VALUE!</v>
      </c>
      <c r="M307" s="3"/>
      <c r="N307" s="3"/>
    </row>
    <row r="308" spans="2:14" hidden="1" x14ac:dyDescent="0.2">
      <c r="B308" s="3">
        <v>24055</v>
      </c>
      <c r="C308" s="3">
        <v>0</v>
      </c>
      <c r="D308">
        <v>305</v>
      </c>
      <c r="E308" t="str">
        <f>VLOOKUP(B308,Nuclides!A:F,5,FALSE)</f>
        <v>Cr55</v>
      </c>
      <c r="F308">
        <f>VLOOKUP(B308,Nuclides!A:F,4,FALSE)</f>
        <v>209.82</v>
      </c>
      <c r="G308" s="3" t="str">
        <f t="shared" si="23"/>
        <v>3.5min</v>
      </c>
      <c r="H308" s="3">
        <f t="shared" si="24"/>
        <v>3.3035324590598861E-3</v>
      </c>
      <c r="I308" s="3">
        <f t="shared" si="25"/>
        <v>0</v>
      </c>
      <c r="J308" s="3">
        <f t="shared" si="26"/>
        <v>0</v>
      </c>
      <c r="K308" s="3" t="str">
        <f t="shared" si="27"/>
        <v>Cr55</v>
      </c>
      <c r="L308" s="3" cm="1">
        <f t="array" ref="L308">SUM(($J308*EXP(-$H308*12*3600*_xlfn.SEQUENCE(L$1-1))))+$J308</f>
        <v>0</v>
      </c>
      <c r="M308" s="3"/>
      <c r="N308" s="3"/>
    </row>
    <row r="309" spans="2:14" hidden="1" x14ac:dyDescent="0.2">
      <c r="B309" s="3">
        <v>24056</v>
      </c>
      <c r="C309" s="3">
        <v>0</v>
      </c>
      <c r="D309">
        <v>306</v>
      </c>
      <c r="E309" t="str">
        <f>VLOOKUP(B309,Nuclides!A:F,5,FALSE)</f>
        <v>Cr56</v>
      </c>
      <c r="F309">
        <f>VLOOKUP(B309,Nuclides!A:F,4,FALSE)</f>
        <v>356.4</v>
      </c>
      <c r="G309" s="3" t="str">
        <f t="shared" si="23"/>
        <v>5.94min</v>
      </c>
      <c r="H309" s="3">
        <f t="shared" si="24"/>
        <v>1.9448574089785222E-3</v>
      </c>
      <c r="I309" s="3">
        <f t="shared" si="25"/>
        <v>0</v>
      </c>
      <c r="J309" s="3">
        <f t="shared" si="26"/>
        <v>0</v>
      </c>
      <c r="K309" s="3" t="str">
        <f t="shared" si="27"/>
        <v>Cr56</v>
      </c>
      <c r="L309" s="3" cm="1">
        <f t="array" ref="L309">SUM(($J309*EXP(-$H309*12*3600*_xlfn.SEQUENCE(L$1-1))))+$J309</f>
        <v>0</v>
      </c>
      <c r="M309" s="3"/>
      <c r="N309" s="3"/>
    </row>
    <row r="310" spans="2:14" hidden="1" x14ac:dyDescent="0.2">
      <c r="B310" s="3">
        <v>24057</v>
      </c>
      <c r="C310" s="3">
        <v>0</v>
      </c>
      <c r="D310">
        <v>307</v>
      </c>
      <c r="E310" t="str">
        <f>VLOOKUP(B310,Nuclides!A:F,5,FALSE)</f>
        <v>Cr57</v>
      </c>
      <c r="F310">
        <f>VLOOKUP(B310,Nuclides!A:F,4,FALSE)</f>
        <v>21.1</v>
      </c>
      <c r="G310" s="3" t="str">
        <f t="shared" si="23"/>
        <v>21.1s</v>
      </c>
      <c r="H310" s="3">
        <f t="shared" si="24"/>
        <v>3.2850577277722524E-2</v>
      </c>
      <c r="I310" s="3">
        <f t="shared" si="25"/>
        <v>0</v>
      </c>
      <c r="J310" s="3">
        <f t="shared" si="26"/>
        <v>0</v>
      </c>
      <c r="K310" s="3" t="str">
        <f t="shared" si="27"/>
        <v>Cr57</v>
      </c>
      <c r="L310" s="3" cm="1">
        <f t="array" ref="L310">SUM(($J310*EXP(-$H310*12*3600*_xlfn.SEQUENCE(L$1-1))))+$J310</f>
        <v>0</v>
      </c>
      <c r="M310" s="3"/>
      <c r="N310" s="3"/>
    </row>
    <row r="311" spans="2:14" hidden="1" x14ac:dyDescent="0.2">
      <c r="B311" s="3">
        <v>24058</v>
      </c>
      <c r="C311" s="3">
        <v>0</v>
      </c>
      <c r="D311">
        <v>308</v>
      </c>
      <c r="E311" t="str">
        <f>VLOOKUP(B311,Nuclides!A:F,5,FALSE)</f>
        <v>Cr58</v>
      </c>
      <c r="F311">
        <f>VLOOKUP(B311,Nuclides!A:F,4,FALSE)</f>
        <v>7</v>
      </c>
      <c r="G311" s="3" t="str">
        <f t="shared" si="23"/>
        <v>7s</v>
      </c>
      <c r="H311" s="3">
        <f t="shared" si="24"/>
        <v>9.9021025794277892E-2</v>
      </c>
      <c r="I311" s="3">
        <f t="shared" si="25"/>
        <v>0</v>
      </c>
      <c r="J311" s="3">
        <f t="shared" si="26"/>
        <v>0</v>
      </c>
      <c r="K311" s="3" t="str">
        <f t="shared" si="27"/>
        <v>Cr58</v>
      </c>
      <c r="L311" s="3" cm="1">
        <f t="array" ref="L311">SUM(($J311*EXP(-$H311*12*3600*_xlfn.SEQUENCE(L$1-1))))+$J311</f>
        <v>0</v>
      </c>
      <c r="M311" s="3"/>
      <c r="N311" s="3"/>
    </row>
    <row r="312" spans="2:14" hidden="1" x14ac:dyDescent="0.2">
      <c r="B312" s="3">
        <v>24059</v>
      </c>
      <c r="C312" s="3">
        <v>0</v>
      </c>
      <c r="D312">
        <v>309</v>
      </c>
      <c r="E312" t="str">
        <f>VLOOKUP(B312,Nuclides!A:F,5,FALSE)</f>
        <v>Cr59</v>
      </c>
      <c r="F312">
        <f>VLOOKUP(B312,Nuclides!A:F,4,FALSE)</f>
        <v>1.05</v>
      </c>
      <c r="G312" s="3" t="str">
        <f t="shared" si="23"/>
        <v>1.05s</v>
      </c>
      <c r="H312" s="3">
        <f t="shared" si="24"/>
        <v>0.6601401719618526</v>
      </c>
      <c r="I312" s="3">
        <f t="shared" si="25"/>
        <v>0</v>
      </c>
      <c r="J312" s="3">
        <f t="shared" si="26"/>
        <v>0</v>
      </c>
      <c r="K312" s="3" t="str">
        <f t="shared" si="27"/>
        <v>Cr59</v>
      </c>
      <c r="L312" s="3" cm="1">
        <f t="array" ref="L312">SUM(($J312*EXP(-$H312*12*3600*_xlfn.SEQUENCE(L$1-1))))+$J312</f>
        <v>0</v>
      </c>
      <c r="M312" s="3"/>
      <c r="N312" s="3"/>
    </row>
    <row r="313" spans="2:14" hidden="1" x14ac:dyDescent="0.2">
      <c r="B313" s="3">
        <v>25049</v>
      </c>
      <c r="C313" s="3">
        <v>0</v>
      </c>
      <c r="D313">
        <v>310</v>
      </c>
      <c r="E313" t="str">
        <f>VLOOKUP(B313,Nuclides!A:F,5,FALSE)</f>
        <v>Mn49</v>
      </c>
      <c r="F313">
        <f>VLOOKUP(B313,Nuclides!A:F,4,FALSE)</f>
        <v>0.38200000000000001</v>
      </c>
      <c r="G313" s="3" t="str">
        <f t="shared" si="23"/>
        <v>0.382s</v>
      </c>
      <c r="H313" s="3">
        <f t="shared" si="24"/>
        <v>1.8145214150783908</v>
      </c>
      <c r="I313" s="3">
        <f t="shared" si="25"/>
        <v>0</v>
      </c>
      <c r="J313" s="3">
        <f t="shared" si="26"/>
        <v>0</v>
      </c>
      <c r="K313" s="3" t="str">
        <f t="shared" si="27"/>
        <v>Mn49</v>
      </c>
      <c r="L313" s="3" cm="1">
        <f t="array" ref="L313">SUM(($J313*EXP(-$H313*12*3600*_xlfn.SEQUENCE(L$1-1))))+$J313</f>
        <v>0</v>
      </c>
      <c r="M313" s="3"/>
      <c r="N313" s="3"/>
    </row>
    <row r="314" spans="2:14" hidden="1" x14ac:dyDescent="0.2">
      <c r="B314" s="3">
        <v>25050</v>
      </c>
      <c r="C314" s="3">
        <v>0</v>
      </c>
      <c r="D314">
        <v>311</v>
      </c>
      <c r="E314" t="str">
        <f>VLOOKUP(B314,Nuclides!A:F,5,FALSE)</f>
        <v>Mn50</v>
      </c>
      <c r="F314">
        <f>VLOOKUP(B314,Nuclides!A:F,4,FALSE)</f>
        <v>0.28319</v>
      </c>
      <c r="G314" s="3" t="str">
        <f t="shared" si="23"/>
        <v>0.28319s</v>
      </c>
      <c r="H314" s="3">
        <f t="shared" si="24"/>
        <v>2.4476400316393421</v>
      </c>
      <c r="I314" s="3">
        <f t="shared" si="25"/>
        <v>0</v>
      </c>
      <c r="J314" s="3">
        <f t="shared" si="26"/>
        <v>0</v>
      </c>
      <c r="K314" s="3" t="str">
        <f t="shared" si="27"/>
        <v>Mn50</v>
      </c>
      <c r="L314" s="3" cm="1">
        <f t="array" ref="L314">SUM(($J314*EXP(-$H314*12*3600*_xlfn.SEQUENCE(L$1-1))))+$J314</f>
        <v>0</v>
      </c>
      <c r="M314" s="3"/>
      <c r="N314" s="3"/>
    </row>
    <row r="315" spans="2:14" hidden="1" x14ac:dyDescent="0.2">
      <c r="B315" s="3">
        <v>25051</v>
      </c>
      <c r="C315" s="3">
        <v>0</v>
      </c>
      <c r="D315">
        <v>312</v>
      </c>
      <c r="E315" t="str">
        <f>VLOOKUP(B315,Nuclides!A:F,5,FALSE)</f>
        <v>Mn51</v>
      </c>
      <c r="F315">
        <f>VLOOKUP(B315,Nuclides!A:F,4,FALSE)</f>
        <v>2772</v>
      </c>
      <c r="G315" s="3" t="str">
        <f t="shared" si="23"/>
        <v>46.2min</v>
      </c>
      <c r="H315" s="3">
        <f t="shared" si="24"/>
        <v>2.5005309544009569E-4</v>
      </c>
      <c r="I315" s="3">
        <f t="shared" si="25"/>
        <v>0</v>
      </c>
      <c r="J315" s="3">
        <f t="shared" si="26"/>
        <v>0</v>
      </c>
      <c r="K315" s="3" t="str">
        <f t="shared" si="27"/>
        <v>Mn51</v>
      </c>
      <c r="L315" s="3" cm="1">
        <f t="array" ref="L315">SUM(($J315*EXP(-$H315*12*3600*_xlfn.SEQUENCE(L$1-1))))+$J315</f>
        <v>0</v>
      </c>
      <c r="M315" s="3"/>
      <c r="N315" s="3"/>
    </row>
    <row r="316" spans="2:14" hidden="1" x14ac:dyDescent="0.2">
      <c r="B316" s="3">
        <v>25052</v>
      </c>
      <c r="C316" s="3">
        <v>0</v>
      </c>
      <c r="D316">
        <v>313</v>
      </c>
      <c r="E316" t="str">
        <f>VLOOKUP(B316,Nuclides!A:F,5,FALSE)</f>
        <v>Mn52</v>
      </c>
      <c r="F316">
        <f>VLOOKUP(B316,Nuclides!A:F,4,FALSE)</f>
        <v>483062.4</v>
      </c>
      <c r="G316" s="3" t="str">
        <f t="shared" si="23"/>
        <v>5.59d</v>
      </c>
      <c r="H316" s="3">
        <f t="shared" si="24"/>
        <v>1.4349019517146133E-6</v>
      </c>
      <c r="I316" s="3">
        <f t="shared" si="25"/>
        <v>0</v>
      </c>
      <c r="J316" s="3">
        <f t="shared" si="26"/>
        <v>0</v>
      </c>
      <c r="K316" s="3" t="str">
        <f t="shared" si="27"/>
        <v>Mn52</v>
      </c>
      <c r="L316" s="3" cm="1">
        <f t="array" ref="L316">SUM(($J316*EXP(-$H316*12*3600*_xlfn.SEQUENCE(L$1-1))))+$J316</f>
        <v>0</v>
      </c>
      <c r="M316" s="3"/>
      <c r="N316" s="3"/>
    </row>
    <row r="317" spans="2:14" hidden="1" x14ac:dyDescent="0.2">
      <c r="B317" s="3">
        <v>25053</v>
      </c>
      <c r="C317" s="3">
        <v>0</v>
      </c>
      <c r="D317">
        <v>314</v>
      </c>
      <c r="E317" t="str">
        <f>VLOOKUP(B317,Nuclides!A:F,5,FALSE)</f>
        <v>Mn53</v>
      </c>
      <c r="F317">
        <f>VLOOKUP(B317,Nuclides!A:F,4,FALSE)</f>
        <v>118025424000000</v>
      </c>
      <c r="G317" s="3" t="str">
        <f t="shared" si="23"/>
        <v>3742561.64y</v>
      </c>
      <c r="H317" s="3">
        <f t="shared" si="24"/>
        <v>5.8728632956230289E-15</v>
      </c>
      <c r="I317" s="3">
        <f t="shared" si="25"/>
        <v>0</v>
      </c>
      <c r="J317" s="3">
        <f t="shared" si="26"/>
        <v>0</v>
      </c>
      <c r="K317" s="3" t="str">
        <f t="shared" si="27"/>
        <v>Mn53</v>
      </c>
      <c r="L317" s="3" cm="1">
        <f t="array" ref="L317">SUM(($J317*EXP(-$H317*12*3600*_xlfn.SEQUENCE(L$1-1))))+$J317</f>
        <v>0</v>
      </c>
      <c r="M317" s="3"/>
      <c r="N317" s="3"/>
    </row>
    <row r="318" spans="2:14" hidden="1" x14ac:dyDescent="0.2">
      <c r="B318" s="3">
        <v>25054</v>
      </c>
      <c r="C318" s="3">
        <v>0</v>
      </c>
      <c r="D318">
        <v>315</v>
      </c>
      <c r="E318" t="str">
        <f>VLOOKUP(B318,Nuclides!A:F,5,FALSE)</f>
        <v>Mn54</v>
      </c>
      <c r="F318">
        <f>VLOOKUP(B318,Nuclides!A:F,4,FALSE)</f>
        <v>26974080</v>
      </c>
      <c r="G318" s="3" t="str">
        <f t="shared" si="23"/>
        <v>312.2d</v>
      </c>
      <c r="H318" s="3">
        <f t="shared" si="24"/>
        <v>2.5696786713761703E-8</v>
      </c>
      <c r="I318" s="3">
        <f t="shared" si="25"/>
        <v>0</v>
      </c>
      <c r="J318" s="3">
        <f t="shared" si="26"/>
        <v>0</v>
      </c>
      <c r="K318" s="3" t="str">
        <f t="shared" si="27"/>
        <v>Mn54</v>
      </c>
      <c r="L318" s="3" cm="1">
        <f t="array" ref="L318">SUM(($J318*EXP(-$H318*12*3600*_xlfn.SEQUENCE(L$1-1))))+$J318</f>
        <v>0</v>
      </c>
      <c r="M318" s="3"/>
      <c r="N318" s="3"/>
    </row>
    <row r="319" spans="2:14" hidden="1" x14ac:dyDescent="0.2">
      <c r="B319" s="3">
        <v>25055</v>
      </c>
      <c r="C319" s="3">
        <v>0</v>
      </c>
      <c r="D319">
        <v>316</v>
      </c>
      <c r="E319" t="str">
        <f>VLOOKUP(B319,Nuclides!A:F,5,FALSE)</f>
        <v>Mn55</v>
      </c>
      <c r="F319" t="str">
        <f>VLOOKUP(B319,Nuclides!A:F,4,FALSE)</f>
        <v>STABLE</v>
      </c>
      <c r="G319" s="3" t="str">
        <f t="shared" si="23"/>
        <v>STABLE</v>
      </c>
      <c r="H319" s="3" t="e">
        <f t="shared" si="24"/>
        <v>#VALUE!</v>
      </c>
      <c r="I319" s="3" t="e">
        <f t="shared" si="25"/>
        <v>#VALUE!</v>
      </c>
      <c r="J319" s="3" t="e">
        <f t="shared" si="26"/>
        <v>#VALUE!</v>
      </c>
      <c r="K319" s="3" t="str">
        <f t="shared" si="27"/>
        <v>Mn55</v>
      </c>
      <c r="L319" s="3" t="e" cm="1">
        <f t="array" ref="L319">SUM(($J319*EXP(-$H319*12*3600*_xlfn.SEQUENCE(L$1-1))))+$J319</f>
        <v>#VALUE!</v>
      </c>
      <c r="M319" s="3"/>
      <c r="N319" s="3"/>
    </row>
    <row r="320" spans="2:14" hidden="1" x14ac:dyDescent="0.2">
      <c r="B320" s="3">
        <v>25056</v>
      </c>
      <c r="C320" s="3">
        <v>0</v>
      </c>
      <c r="D320">
        <v>317</v>
      </c>
      <c r="E320" t="str">
        <f>VLOOKUP(B320,Nuclides!A:F,5,FALSE)</f>
        <v>Mn56</v>
      </c>
      <c r="F320">
        <f>VLOOKUP(B320,Nuclides!A:F,4,FALSE)</f>
        <v>9284.03999999999</v>
      </c>
      <c r="G320" s="3" t="str">
        <f t="shared" si="23"/>
        <v>2.58h</v>
      </c>
      <c r="H320" s="3">
        <f t="shared" si="24"/>
        <v>7.4660081231871686E-5</v>
      </c>
      <c r="I320" s="3">
        <f t="shared" si="25"/>
        <v>0</v>
      </c>
      <c r="J320" s="3">
        <f t="shared" si="26"/>
        <v>0</v>
      </c>
      <c r="K320" s="3" t="str">
        <f t="shared" si="27"/>
        <v>Mn56</v>
      </c>
      <c r="L320" s="3" cm="1">
        <f t="array" ref="L320">SUM(($J320*EXP(-$H320*12*3600*_xlfn.SEQUENCE(L$1-1))))+$J320</f>
        <v>0</v>
      </c>
      <c r="M320" s="3"/>
      <c r="N320" s="3"/>
    </row>
    <row r="321" spans="2:14" hidden="1" x14ac:dyDescent="0.2">
      <c r="B321" s="3">
        <v>25057</v>
      </c>
      <c r="C321" s="3">
        <v>0</v>
      </c>
      <c r="D321">
        <v>318</v>
      </c>
      <c r="E321" t="str">
        <f>VLOOKUP(B321,Nuclides!A:F,5,FALSE)</f>
        <v>Mn57</v>
      </c>
      <c r="F321">
        <f>VLOOKUP(B321,Nuclides!A:F,4,FALSE)</f>
        <v>85.4</v>
      </c>
      <c r="G321" s="3" t="str">
        <f t="shared" si="23"/>
        <v>1.42min</v>
      </c>
      <c r="H321" s="3">
        <f t="shared" si="24"/>
        <v>8.1164775241211393E-3</v>
      </c>
      <c r="I321" s="3">
        <f t="shared" si="25"/>
        <v>0</v>
      </c>
      <c r="J321" s="3">
        <f t="shared" si="26"/>
        <v>0</v>
      </c>
      <c r="K321" s="3" t="str">
        <f t="shared" si="27"/>
        <v>Mn57</v>
      </c>
      <c r="L321" s="3" cm="1">
        <f t="array" ref="L321">SUM(($J321*EXP(-$H321*12*3600*_xlfn.SEQUENCE(L$1-1))))+$J321</f>
        <v>0</v>
      </c>
      <c r="M321" s="3"/>
      <c r="N321" s="3"/>
    </row>
    <row r="322" spans="2:14" hidden="1" x14ac:dyDescent="0.2">
      <c r="B322" s="3">
        <v>25058</v>
      </c>
      <c r="C322" s="3">
        <v>0</v>
      </c>
      <c r="D322">
        <v>319</v>
      </c>
      <c r="E322" t="str">
        <f>VLOOKUP(B322,Nuclides!A:F,5,FALSE)</f>
        <v>Mn58</v>
      </c>
      <c r="F322">
        <f>VLOOKUP(B322,Nuclides!A:F,4,FALSE)</f>
        <v>3</v>
      </c>
      <c r="G322" s="3" t="str">
        <f t="shared" si="23"/>
        <v>3s</v>
      </c>
      <c r="H322" s="3">
        <f t="shared" si="24"/>
        <v>0.23104906018664842</v>
      </c>
      <c r="I322" s="3">
        <f t="shared" si="25"/>
        <v>0</v>
      </c>
      <c r="J322" s="3">
        <f t="shared" si="26"/>
        <v>0</v>
      </c>
      <c r="K322" s="3" t="str">
        <f t="shared" si="27"/>
        <v>Mn58</v>
      </c>
      <c r="L322" s="3" cm="1">
        <f t="array" ref="L322">SUM(($J322*EXP(-$H322*12*3600*_xlfn.SEQUENCE(L$1-1))))+$J322</f>
        <v>0</v>
      </c>
      <c r="M322" s="3"/>
      <c r="N322" s="3"/>
    </row>
    <row r="323" spans="2:14" hidden="1" x14ac:dyDescent="0.2">
      <c r="B323" s="3">
        <v>25059</v>
      </c>
      <c r="C323" s="3">
        <v>0</v>
      </c>
      <c r="D323">
        <v>320</v>
      </c>
      <c r="E323" t="str">
        <f>VLOOKUP(B323,Nuclides!A:F,5,FALSE)</f>
        <v>Mn59</v>
      </c>
      <c r="F323">
        <f>VLOOKUP(B323,Nuclides!A:F,4,FALSE)</f>
        <v>4.59</v>
      </c>
      <c r="G323" s="3" t="str">
        <f t="shared" si="23"/>
        <v>4.59s</v>
      </c>
      <c r="H323" s="3">
        <f t="shared" si="24"/>
        <v>0.15101245763833232</v>
      </c>
      <c r="I323" s="3">
        <f t="shared" si="25"/>
        <v>0</v>
      </c>
      <c r="J323" s="3">
        <f t="shared" si="26"/>
        <v>0</v>
      </c>
      <c r="K323" s="3" t="str">
        <f t="shared" si="27"/>
        <v>Mn59</v>
      </c>
      <c r="L323" s="3" cm="1">
        <f t="array" ref="L323">SUM(($J323*EXP(-$H323*12*3600*_xlfn.SEQUENCE(L$1-1))))+$J323</f>
        <v>0</v>
      </c>
      <c r="M323" s="3"/>
      <c r="N323" s="3"/>
    </row>
    <row r="324" spans="2:14" hidden="1" x14ac:dyDescent="0.2">
      <c r="B324" s="3">
        <v>25060</v>
      </c>
      <c r="C324" s="3">
        <v>0</v>
      </c>
      <c r="D324">
        <v>321</v>
      </c>
      <c r="E324" t="str">
        <f>VLOOKUP(B324,Nuclides!A:F,5,FALSE)</f>
        <v>Mn60</v>
      </c>
      <c r="F324">
        <f>VLOOKUP(B324,Nuclides!A:F,4,FALSE)</f>
        <v>0.28000000000000003</v>
      </c>
      <c r="G324" s="3" t="str">
        <f t="shared" ref="G324:G387" si="28">IF(F324="STABLE", "STABLE", IF(F324&lt;60, F324&amp;"s", IF(F324&lt;3600, ROUND(F324/60,2)&amp;"min", IF(F324&lt;86400, ROUND(F324/3600,2)&amp;"h", IF(F324&lt;31536000, ROUND(F324/86400,2)&amp;"d", ROUND(F324/31536000,2)&amp;"y")))))</f>
        <v>0.28s</v>
      </c>
      <c r="H324" s="3">
        <f t="shared" ref="H324:H387" si="29">LN(2)/F324</f>
        <v>2.4755256448569471</v>
      </c>
      <c r="I324" s="3">
        <f t="shared" ref="I324:I387" si="30">100*6240000000000*C324*(1-EXP(-H324*2*3600))</f>
        <v>0</v>
      </c>
      <c r="J324" s="3">
        <f t="shared" ref="J324:J387" si="31">I324*EXP(-H324*10*3600)</f>
        <v>0</v>
      </c>
      <c r="K324" s="3" t="str">
        <f t="shared" ref="K324:K387" si="32">E324</f>
        <v>Mn60</v>
      </c>
      <c r="L324" s="3" cm="1">
        <f t="array" ref="L324">SUM(($J324*EXP(-$H324*12*3600*_xlfn.SEQUENCE(L$1-1))))+$J324</f>
        <v>0</v>
      </c>
      <c r="M324" s="3"/>
      <c r="N324" s="3"/>
    </row>
    <row r="325" spans="2:14" hidden="1" x14ac:dyDescent="0.2">
      <c r="B325" s="3">
        <v>25061</v>
      </c>
      <c r="C325" s="3">
        <v>0</v>
      </c>
      <c r="D325">
        <v>322</v>
      </c>
      <c r="E325" t="str">
        <f>VLOOKUP(B325,Nuclides!A:F,5,FALSE)</f>
        <v>Mn61</v>
      </c>
      <c r="F325">
        <f>VLOOKUP(B325,Nuclides!A:F,4,FALSE)</f>
        <v>0.70899999999999996</v>
      </c>
      <c r="G325" s="3" t="str">
        <f t="shared" si="28"/>
        <v>0.709s</v>
      </c>
      <c r="H325" s="3">
        <f t="shared" si="29"/>
        <v>0.97764059317340668</v>
      </c>
      <c r="I325" s="3">
        <f t="shared" si="30"/>
        <v>0</v>
      </c>
      <c r="J325" s="3">
        <f t="shared" si="31"/>
        <v>0</v>
      </c>
      <c r="K325" s="3" t="str">
        <f t="shared" si="32"/>
        <v>Mn61</v>
      </c>
      <c r="L325" s="3" cm="1">
        <f t="array" ref="L325">SUM(($J325*EXP(-$H325*12*3600*_xlfn.SEQUENCE(L$1-1))))+$J325</f>
        <v>0</v>
      </c>
      <c r="M325" s="3"/>
      <c r="N325" s="3"/>
    </row>
    <row r="326" spans="2:14" hidden="1" x14ac:dyDescent="0.2">
      <c r="B326" s="3">
        <v>25062</v>
      </c>
      <c r="C326" s="3">
        <v>0</v>
      </c>
      <c r="D326">
        <v>323</v>
      </c>
      <c r="E326" t="str">
        <f>VLOOKUP(B326,Nuclides!A:F,5,FALSE)</f>
        <v>Mn62</v>
      </c>
      <c r="F326">
        <f>VLOOKUP(B326,Nuclides!A:F,4,FALSE)</f>
        <v>9.1999999999999998E-2</v>
      </c>
      <c r="G326" s="3" t="str">
        <f t="shared" si="28"/>
        <v>0.092s</v>
      </c>
      <c r="H326" s="3">
        <f t="shared" si="29"/>
        <v>7.5342084843472312</v>
      </c>
      <c r="I326" s="3">
        <f t="shared" si="30"/>
        <v>0</v>
      </c>
      <c r="J326" s="3">
        <f t="shared" si="31"/>
        <v>0</v>
      </c>
      <c r="K326" s="3" t="str">
        <f t="shared" si="32"/>
        <v>Mn62</v>
      </c>
      <c r="L326" s="3" cm="1">
        <f t="array" ref="L326">SUM(($J326*EXP(-$H326*12*3600*_xlfn.SEQUENCE(L$1-1))))+$J326</f>
        <v>0</v>
      </c>
      <c r="M326" s="3"/>
      <c r="N326" s="3"/>
    </row>
    <row r="327" spans="2:14" hidden="1" x14ac:dyDescent="0.2">
      <c r="B327" s="3">
        <v>26049</v>
      </c>
      <c r="C327" s="3">
        <v>0</v>
      </c>
      <c r="D327">
        <v>324</v>
      </c>
      <c r="E327" t="str">
        <f>VLOOKUP(B327,Nuclides!A:F,5,FALSE)</f>
        <v>Fe49</v>
      </c>
      <c r="F327">
        <f>VLOOKUP(B327,Nuclides!A:F,4,FALSE)</f>
        <v>6.4699999999999994E-2</v>
      </c>
      <c r="G327" s="3" t="str">
        <f t="shared" si="28"/>
        <v>0.0647s</v>
      </c>
      <c r="H327" s="3">
        <f t="shared" si="29"/>
        <v>10.713248540339187</v>
      </c>
      <c r="I327" s="3">
        <f t="shared" si="30"/>
        <v>0</v>
      </c>
      <c r="J327" s="3">
        <f t="shared" si="31"/>
        <v>0</v>
      </c>
      <c r="K327" s="3" t="str">
        <f t="shared" si="32"/>
        <v>Fe49</v>
      </c>
      <c r="L327" s="3" cm="1">
        <f t="array" ref="L327">SUM(($J327*EXP(-$H327*12*3600*_xlfn.SEQUENCE(L$1-1))))+$J327</f>
        <v>0</v>
      </c>
      <c r="M327" s="3"/>
      <c r="N327" s="3"/>
    </row>
    <row r="328" spans="2:14" hidden="1" x14ac:dyDescent="0.2">
      <c r="B328" s="3">
        <v>26050</v>
      </c>
      <c r="C328" s="3">
        <v>0</v>
      </c>
      <c r="D328">
        <v>325</v>
      </c>
      <c r="E328" t="str">
        <f>VLOOKUP(B328,Nuclides!A:F,5,FALSE)</f>
        <v>Fe50</v>
      </c>
      <c r="F328">
        <f>VLOOKUP(B328,Nuclides!A:F,4,FALSE)</f>
        <v>0.155</v>
      </c>
      <c r="G328" s="3" t="str">
        <f t="shared" si="28"/>
        <v>0.155s</v>
      </c>
      <c r="H328" s="3">
        <f t="shared" si="29"/>
        <v>4.4719172939351308</v>
      </c>
      <c r="I328" s="3">
        <f t="shared" si="30"/>
        <v>0</v>
      </c>
      <c r="J328" s="3">
        <f t="shared" si="31"/>
        <v>0</v>
      </c>
      <c r="K328" s="3" t="str">
        <f t="shared" si="32"/>
        <v>Fe50</v>
      </c>
      <c r="L328" s="3" cm="1">
        <f t="array" ref="L328">SUM(($J328*EXP(-$H328*12*3600*_xlfn.SEQUENCE(L$1-1))))+$J328</f>
        <v>0</v>
      </c>
      <c r="M328" s="3"/>
      <c r="N328" s="3"/>
    </row>
    <row r="329" spans="2:14" hidden="1" x14ac:dyDescent="0.2">
      <c r="B329" s="3">
        <v>26051</v>
      </c>
      <c r="C329" s="3">
        <v>0</v>
      </c>
      <c r="D329">
        <v>326</v>
      </c>
      <c r="E329" t="str">
        <f>VLOOKUP(B329,Nuclides!A:F,5,FALSE)</f>
        <v>Fe51</v>
      </c>
      <c r="F329">
        <f>VLOOKUP(B329,Nuclides!A:F,4,FALSE)</f>
        <v>0.30499999999999999</v>
      </c>
      <c r="G329" s="3" t="str">
        <f t="shared" si="28"/>
        <v>0.305s</v>
      </c>
      <c r="H329" s="3">
        <f t="shared" si="29"/>
        <v>2.2726137067539192</v>
      </c>
      <c r="I329" s="3">
        <f t="shared" si="30"/>
        <v>0</v>
      </c>
      <c r="J329" s="3">
        <f t="shared" si="31"/>
        <v>0</v>
      </c>
      <c r="K329" s="3" t="str">
        <f t="shared" si="32"/>
        <v>Fe51</v>
      </c>
      <c r="L329" s="3" cm="1">
        <f t="array" ref="L329">SUM(($J329*EXP(-$H329*12*3600*_xlfn.SEQUENCE(L$1-1))))+$J329</f>
        <v>0</v>
      </c>
      <c r="M329" s="3"/>
      <c r="N329" s="3"/>
    </row>
    <row r="330" spans="2:14" hidden="1" x14ac:dyDescent="0.2">
      <c r="B330" s="3">
        <v>26052</v>
      </c>
      <c r="C330" s="3">
        <v>0</v>
      </c>
      <c r="D330">
        <v>327</v>
      </c>
      <c r="E330" t="str">
        <f>VLOOKUP(B330,Nuclides!A:F,5,FALSE)</f>
        <v>Fe52</v>
      </c>
      <c r="F330">
        <f>VLOOKUP(B330,Nuclides!A:F,4,FALSE)</f>
        <v>29790</v>
      </c>
      <c r="G330" s="3" t="str">
        <f t="shared" si="28"/>
        <v>8.28h</v>
      </c>
      <c r="H330" s="3">
        <f t="shared" si="29"/>
        <v>2.3267780482039118E-5</v>
      </c>
      <c r="I330" s="3">
        <f t="shared" si="30"/>
        <v>0</v>
      </c>
      <c r="J330" s="3">
        <f t="shared" si="31"/>
        <v>0</v>
      </c>
      <c r="K330" s="3" t="str">
        <f t="shared" si="32"/>
        <v>Fe52</v>
      </c>
      <c r="L330" s="3" cm="1">
        <f t="array" ref="L330">SUM(($J330*EXP(-$H330*12*3600*_xlfn.SEQUENCE(L$1-1))))+$J330</f>
        <v>0</v>
      </c>
      <c r="M330" s="3"/>
      <c r="N330" s="3"/>
    </row>
    <row r="331" spans="2:14" hidden="1" x14ac:dyDescent="0.2">
      <c r="B331" s="3">
        <v>26053</v>
      </c>
      <c r="C331" s="3">
        <v>0</v>
      </c>
      <c r="D331">
        <v>328</v>
      </c>
      <c r="E331" t="str">
        <f>VLOOKUP(B331,Nuclides!A:F,5,FALSE)</f>
        <v>Fe53</v>
      </c>
      <c r="F331">
        <f>VLOOKUP(B331,Nuclides!A:F,4,FALSE)</f>
        <v>510.599999999999</v>
      </c>
      <c r="G331" s="3" t="str">
        <f t="shared" si="28"/>
        <v>8.51min</v>
      </c>
      <c r="H331" s="3">
        <f t="shared" si="29"/>
        <v>1.357515042224729E-3</v>
      </c>
      <c r="I331" s="3">
        <f t="shared" si="30"/>
        <v>0</v>
      </c>
      <c r="J331" s="3">
        <f t="shared" si="31"/>
        <v>0</v>
      </c>
      <c r="K331" s="3" t="str">
        <f t="shared" si="32"/>
        <v>Fe53</v>
      </c>
      <c r="L331" s="3" cm="1">
        <f t="array" ref="L331">SUM(($J331*EXP(-$H331*12*3600*_xlfn.SEQUENCE(L$1-1))))+$J331</f>
        <v>0</v>
      </c>
      <c r="M331" s="3"/>
      <c r="N331" s="3"/>
    </row>
    <row r="332" spans="2:14" hidden="1" x14ac:dyDescent="0.2">
      <c r="B332" s="3">
        <v>26054</v>
      </c>
      <c r="C332" s="3">
        <v>0</v>
      </c>
      <c r="D332">
        <v>329</v>
      </c>
      <c r="E332" t="str">
        <f>VLOOKUP(B332,Nuclides!A:F,5,FALSE)</f>
        <v>Fe54</v>
      </c>
      <c r="F332" t="str">
        <f>VLOOKUP(B332,Nuclides!A:F,4,FALSE)</f>
        <v>STABLE</v>
      </c>
      <c r="G332" s="3" t="str">
        <f t="shared" si="28"/>
        <v>STABLE</v>
      </c>
      <c r="H332" s="3" t="e">
        <f t="shared" si="29"/>
        <v>#VALUE!</v>
      </c>
      <c r="I332" s="3" t="e">
        <f t="shared" si="30"/>
        <v>#VALUE!</v>
      </c>
      <c r="J332" s="3" t="e">
        <f t="shared" si="31"/>
        <v>#VALUE!</v>
      </c>
      <c r="K332" s="3" t="str">
        <f t="shared" si="32"/>
        <v>Fe54</v>
      </c>
      <c r="L332" s="3" t="e" cm="1">
        <f t="array" ref="L332">SUM(($J332*EXP(-$H332*12*3600*_xlfn.SEQUENCE(L$1-1))))+$J332</f>
        <v>#VALUE!</v>
      </c>
      <c r="M332" s="3"/>
      <c r="N332" s="3"/>
    </row>
    <row r="333" spans="2:14" hidden="1" x14ac:dyDescent="0.2">
      <c r="B333" s="3">
        <v>26055</v>
      </c>
      <c r="C333" s="3">
        <v>0</v>
      </c>
      <c r="D333">
        <v>330</v>
      </c>
      <c r="E333" t="str">
        <f>VLOOKUP(B333,Nuclides!A:F,5,FALSE)</f>
        <v>Fe55</v>
      </c>
      <c r="F333">
        <f>VLOOKUP(B333,Nuclides!A:F,4,FALSE)</f>
        <v>86594054.400000006</v>
      </c>
      <c r="G333" s="3" t="str">
        <f t="shared" si="28"/>
        <v>2.75y</v>
      </c>
      <c r="H333" s="3">
        <f t="shared" si="29"/>
        <v>8.0045585734803657E-9</v>
      </c>
      <c r="I333" s="3">
        <f t="shared" si="30"/>
        <v>0</v>
      </c>
      <c r="J333" s="3">
        <f t="shared" si="31"/>
        <v>0</v>
      </c>
      <c r="K333" s="3" t="str">
        <f t="shared" si="32"/>
        <v>Fe55</v>
      </c>
      <c r="L333" s="3" cm="1">
        <f t="array" ref="L333">SUM(($J333*EXP(-$H333*12*3600*_xlfn.SEQUENCE(L$1-1))))+$J333</f>
        <v>0</v>
      </c>
      <c r="M333" s="3"/>
      <c r="N333" s="3"/>
    </row>
    <row r="334" spans="2:14" hidden="1" x14ac:dyDescent="0.2">
      <c r="B334" s="3">
        <v>26056</v>
      </c>
      <c r="C334" s="3">
        <v>0</v>
      </c>
      <c r="D334">
        <v>331</v>
      </c>
      <c r="E334" t="str">
        <f>VLOOKUP(B334,Nuclides!A:F,5,FALSE)</f>
        <v>Fe56</v>
      </c>
      <c r="F334" t="str">
        <f>VLOOKUP(B334,Nuclides!A:F,4,FALSE)</f>
        <v>STABLE</v>
      </c>
      <c r="G334" s="3" t="str">
        <f t="shared" si="28"/>
        <v>STABLE</v>
      </c>
      <c r="H334" s="3" t="e">
        <f t="shared" si="29"/>
        <v>#VALUE!</v>
      </c>
      <c r="I334" s="3" t="e">
        <f t="shared" si="30"/>
        <v>#VALUE!</v>
      </c>
      <c r="J334" s="3" t="e">
        <f t="shared" si="31"/>
        <v>#VALUE!</v>
      </c>
      <c r="K334" s="3" t="str">
        <f t="shared" si="32"/>
        <v>Fe56</v>
      </c>
      <c r="L334" s="3" t="e" cm="1">
        <f t="array" ref="L334">SUM(($J334*EXP(-$H334*12*3600*_xlfn.SEQUENCE(L$1-1))))+$J334</f>
        <v>#VALUE!</v>
      </c>
      <c r="M334" s="3"/>
      <c r="N334" s="3"/>
    </row>
    <row r="335" spans="2:14" hidden="1" x14ac:dyDescent="0.2">
      <c r="B335" s="3">
        <v>26057</v>
      </c>
      <c r="C335" s="3">
        <v>0</v>
      </c>
      <c r="D335">
        <v>332</v>
      </c>
      <c r="E335" t="str">
        <f>VLOOKUP(B335,Nuclides!A:F,5,FALSE)</f>
        <v>Fe57</v>
      </c>
      <c r="F335" t="str">
        <f>VLOOKUP(B335,Nuclides!A:F,4,FALSE)</f>
        <v>STABLE</v>
      </c>
      <c r="G335" s="3" t="str">
        <f t="shared" si="28"/>
        <v>STABLE</v>
      </c>
      <c r="H335" s="3" t="e">
        <f t="shared" si="29"/>
        <v>#VALUE!</v>
      </c>
      <c r="I335" s="3" t="e">
        <f t="shared" si="30"/>
        <v>#VALUE!</v>
      </c>
      <c r="J335" s="3" t="e">
        <f t="shared" si="31"/>
        <v>#VALUE!</v>
      </c>
      <c r="K335" s="3" t="str">
        <f t="shared" si="32"/>
        <v>Fe57</v>
      </c>
      <c r="L335" s="3" t="e" cm="1">
        <f t="array" ref="L335">SUM(($J335*EXP(-$H335*12*3600*_xlfn.SEQUENCE(L$1-1))))+$J335</f>
        <v>#VALUE!</v>
      </c>
      <c r="M335" s="3"/>
      <c r="N335" s="3"/>
    </row>
    <row r="336" spans="2:14" hidden="1" x14ac:dyDescent="0.2">
      <c r="B336" s="3">
        <v>26058</v>
      </c>
      <c r="C336" s="3">
        <v>0</v>
      </c>
      <c r="D336">
        <v>333</v>
      </c>
      <c r="E336" t="str">
        <f>VLOOKUP(B336,Nuclides!A:F,5,FALSE)</f>
        <v>Fe58</v>
      </c>
      <c r="F336" t="str">
        <f>VLOOKUP(B336,Nuclides!A:F,4,FALSE)</f>
        <v>STABLE</v>
      </c>
      <c r="G336" s="3" t="str">
        <f t="shared" si="28"/>
        <v>STABLE</v>
      </c>
      <c r="H336" s="3" t="e">
        <f t="shared" si="29"/>
        <v>#VALUE!</v>
      </c>
      <c r="I336" s="3" t="e">
        <f t="shared" si="30"/>
        <v>#VALUE!</v>
      </c>
      <c r="J336" s="3" t="e">
        <f t="shared" si="31"/>
        <v>#VALUE!</v>
      </c>
      <c r="K336" s="3" t="str">
        <f t="shared" si="32"/>
        <v>Fe58</v>
      </c>
      <c r="L336" s="3" t="e" cm="1">
        <f t="array" ref="L336">SUM(($J336*EXP(-$H336*12*3600*_xlfn.SEQUENCE(L$1-1))))+$J336</f>
        <v>#VALUE!</v>
      </c>
      <c r="M336" s="3"/>
      <c r="N336" s="3"/>
    </row>
    <row r="337" spans="2:14" hidden="1" x14ac:dyDescent="0.2">
      <c r="B337" s="3">
        <v>26059</v>
      </c>
      <c r="C337" s="3">
        <v>0</v>
      </c>
      <c r="D337">
        <v>334</v>
      </c>
      <c r="E337" t="str">
        <f>VLOOKUP(B337,Nuclides!A:F,5,FALSE)</f>
        <v>Fe59</v>
      </c>
      <c r="F337">
        <f>VLOOKUP(B337,Nuclides!A:F,4,FALSE)</f>
        <v>3844368</v>
      </c>
      <c r="G337" s="3" t="str">
        <f t="shared" si="28"/>
        <v>44.5d</v>
      </c>
      <c r="H337" s="3">
        <f t="shared" si="29"/>
        <v>1.80301984763151E-7</v>
      </c>
      <c r="I337" s="3">
        <f t="shared" si="30"/>
        <v>0</v>
      </c>
      <c r="J337" s="3">
        <f t="shared" si="31"/>
        <v>0</v>
      </c>
      <c r="K337" s="3" t="str">
        <f t="shared" si="32"/>
        <v>Fe59</v>
      </c>
      <c r="L337" s="3" cm="1">
        <f t="array" ref="L337">SUM(($J337*EXP(-$H337*12*3600*_xlfn.SEQUENCE(L$1-1))))+$J337</f>
        <v>0</v>
      </c>
      <c r="M337" s="3"/>
      <c r="N337" s="3"/>
    </row>
    <row r="338" spans="2:14" hidden="1" x14ac:dyDescent="0.2">
      <c r="B338" s="3">
        <v>26060</v>
      </c>
      <c r="C338" s="3">
        <v>0</v>
      </c>
      <c r="D338">
        <v>335</v>
      </c>
      <c r="E338" t="str">
        <f>VLOOKUP(B338,Nuclides!A:F,5,FALSE)</f>
        <v>Fe60</v>
      </c>
      <c r="F338">
        <f>VLOOKUP(B338,Nuclides!A:F,4,FALSE)</f>
        <v>82680912000000</v>
      </c>
      <c r="G338" s="3" t="str">
        <f t="shared" si="28"/>
        <v>2621794.52y</v>
      </c>
      <c r="H338" s="3">
        <f t="shared" si="29"/>
        <v>8.3834002769580637E-15</v>
      </c>
      <c r="I338" s="3">
        <f t="shared" si="30"/>
        <v>0</v>
      </c>
      <c r="J338" s="3">
        <f t="shared" si="31"/>
        <v>0</v>
      </c>
      <c r="K338" s="3" t="str">
        <f t="shared" si="32"/>
        <v>Fe60</v>
      </c>
      <c r="L338" s="3" cm="1">
        <f t="array" ref="L338">SUM(($J338*EXP(-$H338*12*3600*_xlfn.SEQUENCE(L$1-1))))+$J338</f>
        <v>0</v>
      </c>
      <c r="M338" s="3"/>
      <c r="N338" s="3"/>
    </row>
    <row r="339" spans="2:14" hidden="1" x14ac:dyDescent="0.2">
      <c r="B339" s="3">
        <v>26061</v>
      </c>
      <c r="C339" s="3">
        <v>0</v>
      </c>
      <c r="D339">
        <v>336</v>
      </c>
      <c r="E339" t="str">
        <f>VLOOKUP(B339,Nuclides!A:F,5,FALSE)</f>
        <v>Fe61</v>
      </c>
      <c r="F339">
        <f>VLOOKUP(B339,Nuclides!A:F,4,FALSE)</f>
        <v>358.8</v>
      </c>
      <c r="G339" s="3" t="str">
        <f t="shared" si="28"/>
        <v>5.98min</v>
      </c>
      <c r="H339" s="3">
        <f t="shared" si="29"/>
        <v>1.9318483293198029E-3</v>
      </c>
      <c r="I339" s="3">
        <f t="shared" si="30"/>
        <v>0</v>
      </c>
      <c r="J339" s="3">
        <f t="shared" si="31"/>
        <v>0</v>
      </c>
      <c r="K339" s="3" t="str">
        <f t="shared" si="32"/>
        <v>Fe61</v>
      </c>
      <c r="L339" s="3" cm="1">
        <f t="array" ref="L339">SUM(($J339*EXP(-$H339*12*3600*_xlfn.SEQUENCE(L$1-1))))+$J339</f>
        <v>0</v>
      </c>
      <c r="M339" s="3"/>
      <c r="N339" s="3"/>
    </row>
    <row r="340" spans="2:14" hidden="1" x14ac:dyDescent="0.2">
      <c r="B340" s="3">
        <v>26062</v>
      </c>
      <c r="C340" s="3">
        <v>0</v>
      </c>
      <c r="D340">
        <v>337</v>
      </c>
      <c r="E340" t="str">
        <f>VLOOKUP(B340,Nuclides!A:F,5,FALSE)</f>
        <v>Fe62</v>
      </c>
      <c r="F340">
        <f>VLOOKUP(B340,Nuclides!A:F,4,FALSE)</f>
        <v>68</v>
      </c>
      <c r="G340" s="3" t="str">
        <f t="shared" si="28"/>
        <v>1.13min</v>
      </c>
      <c r="H340" s="3">
        <f t="shared" si="29"/>
        <v>1.0193340890587431E-2</v>
      </c>
      <c r="I340" s="3">
        <f t="shared" si="30"/>
        <v>0</v>
      </c>
      <c r="J340" s="3">
        <f t="shared" si="31"/>
        <v>0</v>
      </c>
      <c r="K340" s="3" t="str">
        <f t="shared" si="32"/>
        <v>Fe62</v>
      </c>
      <c r="L340" s="3" cm="1">
        <f t="array" ref="L340">SUM(($J340*EXP(-$H340*12*3600*_xlfn.SEQUENCE(L$1-1))))+$J340</f>
        <v>0</v>
      </c>
      <c r="M340" s="3"/>
      <c r="N340" s="3"/>
    </row>
    <row r="341" spans="2:14" hidden="1" x14ac:dyDescent="0.2">
      <c r="B341" s="3">
        <v>26063</v>
      </c>
      <c r="C341" s="3">
        <v>0</v>
      </c>
      <c r="D341">
        <v>338</v>
      </c>
      <c r="E341" t="str">
        <f>VLOOKUP(B341,Nuclides!A:F,5,FALSE)</f>
        <v>Fe63</v>
      </c>
      <c r="F341">
        <f>VLOOKUP(B341,Nuclides!A:F,4,FALSE)</f>
        <v>6.1</v>
      </c>
      <c r="G341" s="3" t="str">
        <f t="shared" si="28"/>
        <v>6.1s</v>
      </c>
      <c r="H341" s="3">
        <f t="shared" si="29"/>
        <v>0.11363068533769595</v>
      </c>
      <c r="I341" s="3">
        <f t="shared" si="30"/>
        <v>0</v>
      </c>
      <c r="J341" s="3">
        <f t="shared" si="31"/>
        <v>0</v>
      </c>
      <c r="K341" s="3" t="str">
        <f t="shared" si="32"/>
        <v>Fe63</v>
      </c>
      <c r="L341" s="3" cm="1">
        <f t="array" ref="L341">SUM(($J341*EXP(-$H341*12*3600*_xlfn.SEQUENCE(L$1-1))))+$J341</f>
        <v>0</v>
      </c>
      <c r="M341" s="3"/>
      <c r="N341" s="3"/>
    </row>
    <row r="342" spans="2:14" hidden="1" x14ac:dyDescent="0.2">
      <c r="B342" s="3">
        <v>26064</v>
      </c>
      <c r="C342" s="3">
        <v>0</v>
      </c>
      <c r="D342">
        <v>339</v>
      </c>
      <c r="E342" t="str">
        <f>VLOOKUP(B342,Nuclides!A:F,5,FALSE)</f>
        <v>Fe64</v>
      </c>
      <c r="F342">
        <f>VLOOKUP(B342,Nuclides!A:F,4,FALSE)</f>
        <v>2</v>
      </c>
      <c r="G342" s="3" t="str">
        <f t="shared" si="28"/>
        <v>2s</v>
      </c>
      <c r="H342" s="3">
        <f t="shared" si="29"/>
        <v>0.34657359027997264</v>
      </c>
      <c r="I342" s="3">
        <f t="shared" si="30"/>
        <v>0</v>
      </c>
      <c r="J342" s="3">
        <f t="shared" si="31"/>
        <v>0</v>
      </c>
      <c r="K342" s="3" t="str">
        <f t="shared" si="32"/>
        <v>Fe64</v>
      </c>
      <c r="L342" s="3" cm="1">
        <f t="array" ref="L342">SUM(($J342*EXP(-$H342*12*3600*_xlfn.SEQUENCE(L$1-1))))+$J342</f>
        <v>0</v>
      </c>
      <c r="M342" s="3"/>
      <c r="N342" s="3"/>
    </row>
    <row r="343" spans="2:14" hidden="1" x14ac:dyDescent="0.2">
      <c r="B343" s="3">
        <v>27053</v>
      </c>
      <c r="C343" s="3">
        <v>0</v>
      </c>
      <c r="D343">
        <v>340</v>
      </c>
      <c r="E343" t="str">
        <f>VLOOKUP(B343,Nuclides!A:F,5,FALSE)</f>
        <v>Co53</v>
      </c>
      <c r="F343">
        <f>VLOOKUP(B343,Nuclides!A:F,4,FALSE)</f>
        <v>0.24</v>
      </c>
      <c r="G343" s="3" t="str">
        <f t="shared" si="28"/>
        <v>0.24s</v>
      </c>
      <c r="H343" s="3">
        <f t="shared" si="29"/>
        <v>2.8881132523331057</v>
      </c>
      <c r="I343" s="3">
        <f t="shared" si="30"/>
        <v>0</v>
      </c>
      <c r="J343" s="3">
        <f t="shared" si="31"/>
        <v>0</v>
      </c>
      <c r="K343" s="3" t="str">
        <f t="shared" si="32"/>
        <v>Co53</v>
      </c>
      <c r="L343" s="3" cm="1">
        <f t="array" ref="L343">SUM(($J343*EXP(-$H343*12*3600*_xlfn.SEQUENCE(L$1-1))))+$J343</f>
        <v>0</v>
      </c>
      <c r="M343" s="3"/>
      <c r="N343" s="3"/>
    </row>
    <row r="344" spans="2:14" hidden="1" x14ac:dyDescent="0.2">
      <c r="B344" s="3">
        <v>27054</v>
      </c>
      <c r="C344" s="3">
        <v>0</v>
      </c>
      <c r="D344">
        <v>341</v>
      </c>
      <c r="E344" t="str">
        <f>VLOOKUP(B344,Nuclides!A:F,5,FALSE)</f>
        <v>Co54</v>
      </c>
      <c r="F344">
        <f>VLOOKUP(B344,Nuclides!A:F,4,FALSE)</f>
        <v>0.193</v>
      </c>
      <c r="G344" s="3" t="str">
        <f t="shared" si="28"/>
        <v>0.193s</v>
      </c>
      <c r="H344" s="3">
        <f t="shared" si="29"/>
        <v>3.5914361687043797</v>
      </c>
      <c r="I344" s="3">
        <f t="shared" si="30"/>
        <v>0</v>
      </c>
      <c r="J344" s="3">
        <f t="shared" si="31"/>
        <v>0</v>
      </c>
      <c r="K344" s="3" t="str">
        <f t="shared" si="32"/>
        <v>Co54</v>
      </c>
      <c r="L344" s="3" cm="1">
        <f t="array" ref="L344">SUM(($J344*EXP(-$H344*12*3600*_xlfn.SEQUENCE(L$1-1))))+$J344</f>
        <v>0</v>
      </c>
      <c r="M344" s="3"/>
      <c r="N344" s="3"/>
    </row>
    <row r="345" spans="2:14" hidden="1" x14ac:dyDescent="0.2">
      <c r="B345" s="3">
        <v>27055</v>
      </c>
      <c r="C345" s="3">
        <v>0</v>
      </c>
      <c r="D345">
        <v>342</v>
      </c>
      <c r="E345" t="str">
        <f>VLOOKUP(B345,Nuclides!A:F,5,FALSE)</f>
        <v>Co55</v>
      </c>
      <c r="F345">
        <f>VLOOKUP(B345,Nuclides!A:F,4,FALSE)</f>
        <v>63108</v>
      </c>
      <c r="G345" s="3" t="str">
        <f t="shared" si="28"/>
        <v>17.53h</v>
      </c>
      <c r="H345" s="3">
        <f t="shared" si="29"/>
        <v>1.0983507329656229E-5</v>
      </c>
      <c r="I345" s="3">
        <f t="shared" si="30"/>
        <v>0</v>
      </c>
      <c r="J345" s="3">
        <f t="shared" si="31"/>
        <v>0</v>
      </c>
      <c r="K345" s="3" t="str">
        <f t="shared" si="32"/>
        <v>Co55</v>
      </c>
      <c r="L345" s="3" cm="1">
        <f t="array" ref="L345">SUM(($J345*EXP(-$H345*12*3600*_xlfn.SEQUENCE(L$1-1))))+$J345</f>
        <v>0</v>
      </c>
      <c r="M345" s="3"/>
      <c r="N345" s="3"/>
    </row>
    <row r="346" spans="2:14" hidden="1" x14ac:dyDescent="0.2">
      <c r="B346" s="3">
        <v>27056</v>
      </c>
      <c r="C346" s="3">
        <v>0</v>
      </c>
      <c r="D346">
        <v>343</v>
      </c>
      <c r="E346" t="str">
        <f>VLOOKUP(B346,Nuclides!A:F,5,FALSE)</f>
        <v>Co56</v>
      </c>
      <c r="F346">
        <f>VLOOKUP(B346,Nuclides!A:F,4,FALSE)</f>
        <v>6673190.4000000004</v>
      </c>
      <c r="G346" s="3" t="str">
        <f t="shared" si="28"/>
        <v>77.24d</v>
      </c>
      <c r="H346" s="3">
        <f t="shared" si="29"/>
        <v>1.0387043363245641E-7</v>
      </c>
      <c r="I346" s="3">
        <f t="shared" si="30"/>
        <v>0</v>
      </c>
      <c r="J346" s="3">
        <f t="shared" si="31"/>
        <v>0</v>
      </c>
      <c r="K346" s="3" t="str">
        <f t="shared" si="32"/>
        <v>Co56</v>
      </c>
      <c r="L346" s="3" cm="1">
        <f t="array" ref="L346">SUM(($J346*EXP(-$H346*12*3600*_xlfn.SEQUENCE(L$1-1))))+$J346</f>
        <v>0</v>
      </c>
      <c r="M346" s="3"/>
      <c r="N346" s="3"/>
    </row>
    <row r="347" spans="2:14" hidden="1" x14ac:dyDescent="0.2">
      <c r="B347" s="3">
        <v>27057</v>
      </c>
      <c r="C347" s="3">
        <v>0</v>
      </c>
      <c r="D347">
        <v>344</v>
      </c>
      <c r="E347" t="str">
        <f>VLOOKUP(B347,Nuclides!A:F,5,FALSE)</f>
        <v>Co57</v>
      </c>
      <c r="F347">
        <f>VLOOKUP(B347,Nuclides!A:F,4,FALSE)</f>
        <v>23478336</v>
      </c>
      <c r="G347" s="3" t="str">
        <f t="shared" si="28"/>
        <v>271.74d</v>
      </c>
      <c r="H347" s="3">
        <f t="shared" si="29"/>
        <v>2.9522840995202781E-8</v>
      </c>
      <c r="I347" s="3">
        <f t="shared" si="30"/>
        <v>0</v>
      </c>
      <c r="J347" s="3">
        <f t="shared" si="31"/>
        <v>0</v>
      </c>
      <c r="K347" s="3" t="str">
        <f t="shared" si="32"/>
        <v>Co57</v>
      </c>
      <c r="L347" s="3" cm="1">
        <f t="array" ref="L347">SUM(($J347*EXP(-$H347*12*3600*_xlfn.SEQUENCE(L$1-1))))+$J347</f>
        <v>0</v>
      </c>
      <c r="M347" s="3"/>
      <c r="N347" s="3"/>
    </row>
    <row r="348" spans="2:14" hidden="1" x14ac:dyDescent="0.2">
      <c r="B348" s="3">
        <v>27058</v>
      </c>
      <c r="C348" s="3">
        <v>0</v>
      </c>
      <c r="D348">
        <v>345</v>
      </c>
      <c r="E348" t="str">
        <f>VLOOKUP(B348,Nuclides!A:F,5,FALSE)</f>
        <v>Co58</v>
      </c>
      <c r="F348">
        <f>VLOOKUP(B348,Nuclides!A:F,4,FALSE)</f>
        <v>6122304</v>
      </c>
      <c r="G348" s="3" t="str">
        <f t="shared" si="28"/>
        <v>70.86d</v>
      </c>
      <c r="H348" s="3">
        <f t="shared" si="29"/>
        <v>1.1321672046339831E-7</v>
      </c>
      <c r="I348" s="3">
        <f t="shared" si="30"/>
        <v>0</v>
      </c>
      <c r="J348" s="3">
        <f t="shared" si="31"/>
        <v>0</v>
      </c>
      <c r="K348" s="3" t="str">
        <f t="shared" si="32"/>
        <v>Co58</v>
      </c>
      <c r="L348" s="3" cm="1">
        <f t="array" ref="L348">SUM(($J348*EXP(-$H348*12*3600*_xlfn.SEQUENCE(L$1-1))))+$J348</f>
        <v>0</v>
      </c>
      <c r="M348" s="3"/>
      <c r="N348" s="3"/>
    </row>
    <row r="349" spans="2:14" hidden="1" x14ac:dyDescent="0.2">
      <c r="B349" s="3">
        <v>27059</v>
      </c>
      <c r="C349" s="3">
        <v>0</v>
      </c>
      <c r="D349">
        <v>346</v>
      </c>
      <c r="E349" t="str">
        <f>VLOOKUP(B349,Nuclides!A:F,5,FALSE)</f>
        <v>Co59</v>
      </c>
      <c r="F349" t="str">
        <f>VLOOKUP(B349,Nuclides!A:F,4,FALSE)</f>
        <v>STABLE</v>
      </c>
      <c r="G349" s="3" t="str">
        <f t="shared" si="28"/>
        <v>STABLE</v>
      </c>
      <c r="H349" s="3" t="e">
        <f t="shared" si="29"/>
        <v>#VALUE!</v>
      </c>
      <c r="I349" s="3" t="e">
        <f t="shared" si="30"/>
        <v>#VALUE!</v>
      </c>
      <c r="J349" s="3" t="e">
        <f t="shared" si="31"/>
        <v>#VALUE!</v>
      </c>
      <c r="K349" s="3" t="str">
        <f t="shared" si="32"/>
        <v>Co59</v>
      </c>
      <c r="L349" s="3" t="e" cm="1">
        <f t="array" ref="L349">SUM(($J349*EXP(-$H349*12*3600*_xlfn.SEQUENCE(L$1-1))))+$J349</f>
        <v>#VALUE!</v>
      </c>
      <c r="M349" s="3"/>
      <c r="N349" s="3"/>
    </row>
    <row r="350" spans="2:14" hidden="1" x14ac:dyDescent="0.2">
      <c r="B350" s="3">
        <v>27060</v>
      </c>
      <c r="C350" s="3">
        <v>0</v>
      </c>
      <c r="D350">
        <v>347</v>
      </c>
      <c r="E350" t="str">
        <f>VLOOKUP(B350,Nuclides!A:F,5,FALSE)</f>
        <v>Co60</v>
      </c>
      <c r="F350">
        <f>VLOOKUP(B350,Nuclides!A:F,4,FALSE)</f>
        <v>166344192</v>
      </c>
      <c r="G350" s="3" t="str">
        <f t="shared" si="28"/>
        <v>5.27y</v>
      </c>
      <c r="H350" s="3">
        <f t="shared" si="29"/>
        <v>4.166945489506152E-9</v>
      </c>
      <c r="I350" s="3">
        <f t="shared" si="30"/>
        <v>0</v>
      </c>
      <c r="J350" s="3">
        <f t="shared" si="31"/>
        <v>0</v>
      </c>
      <c r="K350" s="3" t="str">
        <f t="shared" si="32"/>
        <v>Co60</v>
      </c>
      <c r="L350" s="3" cm="1">
        <f t="array" ref="L350">SUM(($J350*EXP(-$H350*12*3600*_xlfn.SEQUENCE(L$1-1))))+$J350</f>
        <v>0</v>
      </c>
      <c r="M350" s="3"/>
      <c r="N350" s="3"/>
    </row>
    <row r="351" spans="2:14" hidden="1" x14ac:dyDescent="0.2">
      <c r="B351" s="3">
        <v>27061</v>
      </c>
      <c r="C351" s="3">
        <v>0</v>
      </c>
      <c r="D351">
        <v>348</v>
      </c>
      <c r="E351" t="str">
        <f>VLOOKUP(B351,Nuclides!A:F,5,FALSE)</f>
        <v>Co61</v>
      </c>
      <c r="F351">
        <f>VLOOKUP(B351,Nuclides!A:F,4,FALSE)</f>
        <v>5936.4</v>
      </c>
      <c r="G351" s="3" t="str">
        <f t="shared" si="28"/>
        <v>1.65h</v>
      </c>
      <c r="H351" s="3">
        <f t="shared" si="29"/>
        <v>1.1676220951417447E-4</v>
      </c>
      <c r="I351" s="3">
        <f t="shared" si="30"/>
        <v>0</v>
      </c>
      <c r="J351" s="3">
        <f t="shared" si="31"/>
        <v>0</v>
      </c>
      <c r="K351" s="3" t="str">
        <f t="shared" si="32"/>
        <v>Co61</v>
      </c>
      <c r="L351" s="3" cm="1">
        <f t="array" ref="L351">SUM(($J351*EXP(-$H351*12*3600*_xlfn.SEQUENCE(L$1-1))))+$J351</f>
        <v>0</v>
      </c>
      <c r="M351" s="3"/>
      <c r="N351" s="3"/>
    </row>
    <row r="352" spans="2:14" hidden="1" x14ac:dyDescent="0.2">
      <c r="B352" s="3">
        <v>27062</v>
      </c>
      <c r="C352" s="3">
        <v>0</v>
      </c>
      <c r="D352">
        <v>349</v>
      </c>
      <c r="E352" t="str">
        <f>VLOOKUP(B352,Nuclides!A:F,5,FALSE)</f>
        <v>Co62</v>
      </c>
      <c r="F352">
        <f>VLOOKUP(B352,Nuclides!A:F,4,FALSE)</f>
        <v>90</v>
      </c>
      <c r="G352" s="3" t="str">
        <f t="shared" si="28"/>
        <v>1.5min</v>
      </c>
      <c r="H352" s="3">
        <f t="shared" si="29"/>
        <v>7.7016353395549476E-3</v>
      </c>
      <c r="I352" s="3">
        <f t="shared" si="30"/>
        <v>0</v>
      </c>
      <c r="J352" s="3">
        <f t="shared" si="31"/>
        <v>0</v>
      </c>
      <c r="K352" s="3" t="str">
        <f t="shared" si="32"/>
        <v>Co62</v>
      </c>
      <c r="L352" s="3" cm="1">
        <f t="array" ref="L352">SUM(($J352*EXP(-$H352*12*3600*_xlfn.SEQUENCE(L$1-1))))+$J352</f>
        <v>0</v>
      </c>
      <c r="M352" s="3"/>
      <c r="N352" s="3"/>
    </row>
    <row r="353" spans="2:14" hidden="1" x14ac:dyDescent="0.2">
      <c r="B353" s="3">
        <v>27063</v>
      </c>
      <c r="C353" s="3">
        <v>0</v>
      </c>
      <c r="D353">
        <v>350</v>
      </c>
      <c r="E353" t="str">
        <f>VLOOKUP(B353,Nuclides!A:F,5,FALSE)</f>
        <v>Co63</v>
      </c>
      <c r="F353">
        <f>VLOOKUP(B353,Nuclides!A:F,4,FALSE)</f>
        <v>27.4</v>
      </c>
      <c r="G353" s="3" t="str">
        <f t="shared" si="28"/>
        <v>27.4s</v>
      </c>
      <c r="H353" s="3">
        <f t="shared" si="29"/>
        <v>2.5297342356202384E-2</v>
      </c>
      <c r="I353" s="3">
        <f t="shared" si="30"/>
        <v>0</v>
      </c>
      <c r="J353" s="3">
        <f t="shared" si="31"/>
        <v>0</v>
      </c>
      <c r="K353" s="3" t="str">
        <f t="shared" si="32"/>
        <v>Co63</v>
      </c>
      <c r="L353" s="3" cm="1">
        <f t="array" ref="L353">SUM(($J353*EXP(-$H353*12*3600*_xlfn.SEQUENCE(L$1-1))))+$J353</f>
        <v>0</v>
      </c>
      <c r="M353" s="3"/>
      <c r="N353" s="3"/>
    </row>
    <row r="354" spans="2:14" hidden="1" x14ac:dyDescent="0.2">
      <c r="B354" s="3">
        <v>27064</v>
      </c>
      <c r="C354" s="3">
        <v>0</v>
      </c>
      <c r="D354">
        <v>351</v>
      </c>
      <c r="E354" t="str">
        <f>VLOOKUP(B354,Nuclides!A:F,5,FALSE)</f>
        <v>Co64</v>
      </c>
      <c r="F354">
        <f>VLOOKUP(B354,Nuclides!A:F,4,FALSE)</f>
        <v>0.3</v>
      </c>
      <c r="G354" s="3" t="str">
        <f t="shared" si="28"/>
        <v>0.3s</v>
      </c>
      <c r="H354" s="3">
        <f t="shared" si="29"/>
        <v>2.3104906018664844</v>
      </c>
      <c r="I354" s="3">
        <f t="shared" si="30"/>
        <v>0</v>
      </c>
      <c r="J354" s="3">
        <f t="shared" si="31"/>
        <v>0</v>
      </c>
      <c r="K354" s="3" t="str">
        <f t="shared" si="32"/>
        <v>Co64</v>
      </c>
      <c r="L354" s="3" cm="1">
        <f t="array" ref="L354">SUM(($J354*EXP(-$H354*12*3600*_xlfn.SEQUENCE(L$1-1))))+$J354</f>
        <v>0</v>
      </c>
      <c r="M354" s="3"/>
      <c r="N354" s="3"/>
    </row>
    <row r="355" spans="2:14" hidden="1" x14ac:dyDescent="0.2">
      <c r="B355" s="3">
        <v>28053</v>
      </c>
      <c r="C355" s="3">
        <v>0</v>
      </c>
      <c r="D355">
        <v>352</v>
      </c>
      <c r="E355" t="str">
        <f>VLOOKUP(B355,Nuclides!A:F,5,FALSE)</f>
        <v>Ni53</v>
      </c>
      <c r="F355">
        <f>VLOOKUP(B355,Nuclides!A:F,4,FALSE)</f>
        <v>5.5199999999999999E-2</v>
      </c>
      <c r="G355" s="3" t="str">
        <f t="shared" si="28"/>
        <v>0.0552s</v>
      </c>
      <c r="H355" s="3">
        <f t="shared" si="29"/>
        <v>12.557014140578719</v>
      </c>
      <c r="I355" s="3">
        <f t="shared" si="30"/>
        <v>0</v>
      </c>
      <c r="J355" s="3">
        <f t="shared" si="31"/>
        <v>0</v>
      </c>
      <c r="K355" s="3" t="str">
        <f t="shared" si="32"/>
        <v>Ni53</v>
      </c>
      <c r="L355" s="3" cm="1">
        <f t="array" ref="L355">SUM(($J355*EXP(-$H355*12*3600*_xlfn.SEQUENCE(L$1-1))))+$J355</f>
        <v>0</v>
      </c>
      <c r="M355" s="3"/>
      <c r="N355" s="3"/>
    </row>
    <row r="356" spans="2:14" hidden="1" x14ac:dyDescent="0.2">
      <c r="B356" s="3">
        <v>28054</v>
      </c>
      <c r="C356" s="3">
        <v>0</v>
      </c>
      <c r="D356">
        <v>353</v>
      </c>
      <c r="E356" t="str">
        <f>VLOOKUP(B356,Nuclides!A:F,5,FALSE)</f>
        <v>Ni54</v>
      </c>
      <c r="F356">
        <f>VLOOKUP(B356,Nuclides!A:F,4,FALSE)</f>
        <v>0.1142</v>
      </c>
      <c r="G356" s="3" t="str">
        <f t="shared" si="28"/>
        <v>0.1142s</v>
      </c>
      <c r="H356" s="3">
        <f t="shared" si="29"/>
        <v>6.0695900224163335</v>
      </c>
      <c r="I356" s="3">
        <f t="shared" si="30"/>
        <v>0</v>
      </c>
      <c r="J356" s="3">
        <f t="shared" si="31"/>
        <v>0</v>
      </c>
      <c r="K356" s="3" t="str">
        <f t="shared" si="32"/>
        <v>Ni54</v>
      </c>
      <c r="L356" s="3" cm="1">
        <f t="array" ref="L356">SUM(($J356*EXP(-$H356*12*3600*_xlfn.SEQUENCE(L$1-1))))+$J356</f>
        <v>0</v>
      </c>
      <c r="M356" s="3"/>
      <c r="N356" s="3"/>
    </row>
    <row r="357" spans="2:14" hidden="1" x14ac:dyDescent="0.2">
      <c r="B357" s="3">
        <v>28055</v>
      </c>
      <c r="C357" s="3">
        <v>0</v>
      </c>
      <c r="D357">
        <v>354</v>
      </c>
      <c r="E357" t="str">
        <f>VLOOKUP(B357,Nuclides!A:F,5,FALSE)</f>
        <v>Ni55</v>
      </c>
      <c r="F357">
        <f>VLOOKUP(B357,Nuclides!A:F,4,FALSE)</f>
        <v>0.20469999999999999</v>
      </c>
      <c r="G357" s="3" t="str">
        <f t="shared" si="28"/>
        <v>0.2047s</v>
      </c>
      <c r="H357" s="3">
        <f t="shared" si="29"/>
        <v>3.3861611165605536</v>
      </c>
      <c r="I357" s="3">
        <f t="shared" si="30"/>
        <v>0</v>
      </c>
      <c r="J357" s="3">
        <f t="shared" si="31"/>
        <v>0</v>
      </c>
      <c r="K357" s="3" t="str">
        <f t="shared" si="32"/>
        <v>Ni55</v>
      </c>
      <c r="L357" s="3" cm="1">
        <f t="array" ref="L357">SUM(($J357*EXP(-$H357*12*3600*_xlfn.SEQUENCE(L$1-1))))+$J357</f>
        <v>0</v>
      </c>
      <c r="M357" s="3"/>
      <c r="N357" s="3"/>
    </row>
    <row r="358" spans="2:14" hidden="1" x14ac:dyDescent="0.2">
      <c r="B358" s="3">
        <v>28056</v>
      </c>
      <c r="C358" s="3">
        <v>0</v>
      </c>
      <c r="D358">
        <v>355</v>
      </c>
      <c r="E358" t="str">
        <f>VLOOKUP(B358,Nuclides!A:F,5,FALSE)</f>
        <v>Ni56</v>
      </c>
      <c r="F358">
        <f>VLOOKUP(B358,Nuclides!A:F,4,FALSE)</f>
        <v>524880</v>
      </c>
      <c r="G358" s="3" t="str">
        <f t="shared" si="28"/>
        <v>6.08d</v>
      </c>
      <c r="H358" s="3">
        <f t="shared" si="29"/>
        <v>1.3205821912817126E-6</v>
      </c>
      <c r="I358" s="3">
        <f t="shared" si="30"/>
        <v>0</v>
      </c>
      <c r="J358" s="3">
        <f t="shared" si="31"/>
        <v>0</v>
      </c>
      <c r="K358" s="3" t="str">
        <f t="shared" si="32"/>
        <v>Ni56</v>
      </c>
      <c r="L358" s="3" cm="1">
        <f t="array" ref="L358">SUM(($J358*EXP(-$H358*12*3600*_xlfn.SEQUENCE(L$1-1))))+$J358</f>
        <v>0</v>
      </c>
      <c r="M358" s="3"/>
      <c r="N358" s="3"/>
    </row>
    <row r="359" spans="2:14" hidden="1" x14ac:dyDescent="0.2">
      <c r="B359" s="3">
        <v>28057</v>
      </c>
      <c r="C359" s="3">
        <v>0</v>
      </c>
      <c r="D359">
        <v>356</v>
      </c>
      <c r="E359" t="str">
        <f>VLOOKUP(B359,Nuclides!A:F,5,FALSE)</f>
        <v>Ni57</v>
      </c>
      <c r="F359">
        <f>VLOOKUP(B359,Nuclides!A:F,4,FALSE)</f>
        <v>128160</v>
      </c>
      <c r="G359" s="3" t="str">
        <f t="shared" si="28"/>
        <v>1.48d</v>
      </c>
      <c r="H359" s="3">
        <f t="shared" si="29"/>
        <v>5.4084517833953281E-6</v>
      </c>
      <c r="I359" s="3">
        <f t="shared" si="30"/>
        <v>0</v>
      </c>
      <c r="J359" s="3">
        <f t="shared" si="31"/>
        <v>0</v>
      </c>
      <c r="K359" s="3" t="str">
        <f t="shared" si="32"/>
        <v>Ni57</v>
      </c>
      <c r="L359" s="3" cm="1">
        <f t="array" ref="L359">SUM(($J359*EXP(-$H359*12*3600*_xlfn.SEQUENCE(L$1-1))))+$J359</f>
        <v>0</v>
      </c>
      <c r="M359" s="3"/>
      <c r="N359" s="3"/>
    </row>
    <row r="360" spans="2:14" hidden="1" x14ac:dyDescent="0.2">
      <c r="B360" s="3">
        <v>28058</v>
      </c>
      <c r="C360" s="3">
        <v>0</v>
      </c>
      <c r="D360">
        <v>357</v>
      </c>
      <c r="E360" t="str">
        <f>VLOOKUP(B360,Nuclides!A:F,5,FALSE)</f>
        <v>Ni58</v>
      </c>
      <c r="F360" t="str">
        <f>VLOOKUP(B360,Nuclides!A:F,4,FALSE)</f>
        <v>STABLE</v>
      </c>
      <c r="G360" s="3" t="str">
        <f t="shared" si="28"/>
        <v>STABLE</v>
      </c>
      <c r="H360" s="3" t="e">
        <f t="shared" si="29"/>
        <v>#VALUE!</v>
      </c>
      <c r="I360" s="3" t="e">
        <f t="shared" si="30"/>
        <v>#VALUE!</v>
      </c>
      <c r="J360" s="3" t="e">
        <f t="shared" si="31"/>
        <v>#VALUE!</v>
      </c>
      <c r="K360" s="3" t="str">
        <f t="shared" si="32"/>
        <v>Ni58</v>
      </c>
      <c r="L360" s="3" t="e" cm="1">
        <f t="array" ref="L360">SUM(($J360*EXP(-$H360*12*3600*_xlfn.SEQUENCE(L$1-1))))+$J360</f>
        <v>#VALUE!</v>
      </c>
      <c r="M360" s="3"/>
      <c r="N360" s="3"/>
    </row>
    <row r="361" spans="2:14" hidden="1" x14ac:dyDescent="0.2">
      <c r="B361" s="3">
        <v>28059</v>
      </c>
      <c r="C361" s="3">
        <v>0</v>
      </c>
      <c r="D361">
        <v>358</v>
      </c>
      <c r="E361" t="str">
        <f>VLOOKUP(B361,Nuclides!A:F,5,FALSE)</f>
        <v>Ni59</v>
      </c>
      <c r="F361">
        <f>VLOOKUP(B361,Nuclides!A:F,4,FALSE)</f>
        <v>2398377600000</v>
      </c>
      <c r="G361" s="3" t="str">
        <f t="shared" si="28"/>
        <v>76052.05y</v>
      </c>
      <c r="H361" s="3">
        <f t="shared" si="29"/>
        <v>2.8900669375829115E-13</v>
      </c>
      <c r="I361" s="3">
        <f t="shared" si="30"/>
        <v>0</v>
      </c>
      <c r="J361" s="3">
        <f t="shared" si="31"/>
        <v>0</v>
      </c>
      <c r="K361" s="3" t="str">
        <f t="shared" si="32"/>
        <v>Ni59</v>
      </c>
      <c r="L361" s="3" cm="1">
        <f t="array" ref="L361">SUM(($J361*EXP(-$H361*12*3600*_xlfn.SEQUENCE(L$1-1))))+$J361</f>
        <v>0</v>
      </c>
      <c r="M361" s="3"/>
      <c r="N361" s="3"/>
    </row>
    <row r="362" spans="2:14" hidden="1" x14ac:dyDescent="0.2">
      <c r="B362" s="3">
        <v>28060</v>
      </c>
      <c r="C362" s="3">
        <v>0</v>
      </c>
      <c r="D362">
        <v>359</v>
      </c>
      <c r="E362" t="str">
        <f>VLOOKUP(B362,Nuclides!A:F,5,FALSE)</f>
        <v>Ni60</v>
      </c>
      <c r="F362" t="str">
        <f>VLOOKUP(B362,Nuclides!A:F,4,FALSE)</f>
        <v>STABLE</v>
      </c>
      <c r="G362" s="3" t="str">
        <f t="shared" si="28"/>
        <v>STABLE</v>
      </c>
      <c r="H362" s="3" t="e">
        <f t="shared" si="29"/>
        <v>#VALUE!</v>
      </c>
      <c r="I362" s="3" t="e">
        <f t="shared" si="30"/>
        <v>#VALUE!</v>
      </c>
      <c r="J362" s="3" t="e">
        <f t="shared" si="31"/>
        <v>#VALUE!</v>
      </c>
      <c r="K362" s="3" t="str">
        <f t="shared" si="32"/>
        <v>Ni60</v>
      </c>
      <c r="L362" s="3" t="e" cm="1">
        <f t="array" ref="L362">SUM(($J362*EXP(-$H362*12*3600*_xlfn.SEQUENCE(L$1-1))))+$J362</f>
        <v>#VALUE!</v>
      </c>
      <c r="M362" s="3"/>
      <c r="N362" s="3"/>
    </row>
    <row r="363" spans="2:14" hidden="1" x14ac:dyDescent="0.2">
      <c r="B363" s="3">
        <v>28061</v>
      </c>
      <c r="C363" s="3">
        <v>0</v>
      </c>
      <c r="D363">
        <v>360</v>
      </c>
      <c r="E363" t="str">
        <f>VLOOKUP(B363,Nuclides!A:F,5,FALSE)</f>
        <v>Ni61</v>
      </c>
      <c r="F363" t="str">
        <f>VLOOKUP(B363,Nuclides!A:F,4,FALSE)</f>
        <v>STABLE</v>
      </c>
      <c r="G363" s="3" t="str">
        <f t="shared" si="28"/>
        <v>STABLE</v>
      </c>
      <c r="H363" s="3" t="e">
        <f t="shared" si="29"/>
        <v>#VALUE!</v>
      </c>
      <c r="I363" s="3" t="e">
        <f t="shared" si="30"/>
        <v>#VALUE!</v>
      </c>
      <c r="J363" s="3" t="e">
        <f t="shared" si="31"/>
        <v>#VALUE!</v>
      </c>
      <c r="K363" s="3" t="str">
        <f t="shared" si="32"/>
        <v>Ni61</v>
      </c>
      <c r="L363" s="3" t="e" cm="1">
        <f t="array" ref="L363">SUM(($J363*EXP(-$H363*12*3600*_xlfn.SEQUENCE(L$1-1))))+$J363</f>
        <v>#VALUE!</v>
      </c>
      <c r="M363" s="3"/>
      <c r="N363" s="3"/>
    </row>
    <row r="364" spans="2:14" hidden="1" x14ac:dyDescent="0.2">
      <c r="B364" s="3">
        <v>28062</v>
      </c>
      <c r="C364" s="3">
        <v>0</v>
      </c>
      <c r="D364">
        <v>361</v>
      </c>
      <c r="E364" t="str">
        <f>VLOOKUP(B364,Nuclides!A:F,5,FALSE)</f>
        <v>Ni62</v>
      </c>
      <c r="F364" t="str">
        <f>VLOOKUP(B364,Nuclides!A:F,4,FALSE)</f>
        <v>STABLE</v>
      </c>
      <c r="G364" s="3" t="str">
        <f t="shared" si="28"/>
        <v>STABLE</v>
      </c>
      <c r="H364" s="3" t="e">
        <f t="shared" si="29"/>
        <v>#VALUE!</v>
      </c>
      <c r="I364" s="3" t="e">
        <f t="shared" si="30"/>
        <v>#VALUE!</v>
      </c>
      <c r="J364" s="3" t="e">
        <f t="shared" si="31"/>
        <v>#VALUE!</v>
      </c>
      <c r="K364" s="3" t="str">
        <f t="shared" si="32"/>
        <v>Ni62</v>
      </c>
      <c r="L364" s="3" t="e" cm="1">
        <f t="array" ref="L364">SUM(($J364*EXP(-$H364*12*3600*_xlfn.SEQUENCE(L$1-1))))+$J364</f>
        <v>#VALUE!</v>
      </c>
      <c r="M364" s="3"/>
      <c r="N364" s="3"/>
    </row>
    <row r="365" spans="2:14" hidden="1" x14ac:dyDescent="0.2">
      <c r="B365" s="3">
        <v>28063</v>
      </c>
      <c r="C365" s="3">
        <v>0</v>
      </c>
      <c r="D365">
        <v>362</v>
      </c>
      <c r="E365" t="str">
        <f>VLOOKUP(B365,Nuclides!A:F,5,FALSE)</f>
        <v>Ni63</v>
      </c>
      <c r="F365">
        <f>VLOOKUP(B365,Nuclides!A:F,4,FALSE)</f>
        <v>3193629120</v>
      </c>
      <c r="G365" s="3" t="str">
        <f t="shared" si="28"/>
        <v>101.27y</v>
      </c>
      <c r="H365" s="3">
        <f t="shared" si="29"/>
        <v>2.1704060005563365E-10</v>
      </c>
      <c r="I365" s="3">
        <f t="shared" si="30"/>
        <v>0</v>
      </c>
      <c r="J365" s="3">
        <f t="shared" si="31"/>
        <v>0</v>
      </c>
      <c r="K365" s="3" t="str">
        <f t="shared" si="32"/>
        <v>Ni63</v>
      </c>
      <c r="L365" s="3" cm="1">
        <f t="array" ref="L365">SUM(($J365*EXP(-$H365*12*3600*_xlfn.SEQUENCE(L$1-1))))+$J365</f>
        <v>0</v>
      </c>
      <c r="M365" s="3"/>
      <c r="N365" s="3"/>
    </row>
    <row r="366" spans="2:14" hidden="1" x14ac:dyDescent="0.2">
      <c r="B366" s="3">
        <v>28064</v>
      </c>
      <c r="C366" s="3">
        <v>0</v>
      </c>
      <c r="D366">
        <v>363</v>
      </c>
      <c r="E366" t="str">
        <f>VLOOKUP(B366,Nuclides!A:F,5,FALSE)</f>
        <v>Ni64</v>
      </c>
      <c r="F366" t="str">
        <f>VLOOKUP(B366,Nuclides!A:F,4,FALSE)</f>
        <v>STABLE</v>
      </c>
      <c r="G366" s="3" t="str">
        <f t="shared" si="28"/>
        <v>STABLE</v>
      </c>
      <c r="H366" s="3" t="e">
        <f t="shared" si="29"/>
        <v>#VALUE!</v>
      </c>
      <c r="I366" s="3" t="e">
        <f t="shared" si="30"/>
        <v>#VALUE!</v>
      </c>
      <c r="J366" s="3" t="e">
        <f t="shared" si="31"/>
        <v>#VALUE!</v>
      </c>
      <c r="K366" s="3" t="str">
        <f t="shared" si="32"/>
        <v>Ni64</v>
      </c>
      <c r="L366" s="3" t="e" cm="1">
        <f t="array" ref="L366">SUM(($J366*EXP(-$H366*12*3600*_xlfn.SEQUENCE(L$1-1))))+$J366</f>
        <v>#VALUE!</v>
      </c>
      <c r="M366" s="3"/>
      <c r="N366" s="3"/>
    </row>
    <row r="367" spans="2:14" hidden="1" x14ac:dyDescent="0.2">
      <c r="B367" s="3">
        <v>28065</v>
      </c>
      <c r="C367" s="3">
        <v>0</v>
      </c>
      <c r="D367">
        <v>364</v>
      </c>
      <c r="E367" t="str">
        <f>VLOOKUP(B367,Nuclides!A:F,5,FALSE)</f>
        <v>Ni65</v>
      </c>
      <c r="F367">
        <f>VLOOKUP(B367,Nuclides!A:F,4,FALSE)</f>
        <v>9063</v>
      </c>
      <c r="G367" s="3" t="str">
        <f t="shared" si="28"/>
        <v>2.52h</v>
      </c>
      <c r="H367" s="3">
        <f t="shared" si="29"/>
        <v>7.6480986490118651E-5</v>
      </c>
      <c r="I367" s="3">
        <f t="shared" si="30"/>
        <v>0</v>
      </c>
      <c r="J367" s="3">
        <f t="shared" si="31"/>
        <v>0</v>
      </c>
      <c r="K367" s="3" t="str">
        <f t="shared" si="32"/>
        <v>Ni65</v>
      </c>
      <c r="L367" s="3" cm="1">
        <f t="array" ref="L367">SUM(($J367*EXP(-$H367*12*3600*_xlfn.SEQUENCE(L$1-1))))+$J367</f>
        <v>0</v>
      </c>
      <c r="M367" s="3"/>
      <c r="N367" s="3"/>
    </row>
    <row r="368" spans="2:14" hidden="1" x14ac:dyDescent="0.2">
      <c r="B368" s="3">
        <v>28066</v>
      </c>
      <c r="C368" s="3">
        <v>0</v>
      </c>
      <c r="D368">
        <v>365</v>
      </c>
      <c r="E368" t="str">
        <f>VLOOKUP(B368,Nuclides!A:F,5,FALSE)</f>
        <v>Ni66</v>
      </c>
      <c r="F368">
        <f>VLOOKUP(B368,Nuclides!A:F,4,FALSE)</f>
        <v>196560</v>
      </c>
      <c r="G368" s="3" t="str">
        <f t="shared" si="28"/>
        <v>2.28d</v>
      </c>
      <c r="H368" s="3">
        <f t="shared" si="29"/>
        <v>3.526389807488529E-6</v>
      </c>
      <c r="I368" s="3">
        <f t="shared" si="30"/>
        <v>0</v>
      </c>
      <c r="J368" s="3">
        <f t="shared" si="31"/>
        <v>0</v>
      </c>
      <c r="K368" s="3" t="str">
        <f t="shared" si="32"/>
        <v>Ni66</v>
      </c>
      <c r="L368" s="3" cm="1">
        <f t="array" ref="L368">SUM(($J368*EXP(-$H368*12*3600*_xlfn.SEQUENCE(L$1-1))))+$J368</f>
        <v>0</v>
      </c>
      <c r="M368" s="3"/>
      <c r="N368" s="3"/>
    </row>
    <row r="369" spans="2:14" hidden="1" x14ac:dyDescent="0.2">
      <c r="B369" s="3">
        <v>28067</v>
      </c>
      <c r="C369" s="3">
        <v>0</v>
      </c>
      <c r="D369">
        <v>366</v>
      </c>
      <c r="E369" t="str">
        <f>VLOOKUP(B369,Nuclides!A:F,5,FALSE)</f>
        <v>Ni67</v>
      </c>
      <c r="F369">
        <f>VLOOKUP(B369,Nuclides!A:F,4,FALSE)</f>
        <v>21</v>
      </c>
      <c r="G369" s="3" t="str">
        <f t="shared" si="28"/>
        <v>21s</v>
      </c>
      <c r="H369" s="3">
        <f t="shared" si="29"/>
        <v>3.3007008598092635E-2</v>
      </c>
      <c r="I369" s="3">
        <f t="shared" si="30"/>
        <v>0</v>
      </c>
      <c r="J369" s="3">
        <f t="shared" si="31"/>
        <v>0</v>
      </c>
      <c r="K369" s="3" t="str">
        <f t="shared" si="32"/>
        <v>Ni67</v>
      </c>
      <c r="L369" s="3" cm="1">
        <f t="array" ref="L369">SUM(($J369*EXP(-$H369*12*3600*_xlfn.SEQUENCE(L$1-1))))+$J369</f>
        <v>0</v>
      </c>
      <c r="M369" s="3"/>
      <c r="N369" s="3"/>
    </row>
    <row r="370" spans="2:14" hidden="1" x14ac:dyDescent="0.2">
      <c r="B370" s="3">
        <v>28068</v>
      </c>
      <c r="C370" s="3">
        <v>0</v>
      </c>
      <c r="D370">
        <v>367</v>
      </c>
      <c r="E370" t="str">
        <f>VLOOKUP(B370,Nuclides!A:F,5,FALSE)</f>
        <v>Ni68</v>
      </c>
      <c r="F370">
        <f>VLOOKUP(B370,Nuclides!A:F,4,FALSE)</f>
        <v>29</v>
      </c>
      <c r="G370" s="3" t="str">
        <f t="shared" si="28"/>
        <v>29s</v>
      </c>
      <c r="H370" s="3">
        <f t="shared" si="29"/>
        <v>2.3901626915860182E-2</v>
      </c>
      <c r="I370" s="3">
        <f t="shared" si="30"/>
        <v>0</v>
      </c>
      <c r="J370" s="3">
        <f t="shared" si="31"/>
        <v>0</v>
      </c>
      <c r="K370" s="3" t="str">
        <f t="shared" si="32"/>
        <v>Ni68</v>
      </c>
      <c r="L370" s="3" cm="1">
        <f t="array" ref="L370">SUM(($J370*EXP(-$H370*12*3600*_xlfn.SEQUENCE(L$1-1))))+$J370</f>
        <v>0</v>
      </c>
      <c r="M370" s="3"/>
      <c r="N370" s="3"/>
    </row>
    <row r="371" spans="2:14" hidden="1" x14ac:dyDescent="0.2">
      <c r="B371" s="3">
        <v>29057</v>
      </c>
      <c r="C371" s="3">
        <v>0</v>
      </c>
      <c r="D371">
        <v>368</v>
      </c>
      <c r="E371" t="str">
        <f>VLOOKUP(B371,Nuclides!A:F,5,FALSE)</f>
        <v>Cu57</v>
      </c>
      <c r="F371">
        <f>VLOOKUP(B371,Nuclides!A:F,4,FALSE)</f>
        <v>0.1963</v>
      </c>
      <c r="G371" s="3" t="str">
        <f t="shared" si="28"/>
        <v>0.1963s</v>
      </c>
      <c r="H371" s="3">
        <f t="shared" si="29"/>
        <v>3.5310605224653351</v>
      </c>
      <c r="I371" s="3">
        <f t="shared" si="30"/>
        <v>0</v>
      </c>
      <c r="J371" s="3">
        <f t="shared" si="31"/>
        <v>0</v>
      </c>
      <c r="K371" s="3" t="str">
        <f t="shared" si="32"/>
        <v>Cu57</v>
      </c>
      <c r="L371" s="3" cm="1">
        <f t="array" ref="L371">SUM(($J371*EXP(-$H371*12*3600*_xlfn.SEQUENCE(L$1-1))))+$J371</f>
        <v>0</v>
      </c>
      <c r="M371" s="3"/>
      <c r="N371" s="3"/>
    </row>
    <row r="372" spans="2:14" hidden="1" x14ac:dyDescent="0.2">
      <c r="B372" s="3">
        <v>29058</v>
      </c>
      <c r="C372" s="3">
        <v>0</v>
      </c>
      <c r="D372">
        <v>369</v>
      </c>
      <c r="E372" t="str">
        <f>VLOOKUP(B372,Nuclides!A:F,5,FALSE)</f>
        <v>Cu58</v>
      </c>
      <c r="F372">
        <f>VLOOKUP(B372,Nuclides!A:F,4,FALSE)</f>
        <v>3.2040000000000002</v>
      </c>
      <c r="G372" s="3" t="str">
        <f t="shared" si="28"/>
        <v>3.204s</v>
      </c>
      <c r="H372" s="3">
        <f t="shared" si="29"/>
        <v>0.21633807133581312</v>
      </c>
      <c r="I372" s="3">
        <f t="shared" si="30"/>
        <v>0</v>
      </c>
      <c r="J372" s="3">
        <f t="shared" si="31"/>
        <v>0</v>
      </c>
      <c r="K372" s="3" t="str">
        <f t="shared" si="32"/>
        <v>Cu58</v>
      </c>
      <c r="L372" s="3" cm="1">
        <f t="array" ref="L372">SUM(($J372*EXP(-$H372*12*3600*_xlfn.SEQUENCE(L$1-1))))+$J372</f>
        <v>0</v>
      </c>
      <c r="M372" s="3"/>
      <c r="N372" s="3"/>
    </row>
    <row r="373" spans="2:14" hidden="1" x14ac:dyDescent="0.2">
      <c r="B373" s="3">
        <v>29059</v>
      </c>
      <c r="C373" s="3">
        <v>0</v>
      </c>
      <c r="D373">
        <v>370</v>
      </c>
      <c r="E373" t="str">
        <f>VLOOKUP(B373,Nuclides!A:F,5,FALSE)</f>
        <v>Cu59</v>
      </c>
      <c r="F373">
        <f>VLOOKUP(B373,Nuclides!A:F,4,FALSE)</f>
        <v>81.5</v>
      </c>
      <c r="G373" s="3" t="str">
        <f t="shared" si="28"/>
        <v>1.36min</v>
      </c>
      <c r="H373" s="3">
        <f t="shared" si="29"/>
        <v>8.504873381103624E-3</v>
      </c>
      <c r="I373" s="3">
        <f t="shared" si="30"/>
        <v>0</v>
      </c>
      <c r="J373" s="3">
        <f t="shared" si="31"/>
        <v>0</v>
      </c>
      <c r="K373" s="3" t="str">
        <f t="shared" si="32"/>
        <v>Cu59</v>
      </c>
      <c r="L373" s="3" cm="1">
        <f t="array" ref="L373">SUM(($J373*EXP(-$H373*12*3600*_xlfn.SEQUENCE(L$1-1))))+$J373</f>
        <v>0</v>
      </c>
      <c r="M373" s="3"/>
      <c r="N373" s="3"/>
    </row>
    <row r="374" spans="2:14" hidden="1" x14ac:dyDescent="0.2">
      <c r="B374" s="3">
        <v>29060</v>
      </c>
      <c r="C374" s="3">
        <v>0</v>
      </c>
      <c r="D374">
        <v>371</v>
      </c>
      <c r="E374" t="str">
        <f>VLOOKUP(B374,Nuclides!A:F,5,FALSE)</f>
        <v>Cu60</v>
      </c>
      <c r="F374">
        <f>VLOOKUP(B374,Nuclides!A:F,4,FALSE)</f>
        <v>1422</v>
      </c>
      <c r="G374" s="3" t="str">
        <f t="shared" si="28"/>
        <v>23.7min</v>
      </c>
      <c r="H374" s="3">
        <f t="shared" si="29"/>
        <v>4.8744527465537644E-4</v>
      </c>
      <c r="I374" s="3">
        <f t="shared" si="30"/>
        <v>0</v>
      </c>
      <c r="J374" s="3">
        <f t="shared" si="31"/>
        <v>0</v>
      </c>
      <c r="K374" s="3" t="str">
        <f t="shared" si="32"/>
        <v>Cu60</v>
      </c>
      <c r="L374" s="3" cm="1">
        <f t="array" ref="L374">SUM(($J374*EXP(-$H374*12*3600*_xlfn.SEQUENCE(L$1-1))))+$J374</f>
        <v>0</v>
      </c>
      <c r="M374" s="3"/>
      <c r="N374" s="3"/>
    </row>
    <row r="375" spans="2:14" hidden="1" x14ac:dyDescent="0.2">
      <c r="B375" s="3">
        <v>29061</v>
      </c>
      <c r="C375" s="3">
        <v>0</v>
      </c>
      <c r="D375">
        <v>372</v>
      </c>
      <c r="E375" t="str">
        <f>VLOOKUP(B375,Nuclides!A:F,5,FALSE)</f>
        <v>Cu61</v>
      </c>
      <c r="F375">
        <f>VLOOKUP(B375,Nuclides!A:F,4,FALSE)</f>
        <v>12020.4</v>
      </c>
      <c r="G375" s="3" t="str">
        <f t="shared" si="28"/>
        <v>3.34h</v>
      </c>
      <c r="H375" s="3">
        <f t="shared" si="29"/>
        <v>5.7664235845724375E-5</v>
      </c>
      <c r="I375" s="3">
        <f t="shared" si="30"/>
        <v>0</v>
      </c>
      <c r="J375" s="3">
        <f t="shared" si="31"/>
        <v>0</v>
      </c>
      <c r="K375" s="3" t="str">
        <f t="shared" si="32"/>
        <v>Cu61</v>
      </c>
      <c r="L375" s="3" cm="1">
        <f t="array" ref="L375">SUM(($J375*EXP(-$H375*12*3600*_xlfn.SEQUENCE(L$1-1))))+$J375</f>
        <v>0</v>
      </c>
      <c r="M375" s="3"/>
      <c r="N375" s="3"/>
    </row>
    <row r="376" spans="2:14" hidden="1" x14ac:dyDescent="0.2">
      <c r="B376" s="3">
        <v>29062</v>
      </c>
      <c r="C376" s="3">
        <v>0</v>
      </c>
      <c r="D376">
        <v>373</v>
      </c>
      <c r="E376" t="str">
        <f>VLOOKUP(B376,Nuclides!A:F,5,FALSE)</f>
        <v>Cu62</v>
      </c>
      <c r="F376">
        <f>VLOOKUP(B376,Nuclides!A:F,4,FALSE)</f>
        <v>580.38</v>
      </c>
      <c r="G376" s="3" t="str">
        <f t="shared" si="28"/>
        <v>9.67min</v>
      </c>
      <c r="H376" s="3">
        <f t="shared" si="29"/>
        <v>1.1942988741168636E-3</v>
      </c>
      <c r="I376" s="3">
        <f t="shared" si="30"/>
        <v>0</v>
      </c>
      <c r="J376" s="3">
        <f t="shared" si="31"/>
        <v>0</v>
      </c>
      <c r="K376" s="3" t="str">
        <f t="shared" si="32"/>
        <v>Cu62</v>
      </c>
      <c r="L376" s="3" cm="1">
        <f t="array" ref="L376">SUM(($J376*EXP(-$H376*12*3600*_xlfn.SEQUENCE(L$1-1))))+$J376</f>
        <v>0</v>
      </c>
      <c r="M376" s="3"/>
      <c r="N376" s="3"/>
    </row>
    <row r="377" spans="2:14" hidden="1" x14ac:dyDescent="0.2">
      <c r="B377" s="3">
        <v>29063</v>
      </c>
      <c r="C377" s="3">
        <v>0</v>
      </c>
      <c r="D377">
        <v>374</v>
      </c>
      <c r="E377" t="str">
        <f>VLOOKUP(B377,Nuclides!A:F,5,FALSE)</f>
        <v>Cu63</v>
      </c>
      <c r="F377" t="str">
        <f>VLOOKUP(B377,Nuclides!A:F,4,FALSE)</f>
        <v>STABLE</v>
      </c>
      <c r="G377" s="3" t="str">
        <f t="shared" si="28"/>
        <v>STABLE</v>
      </c>
      <c r="H377" s="3" t="e">
        <f t="shared" si="29"/>
        <v>#VALUE!</v>
      </c>
      <c r="I377" s="3" t="e">
        <f t="shared" si="30"/>
        <v>#VALUE!</v>
      </c>
      <c r="J377" s="3" t="e">
        <f t="shared" si="31"/>
        <v>#VALUE!</v>
      </c>
      <c r="K377" s="3" t="str">
        <f t="shared" si="32"/>
        <v>Cu63</v>
      </c>
      <c r="L377" s="3" t="e" cm="1">
        <f t="array" ref="L377">SUM(($J377*EXP(-$H377*12*3600*_xlfn.SEQUENCE(L$1-1))))+$J377</f>
        <v>#VALUE!</v>
      </c>
      <c r="M377" s="3"/>
      <c r="N377" s="3"/>
    </row>
    <row r="378" spans="2:14" hidden="1" x14ac:dyDescent="0.2">
      <c r="B378" s="3">
        <v>29064</v>
      </c>
      <c r="C378" s="3">
        <v>0</v>
      </c>
      <c r="D378">
        <v>375</v>
      </c>
      <c r="E378" t="str">
        <f>VLOOKUP(B378,Nuclides!A:F,5,FALSE)</f>
        <v>Cu64</v>
      </c>
      <c r="F378">
        <f>VLOOKUP(B378,Nuclides!A:F,4,FALSE)</f>
        <v>45723.6</v>
      </c>
      <c r="G378" s="3" t="str">
        <f t="shared" si="28"/>
        <v>12.7h</v>
      </c>
      <c r="H378" s="3">
        <f t="shared" si="29"/>
        <v>1.5159505825436871E-5</v>
      </c>
      <c r="I378" s="3">
        <f t="shared" si="30"/>
        <v>0</v>
      </c>
      <c r="J378" s="3">
        <f t="shared" si="31"/>
        <v>0</v>
      </c>
      <c r="K378" s="3" t="str">
        <f t="shared" si="32"/>
        <v>Cu64</v>
      </c>
      <c r="L378" s="3" cm="1">
        <f t="array" ref="L378">SUM(($J378*EXP(-$H378*12*3600*_xlfn.SEQUENCE(L$1-1))))+$J378</f>
        <v>0</v>
      </c>
      <c r="M378" s="3"/>
      <c r="N378" s="3"/>
    </row>
    <row r="379" spans="2:14" hidden="1" x14ac:dyDescent="0.2">
      <c r="B379" s="3">
        <v>29065</v>
      </c>
      <c r="C379" s="3">
        <v>0</v>
      </c>
      <c r="D379">
        <v>376</v>
      </c>
      <c r="E379" t="str">
        <f>VLOOKUP(B379,Nuclides!A:F,5,FALSE)</f>
        <v>Cu65</v>
      </c>
      <c r="F379" t="str">
        <f>VLOOKUP(B379,Nuclides!A:F,4,FALSE)</f>
        <v>STABLE</v>
      </c>
      <c r="G379" s="3" t="str">
        <f t="shared" si="28"/>
        <v>STABLE</v>
      </c>
      <c r="H379" s="3" t="e">
        <f t="shared" si="29"/>
        <v>#VALUE!</v>
      </c>
      <c r="I379" s="3" t="e">
        <f t="shared" si="30"/>
        <v>#VALUE!</v>
      </c>
      <c r="J379" s="3" t="e">
        <f t="shared" si="31"/>
        <v>#VALUE!</v>
      </c>
      <c r="K379" s="3" t="str">
        <f t="shared" si="32"/>
        <v>Cu65</v>
      </c>
      <c r="L379" s="3" t="e" cm="1">
        <f t="array" ref="L379">SUM(($J379*EXP(-$H379*12*3600*_xlfn.SEQUENCE(L$1-1))))+$J379</f>
        <v>#VALUE!</v>
      </c>
      <c r="M379" s="3"/>
      <c r="N379" s="3"/>
    </row>
    <row r="380" spans="2:14" hidden="1" x14ac:dyDescent="0.2">
      <c r="B380" s="3">
        <v>29066</v>
      </c>
      <c r="C380" s="3">
        <v>0</v>
      </c>
      <c r="D380">
        <v>377</v>
      </c>
      <c r="E380" t="str">
        <f>VLOOKUP(B380,Nuclides!A:F,5,FALSE)</f>
        <v>Cu66</v>
      </c>
      <c r="F380">
        <f>VLOOKUP(B380,Nuclides!A:F,4,FALSE)</f>
        <v>307.2</v>
      </c>
      <c r="G380" s="3" t="str">
        <f t="shared" si="28"/>
        <v>5.12min</v>
      </c>
      <c r="H380" s="3">
        <f t="shared" si="29"/>
        <v>2.2563384783852386E-3</v>
      </c>
      <c r="I380" s="3">
        <f t="shared" si="30"/>
        <v>0</v>
      </c>
      <c r="J380" s="3">
        <f t="shared" si="31"/>
        <v>0</v>
      </c>
      <c r="K380" s="3" t="str">
        <f t="shared" si="32"/>
        <v>Cu66</v>
      </c>
      <c r="L380" s="3" cm="1">
        <f t="array" ref="L380">SUM(($J380*EXP(-$H380*12*3600*_xlfn.SEQUENCE(L$1-1))))+$J380</f>
        <v>0</v>
      </c>
      <c r="M380" s="3"/>
      <c r="N380" s="3"/>
    </row>
    <row r="381" spans="2:14" hidden="1" x14ac:dyDescent="0.2">
      <c r="B381" s="3">
        <v>29067</v>
      </c>
      <c r="C381" s="3">
        <v>0</v>
      </c>
      <c r="D381">
        <v>378</v>
      </c>
      <c r="E381" t="str">
        <f>VLOOKUP(B381,Nuclides!A:F,5,FALSE)</f>
        <v>Cu67</v>
      </c>
      <c r="F381">
        <f>VLOOKUP(B381,Nuclides!A:F,4,FALSE)</f>
        <v>222588</v>
      </c>
      <c r="G381" s="3" t="str">
        <f t="shared" si="28"/>
        <v>2.58d</v>
      </c>
      <c r="H381" s="3">
        <f t="shared" si="29"/>
        <v>3.1140366082625535E-6</v>
      </c>
      <c r="I381" s="3">
        <f t="shared" si="30"/>
        <v>0</v>
      </c>
      <c r="J381" s="3">
        <f t="shared" si="31"/>
        <v>0</v>
      </c>
      <c r="K381" s="3" t="str">
        <f t="shared" si="32"/>
        <v>Cu67</v>
      </c>
      <c r="L381" s="3" cm="1">
        <f t="array" ref="L381">SUM(($J381*EXP(-$H381*12*3600*_xlfn.SEQUENCE(L$1-1))))+$J381</f>
        <v>0</v>
      </c>
      <c r="M381" s="3"/>
      <c r="N381" s="3"/>
    </row>
    <row r="382" spans="2:14" hidden="1" x14ac:dyDescent="0.2">
      <c r="B382" s="3">
        <v>29068</v>
      </c>
      <c r="C382" s="3">
        <v>0</v>
      </c>
      <c r="D382">
        <v>379</v>
      </c>
      <c r="E382" t="str">
        <f>VLOOKUP(B382,Nuclides!A:F,5,FALSE)</f>
        <v>Cu68</v>
      </c>
      <c r="F382">
        <f>VLOOKUP(B382,Nuclides!A:F,4,FALSE)</f>
        <v>30.9</v>
      </c>
      <c r="G382" s="3" t="str">
        <f t="shared" si="28"/>
        <v>30.9s</v>
      </c>
      <c r="H382" s="3">
        <f t="shared" si="29"/>
        <v>2.2431947590936741E-2</v>
      </c>
      <c r="I382" s="3">
        <f t="shared" si="30"/>
        <v>0</v>
      </c>
      <c r="J382" s="3">
        <f t="shared" si="31"/>
        <v>0</v>
      </c>
      <c r="K382" s="3" t="str">
        <f t="shared" si="32"/>
        <v>Cu68</v>
      </c>
      <c r="L382" s="3" cm="1">
        <f t="array" ref="L382">SUM(($J382*EXP(-$H382*12*3600*_xlfn.SEQUENCE(L$1-1))))+$J382</f>
        <v>0</v>
      </c>
      <c r="M382" s="3"/>
      <c r="N382" s="3"/>
    </row>
    <row r="383" spans="2:14" hidden="1" x14ac:dyDescent="0.2">
      <c r="B383" s="3">
        <v>29069</v>
      </c>
      <c r="C383" s="3">
        <v>0</v>
      </c>
      <c r="D383">
        <v>380</v>
      </c>
      <c r="E383" t="str">
        <f>VLOOKUP(B383,Nuclides!A:F,5,FALSE)</f>
        <v>Cu69</v>
      </c>
      <c r="F383">
        <f>VLOOKUP(B383,Nuclides!A:F,4,FALSE)</f>
        <v>171</v>
      </c>
      <c r="G383" s="3" t="str">
        <f t="shared" si="28"/>
        <v>2.85min</v>
      </c>
      <c r="H383" s="3">
        <f t="shared" si="29"/>
        <v>4.0534922839762884E-3</v>
      </c>
      <c r="I383" s="3">
        <f t="shared" si="30"/>
        <v>0</v>
      </c>
      <c r="J383" s="3">
        <f t="shared" si="31"/>
        <v>0</v>
      </c>
      <c r="K383" s="3" t="str">
        <f t="shared" si="32"/>
        <v>Cu69</v>
      </c>
      <c r="L383" s="3" cm="1">
        <f t="array" ref="L383">SUM(($J383*EXP(-$H383*12*3600*_xlfn.SEQUENCE(L$1-1))))+$J383</f>
        <v>0</v>
      </c>
      <c r="M383" s="3"/>
      <c r="N383" s="3"/>
    </row>
    <row r="384" spans="2:14" hidden="1" x14ac:dyDescent="0.2">
      <c r="B384" s="3">
        <v>29070</v>
      </c>
      <c r="C384" s="3">
        <v>0</v>
      </c>
      <c r="D384">
        <v>381</v>
      </c>
      <c r="E384" t="str">
        <f>VLOOKUP(B384,Nuclides!A:F,5,FALSE)</f>
        <v>Cu70</v>
      </c>
      <c r="F384">
        <f>VLOOKUP(B384,Nuclides!A:F,4,FALSE)</f>
        <v>44.5</v>
      </c>
      <c r="G384" s="3" t="str">
        <f t="shared" si="28"/>
        <v>44.5s</v>
      </c>
      <c r="H384" s="3">
        <f t="shared" si="29"/>
        <v>1.5576341136178546E-2</v>
      </c>
      <c r="I384" s="3">
        <f t="shared" si="30"/>
        <v>0</v>
      </c>
      <c r="J384" s="3">
        <f t="shared" si="31"/>
        <v>0</v>
      </c>
      <c r="K384" s="3" t="str">
        <f t="shared" si="32"/>
        <v>Cu70</v>
      </c>
      <c r="L384" s="3" cm="1">
        <f t="array" ref="L384">SUM(($J384*EXP(-$H384*12*3600*_xlfn.SEQUENCE(L$1-1))))+$J384</f>
        <v>0</v>
      </c>
      <c r="M384" s="3"/>
      <c r="N384" s="3"/>
    </row>
    <row r="385" spans="2:14" hidden="1" x14ac:dyDescent="0.2">
      <c r="B385" s="3">
        <v>29071</v>
      </c>
      <c r="C385" s="3">
        <v>0</v>
      </c>
      <c r="D385">
        <v>382</v>
      </c>
      <c r="E385" t="str">
        <f>VLOOKUP(B385,Nuclides!A:F,5,FALSE)</f>
        <v>Cu71</v>
      </c>
      <c r="F385">
        <f>VLOOKUP(B385,Nuclides!A:F,4,FALSE)</f>
        <v>19.399999999999999</v>
      </c>
      <c r="G385" s="3" t="str">
        <f t="shared" si="28"/>
        <v>19.4s</v>
      </c>
      <c r="H385" s="3">
        <f t="shared" si="29"/>
        <v>3.5729236111337388E-2</v>
      </c>
      <c r="I385" s="3">
        <f t="shared" si="30"/>
        <v>0</v>
      </c>
      <c r="J385" s="3">
        <f t="shared" si="31"/>
        <v>0</v>
      </c>
      <c r="K385" s="3" t="str">
        <f t="shared" si="32"/>
        <v>Cu71</v>
      </c>
      <c r="L385" s="3" cm="1">
        <f t="array" ref="L385">SUM(($J385*EXP(-$H385*12*3600*_xlfn.SEQUENCE(L$1-1))))+$J385</f>
        <v>0</v>
      </c>
      <c r="M385" s="3"/>
      <c r="N385" s="3"/>
    </row>
    <row r="386" spans="2:14" hidden="1" x14ac:dyDescent="0.2">
      <c r="B386" s="3">
        <v>29072</v>
      </c>
      <c r="C386" s="3">
        <v>0</v>
      </c>
      <c r="D386">
        <v>383</v>
      </c>
      <c r="E386" t="str">
        <f>VLOOKUP(B386,Nuclides!A:F,5,FALSE)</f>
        <v>Cu72</v>
      </c>
      <c r="F386">
        <f>VLOOKUP(B386,Nuclides!A:F,4,FALSE)</f>
        <v>6.63</v>
      </c>
      <c r="G386" s="3" t="str">
        <f t="shared" si="28"/>
        <v>6.63s</v>
      </c>
      <c r="H386" s="3">
        <f t="shared" si="29"/>
        <v>0.10454708605730699</v>
      </c>
      <c r="I386" s="3">
        <f t="shared" si="30"/>
        <v>0</v>
      </c>
      <c r="J386" s="3">
        <f t="shared" si="31"/>
        <v>0</v>
      </c>
      <c r="K386" s="3" t="str">
        <f t="shared" si="32"/>
        <v>Cu72</v>
      </c>
      <c r="L386" s="3" cm="1">
        <f t="array" ref="L386">SUM(($J386*EXP(-$H386*12*3600*_xlfn.SEQUENCE(L$1-1))))+$J386</f>
        <v>0</v>
      </c>
      <c r="M386" s="3"/>
      <c r="N386" s="3"/>
    </row>
    <row r="387" spans="2:14" hidden="1" x14ac:dyDescent="0.2">
      <c r="B387" s="3">
        <v>29073</v>
      </c>
      <c r="C387" s="3">
        <v>0</v>
      </c>
      <c r="D387">
        <v>384</v>
      </c>
      <c r="E387" t="str">
        <f>VLOOKUP(B387,Nuclides!A:F,5,FALSE)</f>
        <v>Cu73</v>
      </c>
      <c r="F387">
        <f>VLOOKUP(B387,Nuclides!A:F,4,FALSE)</f>
        <v>4.2</v>
      </c>
      <c r="G387" s="3" t="str">
        <f t="shared" si="28"/>
        <v>4.2s</v>
      </c>
      <c r="H387" s="3">
        <f t="shared" si="29"/>
        <v>0.16503504299046315</v>
      </c>
      <c r="I387" s="3">
        <f t="shared" si="30"/>
        <v>0</v>
      </c>
      <c r="J387" s="3">
        <f t="shared" si="31"/>
        <v>0</v>
      </c>
      <c r="K387" s="3" t="str">
        <f t="shared" si="32"/>
        <v>Cu73</v>
      </c>
      <c r="L387" s="3" cm="1">
        <f t="array" ref="L387">SUM(($J387*EXP(-$H387*12*3600*_xlfn.SEQUENCE(L$1-1))))+$J387</f>
        <v>0</v>
      </c>
      <c r="M387" s="3"/>
      <c r="N387" s="3"/>
    </row>
    <row r="388" spans="2:14" hidden="1" x14ac:dyDescent="0.2">
      <c r="B388" s="3">
        <v>30057</v>
      </c>
      <c r="C388" s="3">
        <v>0</v>
      </c>
      <c r="D388">
        <v>385</v>
      </c>
      <c r="E388" t="str">
        <f>VLOOKUP(B388,Nuclides!A:F,5,FALSE)</f>
        <v>Zn57</v>
      </c>
      <c r="F388">
        <f>VLOOKUP(B388,Nuclides!A:F,4,FALSE)</f>
        <v>3.7999999999999999E-2</v>
      </c>
      <c r="G388" s="3" t="str">
        <f t="shared" ref="G388:G451" si="33">IF(F388="STABLE", "STABLE", IF(F388&lt;60, F388&amp;"s", IF(F388&lt;3600, ROUND(F388/60,2)&amp;"min", IF(F388&lt;86400, ROUND(F388/3600,2)&amp;"h", IF(F388&lt;31536000, ROUND(F388/86400,2)&amp;"d", ROUND(F388/31536000,2)&amp;"y")))))</f>
        <v>0.038s</v>
      </c>
      <c r="H388" s="3">
        <f t="shared" ref="H388:H451" si="34">LN(2)/F388</f>
        <v>18.240715277893297</v>
      </c>
      <c r="I388" s="3">
        <f t="shared" ref="I388:I451" si="35">100*6240000000000*C388*(1-EXP(-H388*2*3600))</f>
        <v>0</v>
      </c>
      <c r="J388" s="3">
        <f t="shared" ref="J388:J451" si="36">I388*EXP(-H388*10*3600)</f>
        <v>0</v>
      </c>
      <c r="K388" s="3" t="str">
        <f t="shared" ref="K388:K451" si="37">E388</f>
        <v>Zn57</v>
      </c>
      <c r="L388" s="3" cm="1">
        <f t="array" ref="L388">SUM(($J388*EXP(-$H388*12*3600*_xlfn.SEQUENCE(L$1-1))))+$J388</f>
        <v>0</v>
      </c>
      <c r="M388" s="3"/>
      <c r="N388" s="3"/>
    </row>
    <row r="389" spans="2:14" hidden="1" x14ac:dyDescent="0.2">
      <c r="B389" s="3">
        <v>30058</v>
      </c>
      <c r="C389" s="3">
        <v>0</v>
      </c>
      <c r="D389">
        <v>386</v>
      </c>
      <c r="E389" t="str">
        <f>VLOOKUP(B389,Nuclides!A:F,5,FALSE)</f>
        <v>Zn58</v>
      </c>
      <c r="F389">
        <f>VLOOKUP(B389,Nuclides!A:F,4,FALSE)</f>
        <v>8.5999999999999993E-2</v>
      </c>
      <c r="G389" s="3" t="str">
        <f t="shared" si="33"/>
        <v>0.086s</v>
      </c>
      <c r="H389" s="3">
        <f t="shared" si="34"/>
        <v>8.0598509367435511</v>
      </c>
      <c r="I389" s="3">
        <f t="shared" si="35"/>
        <v>0</v>
      </c>
      <c r="J389" s="3">
        <f t="shared" si="36"/>
        <v>0</v>
      </c>
      <c r="K389" s="3" t="str">
        <f t="shared" si="37"/>
        <v>Zn58</v>
      </c>
      <c r="L389" s="3" cm="1">
        <f t="array" ref="L389">SUM(($J389*EXP(-$H389*12*3600*_xlfn.SEQUENCE(L$1-1))))+$J389</f>
        <v>0</v>
      </c>
      <c r="M389" s="3"/>
      <c r="N389" s="3"/>
    </row>
    <row r="390" spans="2:14" hidden="1" x14ac:dyDescent="0.2">
      <c r="B390" s="3">
        <v>30059</v>
      </c>
      <c r="C390" s="3">
        <v>0</v>
      </c>
      <c r="D390">
        <v>387</v>
      </c>
      <c r="E390" t="str">
        <f>VLOOKUP(B390,Nuclides!A:F,5,FALSE)</f>
        <v>Zn59</v>
      </c>
      <c r="F390">
        <f>VLOOKUP(B390,Nuclides!A:F,4,FALSE)</f>
        <v>0.182</v>
      </c>
      <c r="G390" s="3" t="str">
        <f t="shared" si="33"/>
        <v>0.182s</v>
      </c>
      <c r="H390" s="3">
        <f t="shared" si="34"/>
        <v>3.8085009920876116</v>
      </c>
      <c r="I390" s="3">
        <f t="shared" si="35"/>
        <v>0</v>
      </c>
      <c r="J390" s="3">
        <f t="shared" si="36"/>
        <v>0</v>
      </c>
      <c r="K390" s="3" t="str">
        <f t="shared" si="37"/>
        <v>Zn59</v>
      </c>
      <c r="L390" s="3" cm="1">
        <f t="array" ref="L390">SUM(($J390*EXP(-$H390*12*3600*_xlfn.SEQUENCE(L$1-1))))+$J390</f>
        <v>0</v>
      </c>
      <c r="M390" s="3"/>
      <c r="N390" s="3"/>
    </row>
    <row r="391" spans="2:14" hidden="1" x14ac:dyDescent="0.2">
      <c r="B391" s="3">
        <v>30060</v>
      </c>
      <c r="C391" s="3">
        <v>0</v>
      </c>
      <c r="D391">
        <v>388</v>
      </c>
      <c r="E391" t="str">
        <f>VLOOKUP(B391,Nuclides!A:F,5,FALSE)</f>
        <v>Zn60</v>
      </c>
      <c r="F391">
        <f>VLOOKUP(B391,Nuclides!A:F,4,FALSE)</f>
        <v>142.79999999999899</v>
      </c>
      <c r="G391" s="3" t="str">
        <f t="shared" si="33"/>
        <v>2.38min</v>
      </c>
      <c r="H391" s="3">
        <f t="shared" si="34"/>
        <v>4.8539718526607158E-3</v>
      </c>
      <c r="I391" s="3">
        <f t="shared" si="35"/>
        <v>0</v>
      </c>
      <c r="J391" s="3">
        <f t="shared" si="36"/>
        <v>0</v>
      </c>
      <c r="K391" s="3" t="str">
        <f t="shared" si="37"/>
        <v>Zn60</v>
      </c>
      <c r="L391" s="3" cm="1">
        <f t="array" ref="L391">SUM(($J391*EXP(-$H391*12*3600*_xlfn.SEQUENCE(L$1-1))))+$J391</f>
        <v>0</v>
      </c>
      <c r="M391" s="3"/>
      <c r="N391" s="3"/>
    </row>
    <row r="392" spans="2:14" hidden="1" x14ac:dyDescent="0.2">
      <c r="B392" s="3">
        <v>30061</v>
      </c>
      <c r="C392" s="3">
        <v>0</v>
      </c>
      <c r="D392">
        <v>389</v>
      </c>
      <c r="E392" t="str">
        <f>VLOOKUP(B392,Nuclides!A:F,5,FALSE)</f>
        <v>Zn61</v>
      </c>
      <c r="F392">
        <f>VLOOKUP(B392,Nuclides!A:F,4,FALSE)</f>
        <v>89.1</v>
      </c>
      <c r="G392" s="3" t="str">
        <f t="shared" si="33"/>
        <v>1.49min</v>
      </c>
      <c r="H392" s="3">
        <f t="shared" si="34"/>
        <v>7.7794296359140888E-3</v>
      </c>
      <c r="I392" s="3">
        <f t="shared" si="35"/>
        <v>0</v>
      </c>
      <c r="J392" s="3">
        <f t="shared" si="36"/>
        <v>0</v>
      </c>
      <c r="K392" s="3" t="str">
        <f t="shared" si="37"/>
        <v>Zn61</v>
      </c>
      <c r="L392" s="3" cm="1">
        <f t="array" ref="L392">SUM(($J392*EXP(-$H392*12*3600*_xlfn.SEQUENCE(L$1-1))))+$J392</f>
        <v>0</v>
      </c>
      <c r="M392" s="3"/>
      <c r="N392" s="3"/>
    </row>
    <row r="393" spans="2:14" hidden="1" x14ac:dyDescent="0.2">
      <c r="B393" s="3">
        <v>30062</v>
      </c>
      <c r="C393" s="3">
        <v>0</v>
      </c>
      <c r="D393">
        <v>390</v>
      </c>
      <c r="E393" t="str">
        <f>VLOOKUP(B393,Nuclides!A:F,5,FALSE)</f>
        <v>Zn62</v>
      </c>
      <c r="F393">
        <f>VLOOKUP(B393,Nuclides!A:F,4,FALSE)</f>
        <v>33069.599999999999</v>
      </c>
      <c r="G393" s="3" t="str">
        <f t="shared" si="33"/>
        <v>9.19h</v>
      </c>
      <c r="H393" s="3">
        <f t="shared" si="34"/>
        <v>2.0960252938044166E-5</v>
      </c>
      <c r="I393" s="3">
        <f t="shared" si="35"/>
        <v>0</v>
      </c>
      <c r="J393" s="3">
        <f t="shared" si="36"/>
        <v>0</v>
      </c>
      <c r="K393" s="3" t="str">
        <f t="shared" si="37"/>
        <v>Zn62</v>
      </c>
      <c r="L393" s="3" cm="1">
        <f t="array" ref="L393">SUM(($J393*EXP(-$H393*12*3600*_xlfn.SEQUENCE(L$1-1))))+$J393</f>
        <v>0</v>
      </c>
      <c r="M393" s="3"/>
      <c r="N393" s="3"/>
    </row>
    <row r="394" spans="2:14" hidden="1" x14ac:dyDescent="0.2">
      <c r="B394" s="3">
        <v>30063</v>
      </c>
      <c r="C394" s="3">
        <v>0</v>
      </c>
      <c r="D394">
        <v>391</v>
      </c>
      <c r="E394" t="str">
        <f>VLOOKUP(B394,Nuclides!A:F,5,FALSE)</f>
        <v>Zn63</v>
      </c>
      <c r="F394">
        <f>VLOOKUP(B394,Nuclides!A:F,4,FALSE)</f>
        <v>2308.1999999999998</v>
      </c>
      <c r="G394" s="3" t="str">
        <f t="shared" si="33"/>
        <v>38.47min</v>
      </c>
      <c r="H394" s="3">
        <f t="shared" si="34"/>
        <v>3.002977127458389E-4</v>
      </c>
      <c r="I394" s="3">
        <f t="shared" si="35"/>
        <v>0</v>
      </c>
      <c r="J394" s="3">
        <f t="shared" si="36"/>
        <v>0</v>
      </c>
      <c r="K394" s="3" t="str">
        <f t="shared" si="37"/>
        <v>Zn63</v>
      </c>
      <c r="L394" s="3" cm="1">
        <f t="array" ref="L394">SUM(($J394*EXP(-$H394*12*3600*_xlfn.SEQUENCE(L$1-1))))+$J394</f>
        <v>0</v>
      </c>
      <c r="M394" s="3"/>
      <c r="N394" s="3"/>
    </row>
    <row r="395" spans="2:14" hidden="1" x14ac:dyDescent="0.2">
      <c r="B395" s="3">
        <v>30064</v>
      </c>
      <c r="C395" s="3">
        <v>0</v>
      </c>
      <c r="D395">
        <v>392</v>
      </c>
      <c r="E395" t="str">
        <f>VLOOKUP(B395,Nuclides!A:F,5,FALSE)</f>
        <v>Zn64</v>
      </c>
      <c r="F395">
        <f>VLOOKUP(B395,Nuclides!A:F,4,FALSE)</f>
        <v>2.209032E+28</v>
      </c>
      <c r="G395" s="3" t="str">
        <f t="shared" si="33"/>
        <v>7.00479452054795E+20y</v>
      </c>
      <c r="H395" s="3">
        <f t="shared" si="34"/>
        <v>3.1377869608043038E-29</v>
      </c>
      <c r="I395" s="3">
        <f t="shared" si="35"/>
        <v>0</v>
      </c>
      <c r="J395" s="3">
        <f t="shared" si="36"/>
        <v>0</v>
      </c>
      <c r="K395" s="3" t="str">
        <f t="shared" si="37"/>
        <v>Zn64</v>
      </c>
      <c r="L395" s="3" cm="1">
        <f t="array" ref="L395">SUM(($J395*EXP(-$H395*12*3600*_xlfn.SEQUENCE(L$1-1))))+$J395</f>
        <v>0</v>
      </c>
      <c r="M395" s="3"/>
      <c r="N395" s="3"/>
    </row>
    <row r="396" spans="2:14" hidden="1" x14ac:dyDescent="0.2">
      <c r="B396" s="3">
        <v>30065</v>
      </c>
      <c r="C396" s="3">
        <v>0</v>
      </c>
      <c r="D396">
        <v>393</v>
      </c>
      <c r="E396" t="str">
        <f>VLOOKUP(B396,Nuclides!A:F,5,FALSE)</f>
        <v>Zn65</v>
      </c>
      <c r="F396">
        <f>VLOOKUP(B396,Nuclides!A:F,4,FALSE)</f>
        <v>21075552</v>
      </c>
      <c r="G396" s="3" t="str">
        <f t="shared" si="33"/>
        <v>243.93d</v>
      </c>
      <c r="H396" s="3">
        <f t="shared" si="34"/>
        <v>3.2888684507999854E-8</v>
      </c>
      <c r="I396" s="3">
        <f t="shared" si="35"/>
        <v>0</v>
      </c>
      <c r="J396" s="3">
        <f t="shared" si="36"/>
        <v>0</v>
      </c>
      <c r="K396" s="3" t="str">
        <f t="shared" si="37"/>
        <v>Zn65</v>
      </c>
      <c r="L396" s="3" cm="1">
        <f t="array" ref="L396">SUM(($J396*EXP(-$H396*12*3600*_xlfn.SEQUENCE(L$1-1))))+$J396</f>
        <v>0</v>
      </c>
      <c r="M396" s="3"/>
      <c r="N396" s="3"/>
    </row>
    <row r="397" spans="2:14" hidden="1" x14ac:dyDescent="0.2">
      <c r="B397" s="3">
        <v>30066</v>
      </c>
      <c r="C397" s="3">
        <v>0</v>
      </c>
      <c r="D397">
        <v>394</v>
      </c>
      <c r="E397" t="str">
        <f>VLOOKUP(B397,Nuclides!A:F,5,FALSE)</f>
        <v>Zn66</v>
      </c>
      <c r="F397" t="str">
        <f>VLOOKUP(B397,Nuclides!A:F,4,FALSE)</f>
        <v>STABLE</v>
      </c>
      <c r="G397" s="3" t="str">
        <f t="shared" si="33"/>
        <v>STABLE</v>
      </c>
      <c r="H397" s="3" t="e">
        <f t="shared" si="34"/>
        <v>#VALUE!</v>
      </c>
      <c r="I397" s="3" t="e">
        <f t="shared" si="35"/>
        <v>#VALUE!</v>
      </c>
      <c r="J397" s="3" t="e">
        <f t="shared" si="36"/>
        <v>#VALUE!</v>
      </c>
      <c r="K397" s="3" t="str">
        <f t="shared" si="37"/>
        <v>Zn66</v>
      </c>
      <c r="L397" s="3" t="e" cm="1">
        <f t="array" ref="L397">SUM(($J397*EXP(-$H397*12*3600*_xlfn.SEQUENCE(L$1-1))))+$J397</f>
        <v>#VALUE!</v>
      </c>
      <c r="M397" s="3"/>
      <c r="N397" s="3"/>
    </row>
    <row r="398" spans="2:14" hidden="1" x14ac:dyDescent="0.2">
      <c r="B398" s="3">
        <v>30067</v>
      </c>
      <c r="C398" s="3">
        <v>0</v>
      </c>
      <c r="D398">
        <v>395</v>
      </c>
      <c r="E398" t="str">
        <f>VLOOKUP(B398,Nuclides!A:F,5,FALSE)</f>
        <v>Zn67</v>
      </c>
      <c r="F398" t="str">
        <f>VLOOKUP(B398,Nuclides!A:F,4,FALSE)</f>
        <v>STABLE</v>
      </c>
      <c r="G398" s="3" t="str">
        <f t="shared" si="33"/>
        <v>STABLE</v>
      </c>
      <c r="H398" s="3" t="e">
        <f t="shared" si="34"/>
        <v>#VALUE!</v>
      </c>
      <c r="I398" s="3" t="e">
        <f t="shared" si="35"/>
        <v>#VALUE!</v>
      </c>
      <c r="J398" s="3" t="e">
        <f t="shared" si="36"/>
        <v>#VALUE!</v>
      </c>
      <c r="K398" s="3" t="str">
        <f t="shared" si="37"/>
        <v>Zn67</v>
      </c>
      <c r="L398" s="3" t="e" cm="1">
        <f t="array" ref="L398">SUM(($J398*EXP(-$H398*12*3600*_xlfn.SEQUENCE(L$1-1))))+$J398</f>
        <v>#VALUE!</v>
      </c>
      <c r="M398" s="3"/>
      <c r="N398" s="3"/>
    </row>
    <row r="399" spans="2:14" hidden="1" x14ac:dyDescent="0.2">
      <c r="B399" s="3">
        <v>30068</v>
      </c>
      <c r="C399" s="3">
        <v>0</v>
      </c>
      <c r="D399">
        <v>396</v>
      </c>
      <c r="E399" t="str">
        <f>VLOOKUP(B399,Nuclides!A:F,5,FALSE)</f>
        <v>Zn68</v>
      </c>
      <c r="F399" t="str">
        <f>VLOOKUP(B399,Nuclides!A:F,4,FALSE)</f>
        <v>STABLE</v>
      </c>
      <c r="G399" s="3" t="str">
        <f t="shared" si="33"/>
        <v>STABLE</v>
      </c>
      <c r="H399" s="3" t="e">
        <f t="shared" si="34"/>
        <v>#VALUE!</v>
      </c>
      <c r="I399" s="3" t="e">
        <f t="shared" si="35"/>
        <v>#VALUE!</v>
      </c>
      <c r="J399" s="3" t="e">
        <f t="shared" si="36"/>
        <v>#VALUE!</v>
      </c>
      <c r="K399" s="3" t="str">
        <f t="shared" si="37"/>
        <v>Zn68</v>
      </c>
      <c r="L399" s="3" t="e" cm="1">
        <f t="array" ref="L399">SUM(($J399*EXP(-$H399*12*3600*_xlfn.SEQUENCE(L$1-1))))+$J399</f>
        <v>#VALUE!</v>
      </c>
      <c r="M399" s="3"/>
      <c r="N399" s="3"/>
    </row>
    <row r="400" spans="2:14" hidden="1" x14ac:dyDescent="0.2">
      <c r="B400" s="3">
        <v>30069</v>
      </c>
      <c r="C400" s="3">
        <v>0</v>
      </c>
      <c r="D400">
        <v>397</v>
      </c>
      <c r="E400" t="str">
        <f>VLOOKUP(B400,Nuclides!A:F,5,FALSE)</f>
        <v>Zn69</v>
      </c>
      <c r="F400">
        <f>VLOOKUP(B400,Nuclides!A:F,4,FALSE)</f>
        <v>3384</v>
      </c>
      <c r="G400" s="3" t="str">
        <f t="shared" si="33"/>
        <v>56.4min</v>
      </c>
      <c r="H400" s="3">
        <f t="shared" si="34"/>
        <v>2.0483072711582307E-4</v>
      </c>
      <c r="I400" s="3">
        <f t="shared" si="35"/>
        <v>0</v>
      </c>
      <c r="J400" s="3">
        <f t="shared" si="36"/>
        <v>0</v>
      </c>
      <c r="K400" s="3" t="str">
        <f t="shared" si="37"/>
        <v>Zn69</v>
      </c>
      <c r="L400" s="3" cm="1">
        <f t="array" ref="L400">SUM(($J400*EXP(-$H400*12*3600*_xlfn.SEQUENCE(L$1-1))))+$J400</f>
        <v>0</v>
      </c>
      <c r="M400" s="3"/>
      <c r="N400" s="3"/>
    </row>
    <row r="401" spans="2:14" hidden="1" x14ac:dyDescent="0.2">
      <c r="B401" s="3">
        <v>30070</v>
      </c>
      <c r="C401" s="3">
        <v>0</v>
      </c>
      <c r="D401">
        <v>398</v>
      </c>
      <c r="E401" t="str">
        <f>VLOOKUP(B401,Nuclides!A:F,5,FALSE)</f>
        <v>Zn70</v>
      </c>
      <c r="F401">
        <f>VLOOKUP(B401,Nuclides!A:F,4,FALSE)</f>
        <v>7.2582480000000003E+24</v>
      </c>
      <c r="G401" s="3" t="str">
        <f t="shared" si="33"/>
        <v>230157534246575000y</v>
      </c>
      <c r="H401" s="3">
        <f t="shared" si="34"/>
        <v>9.5497864024478805E-26</v>
      </c>
      <c r="I401" s="3">
        <f t="shared" si="35"/>
        <v>0</v>
      </c>
      <c r="J401" s="3">
        <f t="shared" si="36"/>
        <v>0</v>
      </c>
      <c r="K401" s="3" t="str">
        <f t="shared" si="37"/>
        <v>Zn70</v>
      </c>
      <c r="L401" s="3" cm="1">
        <f t="array" ref="L401">SUM(($J401*EXP(-$H401*12*3600*_xlfn.SEQUENCE(L$1-1))))+$J401</f>
        <v>0</v>
      </c>
      <c r="M401" s="3"/>
      <c r="N401" s="3"/>
    </row>
    <row r="402" spans="2:14" hidden="1" x14ac:dyDescent="0.2">
      <c r="B402" s="3">
        <v>30071</v>
      </c>
      <c r="C402" s="3">
        <v>0</v>
      </c>
      <c r="D402">
        <v>399</v>
      </c>
      <c r="E402" t="str">
        <f>VLOOKUP(B402,Nuclides!A:F,5,FALSE)</f>
        <v>Zn71</v>
      </c>
      <c r="F402">
        <f>VLOOKUP(B402,Nuclides!A:F,4,FALSE)</f>
        <v>147</v>
      </c>
      <c r="G402" s="3" t="str">
        <f t="shared" si="33"/>
        <v>2.45min</v>
      </c>
      <c r="H402" s="3">
        <f t="shared" si="34"/>
        <v>4.7152869425846622E-3</v>
      </c>
      <c r="I402" s="3">
        <f t="shared" si="35"/>
        <v>0</v>
      </c>
      <c r="J402" s="3">
        <f t="shared" si="36"/>
        <v>0</v>
      </c>
      <c r="K402" s="3" t="str">
        <f t="shared" si="37"/>
        <v>Zn71</v>
      </c>
      <c r="L402" s="3" cm="1">
        <f t="array" ref="L402">SUM(($J402*EXP(-$H402*12*3600*_xlfn.SEQUENCE(L$1-1))))+$J402</f>
        <v>0</v>
      </c>
      <c r="M402" s="3"/>
      <c r="N402" s="3"/>
    </row>
    <row r="403" spans="2:14" hidden="1" x14ac:dyDescent="0.2">
      <c r="B403" s="3">
        <v>30072</v>
      </c>
      <c r="C403" s="3">
        <v>0</v>
      </c>
      <c r="D403">
        <v>400</v>
      </c>
      <c r="E403" t="str">
        <f>VLOOKUP(B403,Nuclides!A:F,5,FALSE)</f>
        <v>Zn72</v>
      </c>
      <c r="F403">
        <f>VLOOKUP(B403,Nuclides!A:F,4,FALSE)</f>
        <v>167400</v>
      </c>
      <c r="G403" s="3" t="str">
        <f t="shared" si="33"/>
        <v>1.94d</v>
      </c>
      <c r="H403" s="3">
        <f t="shared" si="34"/>
        <v>4.1406641610510472E-6</v>
      </c>
      <c r="I403" s="3">
        <f t="shared" si="35"/>
        <v>0</v>
      </c>
      <c r="J403" s="3">
        <f t="shared" si="36"/>
        <v>0</v>
      </c>
      <c r="K403" s="3" t="str">
        <f t="shared" si="37"/>
        <v>Zn72</v>
      </c>
      <c r="L403" s="3" cm="1">
        <f t="array" ref="L403">SUM(($J403*EXP(-$H403*12*3600*_xlfn.SEQUENCE(L$1-1))))+$J403</f>
        <v>0</v>
      </c>
      <c r="M403" s="3"/>
      <c r="N403" s="3"/>
    </row>
    <row r="404" spans="2:14" hidden="1" x14ac:dyDescent="0.2">
      <c r="B404" s="3">
        <v>30073</v>
      </c>
      <c r="C404" s="3">
        <v>0</v>
      </c>
      <c r="D404">
        <v>401</v>
      </c>
      <c r="E404" t="str">
        <f>VLOOKUP(B404,Nuclides!A:F,5,FALSE)</f>
        <v>Zn73</v>
      </c>
      <c r="F404">
        <f>VLOOKUP(B404,Nuclides!A:F,4,FALSE)</f>
        <v>23.5</v>
      </c>
      <c r="G404" s="3" t="str">
        <f t="shared" si="33"/>
        <v>23.5s</v>
      </c>
      <c r="H404" s="3">
        <f t="shared" si="34"/>
        <v>2.9495624704678522E-2</v>
      </c>
      <c r="I404" s="3">
        <f t="shared" si="35"/>
        <v>0</v>
      </c>
      <c r="J404" s="3">
        <f t="shared" si="36"/>
        <v>0</v>
      </c>
      <c r="K404" s="3" t="str">
        <f t="shared" si="37"/>
        <v>Zn73</v>
      </c>
      <c r="L404" s="3" cm="1">
        <f t="array" ref="L404">SUM(($J404*EXP(-$H404*12*3600*_xlfn.SEQUENCE(L$1-1))))+$J404</f>
        <v>0</v>
      </c>
      <c r="M404" s="3"/>
      <c r="N404" s="3"/>
    </row>
    <row r="405" spans="2:14" hidden="1" x14ac:dyDescent="0.2">
      <c r="B405" s="3">
        <v>30074</v>
      </c>
      <c r="C405" s="3">
        <v>0</v>
      </c>
      <c r="D405">
        <v>402</v>
      </c>
      <c r="E405" t="str">
        <f>VLOOKUP(B405,Nuclides!A:F,5,FALSE)</f>
        <v>Zn74</v>
      </c>
      <c r="F405">
        <f>VLOOKUP(B405,Nuclides!A:F,4,FALSE)</f>
        <v>95.6</v>
      </c>
      <c r="G405" s="3" t="str">
        <f t="shared" si="33"/>
        <v>1.59min</v>
      </c>
      <c r="H405" s="3">
        <f t="shared" si="34"/>
        <v>7.2504935205015206E-3</v>
      </c>
      <c r="I405" s="3">
        <f t="shared" si="35"/>
        <v>0</v>
      </c>
      <c r="J405" s="3">
        <f t="shared" si="36"/>
        <v>0</v>
      </c>
      <c r="K405" s="3" t="str">
        <f t="shared" si="37"/>
        <v>Zn74</v>
      </c>
      <c r="L405" s="3" cm="1">
        <f t="array" ref="L405">SUM(($J405*EXP(-$H405*12*3600*_xlfn.SEQUENCE(L$1-1))))+$J405</f>
        <v>0</v>
      </c>
      <c r="M405" s="3"/>
      <c r="N405" s="3"/>
    </row>
    <row r="406" spans="2:14" hidden="1" x14ac:dyDescent="0.2">
      <c r="B406" s="3">
        <v>30075</v>
      </c>
      <c r="C406" s="3">
        <v>0</v>
      </c>
      <c r="D406">
        <v>403</v>
      </c>
      <c r="E406" t="str">
        <f>VLOOKUP(B406,Nuclides!A:F,5,FALSE)</f>
        <v>Zn75</v>
      </c>
      <c r="F406">
        <f>VLOOKUP(B406,Nuclides!A:F,4,FALSE)</f>
        <v>10.199999999999999</v>
      </c>
      <c r="G406" s="3" t="str">
        <f t="shared" si="33"/>
        <v>10.2s</v>
      </c>
      <c r="H406" s="3">
        <f t="shared" si="34"/>
        <v>6.7955605937249544E-2</v>
      </c>
      <c r="I406" s="3">
        <f t="shared" si="35"/>
        <v>0</v>
      </c>
      <c r="J406" s="3">
        <f t="shared" si="36"/>
        <v>0</v>
      </c>
      <c r="K406" s="3" t="str">
        <f t="shared" si="37"/>
        <v>Zn75</v>
      </c>
      <c r="L406" s="3" cm="1">
        <f t="array" ref="L406">SUM(($J406*EXP(-$H406*12*3600*_xlfn.SEQUENCE(L$1-1))))+$J406</f>
        <v>0</v>
      </c>
      <c r="M406" s="3"/>
      <c r="N406" s="3"/>
    </row>
    <row r="407" spans="2:14" hidden="1" x14ac:dyDescent="0.2">
      <c r="B407" s="3">
        <v>30076</v>
      </c>
      <c r="C407" s="3">
        <v>0</v>
      </c>
      <c r="D407">
        <v>404</v>
      </c>
      <c r="E407" t="str">
        <f>VLOOKUP(B407,Nuclides!A:F,5,FALSE)</f>
        <v>Zn76</v>
      </c>
      <c r="F407">
        <f>VLOOKUP(B407,Nuclides!A:F,4,FALSE)</f>
        <v>5.7</v>
      </c>
      <c r="G407" s="3" t="str">
        <f t="shared" si="33"/>
        <v>5.7s</v>
      </c>
      <c r="H407" s="3">
        <f t="shared" si="34"/>
        <v>0.12160476851928864</v>
      </c>
      <c r="I407" s="3">
        <f t="shared" si="35"/>
        <v>0</v>
      </c>
      <c r="J407" s="3">
        <f t="shared" si="36"/>
        <v>0</v>
      </c>
      <c r="K407" s="3" t="str">
        <f t="shared" si="37"/>
        <v>Zn76</v>
      </c>
      <c r="L407" s="3" cm="1">
        <f t="array" ref="L407">SUM(($J407*EXP(-$H407*12*3600*_xlfn.SEQUENCE(L$1-1))))+$J407</f>
        <v>0</v>
      </c>
      <c r="M407" s="3"/>
      <c r="N407" s="3"/>
    </row>
    <row r="408" spans="2:14" hidden="1" x14ac:dyDescent="0.2">
      <c r="B408" s="3">
        <v>30077</v>
      </c>
      <c r="C408" s="3">
        <v>0</v>
      </c>
      <c r="D408">
        <v>405</v>
      </c>
      <c r="E408" t="str">
        <f>VLOOKUP(B408,Nuclides!A:F,5,FALSE)</f>
        <v>Zn77</v>
      </c>
      <c r="F408">
        <f>VLOOKUP(B408,Nuclides!A:F,4,FALSE)</f>
        <v>2.08</v>
      </c>
      <c r="G408" s="3" t="str">
        <f t="shared" si="33"/>
        <v>2.08s</v>
      </c>
      <c r="H408" s="3">
        <f t="shared" si="34"/>
        <v>0.33324383680766601</v>
      </c>
      <c r="I408" s="3">
        <f t="shared" si="35"/>
        <v>0</v>
      </c>
      <c r="J408" s="3">
        <f t="shared" si="36"/>
        <v>0</v>
      </c>
      <c r="K408" s="3" t="str">
        <f t="shared" si="37"/>
        <v>Zn77</v>
      </c>
      <c r="L408" s="3" cm="1">
        <f t="array" ref="L408">SUM(($J408*EXP(-$H408*12*3600*_xlfn.SEQUENCE(L$1-1))))+$J408</f>
        <v>0</v>
      </c>
      <c r="M408" s="3"/>
      <c r="N408" s="3"/>
    </row>
    <row r="409" spans="2:14" hidden="1" x14ac:dyDescent="0.2">
      <c r="B409" s="3">
        <v>30078</v>
      </c>
      <c r="C409" s="3">
        <v>0</v>
      </c>
      <c r="D409">
        <v>406</v>
      </c>
      <c r="E409" t="str">
        <f>VLOOKUP(B409,Nuclides!A:F,5,FALSE)</f>
        <v>Zn78</v>
      </c>
      <c r="F409">
        <f>VLOOKUP(B409,Nuclides!A:F,4,FALSE)</f>
        <v>1.47</v>
      </c>
      <c r="G409" s="3" t="str">
        <f t="shared" si="33"/>
        <v>1.47s</v>
      </c>
      <c r="H409" s="3">
        <f t="shared" si="34"/>
        <v>0.47152869425846616</v>
      </c>
      <c r="I409" s="3">
        <f t="shared" si="35"/>
        <v>0</v>
      </c>
      <c r="J409" s="3">
        <f t="shared" si="36"/>
        <v>0</v>
      </c>
      <c r="K409" s="3" t="str">
        <f t="shared" si="37"/>
        <v>Zn78</v>
      </c>
      <c r="L409" s="3" cm="1">
        <f t="array" ref="L409">SUM(($J409*EXP(-$H409*12*3600*_xlfn.SEQUENCE(L$1-1))))+$J409</f>
        <v>0</v>
      </c>
      <c r="M409" s="3"/>
      <c r="N409" s="3"/>
    </row>
    <row r="410" spans="2:14" hidden="1" x14ac:dyDescent="0.2">
      <c r="B410" s="3">
        <v>31062</v>
      </c>
      <c r="C410" s="3">
        <v>0</v>
      </c>
      <c r="D410">
        <v>407</v>
      </c>
      <c r="E410" t="str">
        <f>VLOOKUP(B410,Nuclides!A:F,5,FALSE)</f>
        <v>Ga62</v>
      </c>
      <c r="F410">
        <f>VLOOKUP(B410,Nuclides!A:F,4,FALSE)</f>
        <v>0.116121</v>
      </c>
      <c r="G410" s="3" t="str">
        <f t="shared" si="33"/>
        <v>0.116121s</v>
      </c>
      <c r="H410" s="3">
        <f t="shared" si="34"/>
        <v>5.9691802564561556</v>
      </c>
      <c r="I410" s="3">
        <f t="shared" si="35"/>
        <v>0</v>
      </c>
      <c r="J410" s="3">
        <f t="shared" si="36"/>
        <v>0</v>
      </c>
      <c r="K410" s="3" t="str">
        <f t="shared" si="37"/>
        <v>Ga62</v>
      </c>
      <c r="L410" s="3" cm="1">
        <f t="array" ref="L410">SUM(($J410*EXP(-$H410*12*3600*_xlfn.SEQUENCE(L$1-1))))+$J410</f>
        <v>0</v>
      </c>
      <c r="M410" s="3"/>
      <c r="N410" s="3"/>
    </row>
    <row r="411" spans="2:14" hidden="1" x14ac:dyDescent="0.2">
      <c r="B411" s="3">
        <v>31063</v>
      </c>
      <c r="C411" s="3">
        <v>0</v>
      </c>
      <c r="D411">
        <v>408</v>
      </c>
      <c r="E411" t="str">
        <f>VLOOKUP(B411,Nuclides!A:F,5,FALSE)</f>
        <v>Ga63</v>
      </c>
      <c r="F411">
        <f>VLOOKUP(B411,Nuclides!A:F,4,FALSE)</f>
        <v>32.4</v>
      </c>
      <c r="G411" s="3" t="str">
        <f t="shared" si="33"/>
        <v>32.4s</v>
      </c>
      <c r="H411" s="3">
        <f t="shared" si="34"/>
        <v>2.1393431498763743E-2</v>
      </c>
      <c r="I411" s="3">
        <f t="shared" si="35"/>
        <v>0</v>
      </c>
      <c r="J411" s="3">
        <f t="shared" si="36"/>
        <v>0</v>
      </c>
      <c r="K411" s="3" t="str">
        <f t="shared" si="37"/>
        <v>Ga63</v>
      </c>
      <c r="L411" s="3" cm="1">
        <f t="array" ref="L411">SUM(($J411*EXP(-$H411*12*3600*_xlfn.SEQUENCE(L$1-1))))+$J411</f>
        <v>0</v>
      </c>
      <c r="M411" s="3"/>
      <c r="N411" s="3"/>
    </row>
    <row r="412" spans="2:14" hidden="1" x14ac:dyDescent="0.2">
      <c r="B412" s="3">
        <v>31064</v>
      </c>
      <c r="C412" s="3">
        <v>0</v>
      </c>
      <c r="D412">
        <v>409</v>
      </c>
      <c r="E412" t="str">
        <f>VLOOKUP(B412,Nuclides!A:F,5,FALSE)</f>
        <v>Ga64</v>
      </c>
      <c r="F412">
        <f>VLOOKUP(B412,Nuclides!A:F,4,FALSE)</f>
        <v>157.61999999999901</v>
      </c>
      <c r="G412" s="3" t="str">
        <f t="shared" si="33"/>
        <v>2.63min</v>
      </c>
      <c r="H412" s="3">
        <f t="shared" si="34"/>
        <v>4.3975839396012536E-3</v>
      </c>
      <c r="I412" s="3">
        <f t="shared" si="35"/>
        <v>0</v>
      </c>
      <c r="J412" s="3">
        <f t="shared" si="36"/>
        <v>0</v>
      </c>
      <c r="K412" s="3" t="str">
        <f t="shared" si="37"/>
        <v>Ga64</v>
      </c>
      <c r="L412" s="3" cm="1">
        <f t="array" ref="L412">SUM(($J412*EXP(-$H412*12*3600*_xlfn.SEQUENCE(L$1-1))))+$J412</f>
        <v>0</v>
      </c>
      <c r="M412" s="3"/>
      <c r="N412" s="3"/>
    </row>
    <row r="413" spans="2:14" hidden="1" x14ac:dyDescent="0.2">
      <c r="B413" s="3">
        <v>31065</v>
      </c>
      <c r="C413" s="3">
        <v>0</v>
      </c>
      <c r="D413">
        <v>410</v>
      </c>
      <c r="E413" t="str">
        <f>VLOOKUP(B413,Nuclides!A:F,5,FALSE)</f>
        <v>Ga65</v>
      </c>
      <c r="F413">
        <f>VLOOKUP(B413,Nuclides!A:F,4,FALSE)</f>
        <v>912</v>
      </c>
      <c r="G413" s="3" t="str">
        <f t="shared" si="33"/>
        <v>15.2min</v>
      </c>
      <c r="H413" s="3">
        <f t="shared" si="34"/>
        <v>7.6002980324555401E-4</v>
      </c>
      <c r="I413" s="3">
        <f t="shared" si="35"/>
        <v>0</v>
      </c>
      <c r="J413" s="3">
        <f t="shared" si="36"/>
        <v>0</v>
      </c>
      <c r="K413" s="3" t="str">
        <f t="shared" si="37"/>
        <v>Ga65</v>
      </c>
      <c r="L413" s="3" cm="1">
        <f t="array" ref="L413">SUM(($J413*EXP(-$H413*12*3600*_xlfn.SEQUENCE(L$1-1))))+$J413</f>
        <v>0</v>
      </c>
      <c r="M413" s="3"/>
      <c r="N413" s="3"/>
    </row>
    <row r="414" spans="2:14" hidden="1" x14ac:dyDescent="0.2">
      <c r="B414" s="3">
        <v>31066</v>
      </c>
      <c r="C414" s="3">
        <v>0</v>
      </c>
      <c r="D414">
        <v>411</v>
      </c>
      <c r="E414" t="str">
        <f>VLOOKUP(B414,Nuclides!A:F,5,FALSE)</f>
        <v>Ga66</v>
      </c>
      <c r="F414">
        <f>VLOOKUP(B414,Nuclides!A:F,4,FALSE)</f>
        <v>34164</v>
      </c>
      <c r="G414" s="3" t="str">
        <f t="shared" si="33"/>
        <v>9.49h</v>
      </c>
      <c r="H414" s="3">
        <f t="shared" si="34"/>
        <v>2.0288818070481948E-5</v>
      </c>
      <c r="I414" s="3">
        <f t="shared" si="35"/>
        <v>0</v>
      </c>
      <c r="J414" s="3">
        <f t="shared" si="36"/>
        <v>0</v>
      </c>
      <c r="K414" s="3" t="str">
        <f t="shared" si="37"/>
        <v>Ga66</v>
      </c>
      <c r="L414" s="3" cm="1">
        <f t="array" ref="L414">SUM(($J414*EXP(-$H414*12*3600*_xlfn.SEQUENCE(L$1-1))))+$J414</f>
        <v>0</v>
      </c>
      <c r="M414" s="3"/>
      <c r="N414" s="3"/>
    </row>
    <row r="415" spans="2:14" hidden="1" x14ac:dyDescent="0.2">
      <c r="B415" s="3">
        <v>31067</v>
      </c>
      <c r="C415" s="3">
        <v>0</v>
      </c>
      <c r="D415">
        <v>412</v>
      </c>
      <c r="E415" t="str">
        <f>VLOOKUP(B415,Nuclides!A:F,5,FALSE)</f>
        <v>Ga67</v>
      </c>
      <c r="F415">
        <f>VLOOKUP(B415,Nuclides!A:F,4,FALSE)</f>
        <v>281810.88</v>
      </c>
      <c r="G415" s="3" t="str">
        <f t="shared" si="33"/>
        <v>3.26d</v>
      </c>
      <c r="H415" s="3">
        <f t="shared" si="34"/>
        <v>2.4596182395794844E-6</v>
      </c>
      <c r="I415" s="3">
        <f t="shared" si="35"/>
        <v>0</v>
      </c>
      <c r="J415" s="3">
        <f t="shared" si="36"/>
        <v>0</v>
      </c>
      <c r="K415" s="3" t="str">
        <f t="shared" si="37"/>
        <v>Ga67</v>
      </c>
      <c r="L415" s="3" cm="1">
        <f t="array" ref="L415">SUM(($J415*EXP(-$H415*12*3600*_xlfn.SEQUENCE(L$1-1))))+$J415</f>
        <v>0</v>
      </c>
      <c r="M415" s="3"/>
      <c r="N415" s="3"/>
    </row>
    <row r="416" spans="2:14" hidden="1" x14ac:dyDescent="0.2">
      <c r="B416" s="3">
        <v>31068</v>
      </c>
      <c r="C416" s="3">
        <v>0</v>
      </c>
      <c r="D416">
        <v>413</v>
      </c>
      <c r="E416" t="str">
        <f>VLOOKUP(B416,Nuclides!A:F,5,FALSE)</f>
        <v>Ga68</v>
      </c>
      <c r="F416">
        <f>VLOOKUP(B416,Nuclides!A:F,4,FALSE)</f>
        <v>4062.5999999999899</v>
      </c>
      <c r="G416" s="3" t="str">
        <f t="shared" si="33"/>
        <v>1.13h</v>
      </c>
      <c r="H416" s="3">
        <f t="shared" si="34"/>
        <v>1.7061664465119555E-4</v>
      </c>
      <c r="I416" s="3">
        <f t="shared" si="35"/>
        <v>0</v>
      </c>
      <c r="J416" s="3">
        <f t="shared" si="36"/>
        <v>0</v>
      </c>
      <c r="K416" s="3" t="str">
        <f t="shared" si="37"/>
        <v>Ga68</v>
      </c>
      <c r="L416" s="3" cm="1">
        <f t="array" ref="L416">SUM(($J416*EXP(-$H416*12*3600*_xlfn.SEQUENCE(L$1-1))))+$J416</f>
        <v>0</v>
      </c>
      <c r="M416" s="3"/>
      <c r="N416" s="3"/>
    </row>
    <row r="417" spans="2:14" hidden="1" x14ac:dyDescent="0.2">
      <c r="B417" s="3">
        <v>31069</v>
      </c>
      <c r="C417" s="3">
        <v>0</v>
      </c>
      <c r="D417">
        <v>414</v>
      </c>
      <c r="E417" t="str">
        <f>VLOOKUP(B417,Nuclides!A:F,5,FALSE)</f>
        <v>Ga69</v>
      </c>
      <c r="F417" t="str">
        <f>VLOOKUP(B417,Nuclides!A:F,4,FALSE)</f>
        <v>STABLE</v>
      </c>
      <c r="G417" s="3" t="str">
        <f t="shared" si="33"/>
        <v>STABLE</v>
      </c>
      <c r="H417" s="3" t="e">
        <f t="shared" si="34"/>
        <v>#VALUE!</v>
      </c>
      <c r="I417" s="3" t="e">
        <f t="shared" si="35"/>
        <v>#VALUE!</v>
      </c>
      <c r="J417" s="3" t="e">
        <f t="shared" si="36"/>
        <v>#VALUE!</v>
      </c>
      <c r="K417" s="3" t="str">
        <f t="shared" si="37"/>
        <v>Ga69</v>
      </c>
      <c r="L417" s="3" t="e" cm="1">
        <f t="array" ref="L417">SUM(($J417*EXP(-$H417*12*3600*_xlfn.SEQUENCE(L$1-1))))+$J417</f>
        <v>#VALUE!</v>
      </c>
      <c r="M417" s="3"/>
      <c r="N417" s="3"/>
    </row>
    <row r="418" spans="2:14" hidden="1" x14ac:dyDescent="0.2">
      <c r="B418" s="3">
        <v>31070</v>
      </c>
      <c r="C418" s="3">
        <v>0</v>
      </c>
      <c r="D418">
        <v>415</v>
      </c>
      <c r="E418" t="str">
        <f>VLOOKUP(B418,Nuclides!A:F,5,FALSE)</f>
        <v>Ga70</v>
      </c>
      <c r="F418">
        <f>VLOOKUP(B418,Nuclides!A:F,4,FALSE)</f>
        <v>1268.4000000000001</v>
      </c>
      <c r="G418" s="3" t="str">
        <f t="shared" si="33"/>
        <v>21.14min</v>
      </c>
      <c r="H418" s="3">
        <f t="shared" si="34"/>
        <v>5.4647365228630181E-4</v>
      </c>
      <c r="I418" s="3">
        <f t="shared" si="35"/>
        <v>0</v>
      </c>
      <c r="J418" s="3">
        <f t="shared" si="36"/>
        <v>0</v>
      </c>
      <c r="K418" s="3" t="str">
        <f t="shared" si="37"/>
        <v>Ga70</v>
      </c>
      <c r="L418" s="3" cm="1">
        <f t="array" ref="L418">SUM(($J418*EXP(-$H418*12*3600*_xlfn.SEQUENCE(L$1-1))))+$J418</f>
        <v>0</v>
      </c>
      <c r="M418" s="3"/>
      <c r="N418" s="3"/>
    </row>
    <row r="419" spans="2:14" hidden="1" x14ac:dyDescent="0.2">
      <c r="B419" s="3">
        <v>31071</v>
      </c>
      <c r="C419" s="3">
        <v>0</v>
      </c>
      <c r="D419">
        <v>416</v>
      </c>
      <c r="E419" t="str">
        <f>VLOOKUP(B419,Nuclides!A:F,5,FALSE)</f>
        <v>Ga71</v>
      </c>
      <c r="F419" t="str">
        <f>VLOOKUP(B419,Nuclides!A:F,4,FALSE)</f>
        <v>STABLE</v>
      </c>
      <c r="G419" s="3" t="str">
        <f t="shared" si="33"/>
        <v>STABLE</v>
      </c>
      <c r="H419" s="3" t="e">
        <f t="shared" si="34"/>
        <v>#VALUE!</v>
      </c>
      <c r="I419" s="3" t="e">
        <f t="shared" si="35"/>
        <v>#VALUE!</v>
      </c>
      <c r="J419" s="3" t="e">
        <f t="shared" si="36"/>
        <v>#VALUE!</v>
      </c>
      <c r="K419" s="3" t="str">
        <f t="shared" si="37"/>
        <v>Ga71</v>
      </c>
      <c r="L419" s="3" t="e" cm="1">
        <f t="array" ref="L419">SUM(($J419*EXP(-$H419*12*3600*_xlfn.SEQUENCE(L$1-1))))+$J419</f>
        <v>#VALUE!</v>
      </c>
      <c r="M419" s="3"/>
      <c r="N419" s="3"/>
    </row>
    <row r="420" spans="2:14" hidden="1" x14ac:dyDescent="0.2">
      <c r="B420" s="3">
        <v>31072</v>
      </c>
      <c r="C420" s="3">
        <v>0</v>
      </c>
      <c r="D420">
        <v>417</v>
      </c>
      <c r="E420" t="str">
        <f>VLOOKUP(B420,Nuclides!A:F,5,FALSE)</f>
        <v>Ga72</v>
      </c>
      <c r="F420">
        <f>VLOOKUP(B420,Nuclides!A:F,4,FALSE)</f>
        <v>50760</v>
      </c>
      <c r="G420" s="3" t="str">
        <f t="shared" si="33"/>
        <v>14.1h</v>
      </c>
      <c r="H420" s="3">
        <f t="shared" si="34"/>
        <v>1.3655381807721538E-5</v>
      </c>
      <c r="I420" s="3">
        <f t="shared" si="35"/>
        <v>0</v>
      </c>
      <c r="J420" s="3">
        <f t="shared" si="36"/>
        <v>0</v>
      </c>
      <c r="K420" s="3" t="str">
        <f t="shared" si="37"/>
        <v>Ga72</v>
      </c>
      <c r="L420" s="3" cm="1">
        <f t="array" ref="L420">SUM(($J420*EXP(-$H420*12*3600*_xlfn.SEQUENCE(L$1-1))))+$J420</f>
        <v>0</v>
      </c>
      <c r="M420" s="3"/>
      <c r="N420" s="3"/>
    </row>
    <row r="421" spans="2:14" hidden="1" x14ac:dyDescent="0.2">
      <c r="B421" s="3">
        <v>31073</v>
      </c>
      <c r="C421" s="3">
        <v>0</v>
      </c>
      <c r="D421">
        <v>418</v>
      </c>
      <c r="E421" t="str">
        <f>VLOOKUP(B421,Nuclides!A:F,5,FALSE)</f>
        <v>Ga73</v>
      </c>
      <c r="F421">
        <f>VLOOKUP(B421,Nuclides!A:F,4,FALSE)</f>
        <v>17496</v>
      </c>
      <c r="G421" s="3" t="str">
        <f t="shared" si="33"/>
        <v>4.86h</v>
      </c>
      <c r="H421" s="3">
        <f t="shared" si="34"/>
        <v>3.9617465738451376E-5</v>
      </c>
      <c r="I421" s="3">
        <f t="shared" si="35"/>
        <v>0</v>
      </c>
      <c r="J421" s="3">
        <f t="shared" si="36"/>
        <v>0</v>
      </c>
      <c r="K421" s="3" t="str">
        <f t="shared" si="37"/>
        <v>Ga73</v>
      </c>
      <c r="L421" s="3" cm="1">
        <f t="array" ref="L421">SUM(($J421*EXP(-$H421*12*3600*_xlfn.SEQUENCE(L$1-1))))+$J421</f>
        <v>0</v>
      </c>
      <c r="M421" s="3"/>
      <c r="N421" s="3"/>
    </row>
    <row r="422" spans="2:14" hidden="1" x14ac:dyDescent="0.2">
      <c r="B422" s="3">
        <v>31074</v>
      </c>
      <c r="C422" s="3">
        <v>0</v>
      </c>
      <c r="D422">
        <v>419</v>
      </c>
      <c r="E422" t="str">
        <f>VLOOKUP(B422,Nuclides!A:F,5,FALSE)</f>
        <v>Ga74</v>
      </c>
      <c r="F422">
        <f>VLOOKUP(B422,Nuclides!A:F,4,FALSE)</f>
        <v>487.19999999999902</v>
      </c>
      <c r="G422" s="3" t="str">
        <f t="shared" si="33"/>
        <v>8.12min</v>
      </c>
      <c r="H422" s="3">
        <f t="shared" si="34"/>
        <v>1.4227158878488233E-3</v>
      </c>
      <c r="I422" s="3">
        <f t="shared" si="35"/>
        <v>0</v>
      </c>
      <c r="J422" s="3">
        <f t="shared" si="36"/>
        <v>0</v>
      </c>
      <c r="K422" s="3" t="str">
        <f t="shared" si="37"/>
        <v>Ga74</v>
      </c>
      <c r="L422" s="3" cm="1">
        <f t="array" ref="L422">SUM(($J422*EXP(-$H422*12*3600*_xlfn.SEQUENCE(L$1-1))))+$J422</f>
        <v>0</v>
      </c>
      <c r="M422" s="3"/>
      <c r="N422" s="3"/>
    </row>
    <row r="423" spans="2:14" hidden="1" x14ac:dyDescent="0.2">
      <c r="B423" s="3">
        <v>31075</v>
      </c>
      <c r="C423" s="3">
        <v>0</v>
      </c>
      <c r="D423">
        <v>420</v>
      </c>
      <c r="E423" t="str">
        <f>VLOOKUP(B423,Nuclides!A:F,5,FALSE)</f>
        <v>Ga75</v>
      </c>
      <c r="F423">
        <f>VLOOKUP(B423,Nuclides!A:F,4,FALSE)</f>
        <v>126</v>
      </c>
      <c r="G423" s="3" t="str">
        <f t="shared" si="33"/>
        <v>2.1min</v>
      </c>
      <c r="H423" s="3">
        <f t="shared" si="34"/>
        <v>5.5011680996821053E-3</v>
      </c>
      <c r="I423" s="3">
        <f t="shared" si="35"/>
        <v>0</v>
      </c>
      <c r="J423" s="3">
        <f t="shared" si="36"/>
        <v>0</v>
      </c>
      <c r="K423" s="3" t="str">
        <f t="shared" si="37"/>
        <v>Ga75</v>
      </c>
      <c r="L423" s="3" cm="1">
        <f t="array" ref="L423">SUM(($J423*EXP(-$H423*12*3600*_xlfn.SEQUENCE(L$1-1))))+$J423</f>
        <v>0</v>
      </c>
      <c r="M423" s="3"/>
      <c r="N423" s="3"/>
    </row>
    <row r="424" spans="2:14" hidden="1" x14ac:dyDescent="0.2">
      <c r="B424" s="3">
        <v>31076</v>
      </c>
      <c r="C424" s="3">
        <v>0</v>
      </c>
      <c r="D424">
        <v>421</v>
      </c>
      <c r="E424" t="str">
        <f>VLOOKUP(B424,Nuclides!A:F,5,FALSE)</f>
        <v>Ga76</v>
      </c>
      <c r="F424">
        <f>VLOOKUP(B424,Nuclides!A:F,4,FALSE)</f>
        <v>32.6</v>
      </c>
      <c r="G424" s="3" t="str">
        <f t="shared" si="33"/>
        <v>32.6s</v>
      </c>
      <c r="H424" s="3">
        <f t="shared" si="34"/>
        <v>2.1262183452759056E-2</v>
      </c>
      <c r="I424" s="3">
        <f t="shared" si="35"/>
        <v>0</v>
      </c>
      <c r="J424" s="3">
        <f t="shared" si="36"/>
        <v>0</v>
      </c>
      <c r="K424" s="3" t="str">
        <f t="shared" si="37"/>
        <v>Ga76</v>
      </c>
      <c r="L424" s="3" cm="1">
        <f t="array" ref="L424">SUM(($J424*EXP(-$H424*12*3600*_xlfn.SEQUENCE(L$1-1))))+$J424</f>
        <v>0</v>
      </c>
      <c r="M424" s="3"/>
      <c r="N424" s="3"/>
    </row>
    <row r="425" spans="2:14" hidden="1" x14ac:dyDescent="0.2">
      <c r="B425" s="3">
        <v>31077</v>
      </c>
      <c r="C425" s="3">
        <v>0</v>
      </c>
      <c r="D425">
        <v>422</v>
      </c>
      <c r="E425" t="str">
        <f>VLOOKUP(B425,Nuclides!A:F,5,FALSE)</f>
        <v>Ga77</v>
      </c>
      <c r="F425">
        <f>VLOOKUP(B425,Nuclides!A:F,4,FALSE)</f>
        <v>13.2</v>
      </c>
      <c r="G425" s="3" t="str">
        <f t="shared" si="33"/>
        <v>13.2s</v>
      </c>
      <c r="H425" s="3">
        <f t="shared" si="34"/>
        <v>5.2511150042420102E-2</v>
      </c>
      <c r="I425" s="3">
        <f t="shared" si="35"/>
        <v>0</v>
      </c>
      <c r="J425" s="3">
        <f t="shared" si="36"/>
        <v>0</v>
      </c>
      <c r="K425" s="3" t="str">
        <f t="shared" si="37"/>
        <v>Ga77</v>
      </c>
      <c r="L425" s="3" cm="1">
        <f t="array" ref="L425">SUM(($J425*EXP(-$H425*12*3600*_xlfn.SEQUENCE(L$1-1))))+$J425</f>
        <v>0</v>
      </c>
      <c r="M425" s="3"/>
      <c r="N425" s="3"/>
    </row>
    <row r="426" spans="2:14" hidden="1" x14ac:dyDescent="0.2">
      <c r="B426" s="3">
        <v>31078</v>
      </c>
      <c r="C426" s="3">
        <v>0</v>
      </c>
      <c r="D426">
        <v>423</v>
      </c>
      <c r="E426" t="str">
        <f>VLOOKUP(B426,Nuclides!A:F,5,FALSE)</f>
        <v>Ga78</v>
      </c>
      <c r="F426">
        <f>VLOOKUP(B426,Nuclides!A:F,4,FALSE)</f>
        <v>5.09</v>
      </c>
      <c r="G426" s="3" t="str">
        <f t="shared" si="33"/>
        <v>5.09s</v>
      </c>
      <c r="H426" s="3">
        <f t="shared" si="34"/>
        <v>0.13617822800784779</v>
      </c>
      <c r="I426" s="3">
        <f t="shared" si="35"/>
        <v>0</v>
      </c>
      <c r="J426" s="3">
        <f t="shared" si="36"/>
        <v>0</v>
      </c>
      <c r="K426" s="3" t="str">
        <f t="shared" si="37"/>
        <v>Ga78</v>
      </c>
      <c r="L426" s="3" cm="1">
        <f t="array" ref="L426">SUM(($J426*EXP(-$H426*12*3600*_xlfn.SEQUENCE(L$1-1))))+$J426</f>
        <v>0</v>
      </c>
      <c r="M426" s="3"/>
      <c r="N426" s="3"/>
    </row>
    <row r="427" spans="2:14" hidden="1" x14ac:dyDescent="0.2">
      <c r="B427" s="3">
        <v>31079</v>
      </c>
      <c r="C427" s="3">
        <v>0</v>
      </c>
      <c r="D427">
        <v>424</v>
      </c>
      <c r="E427" t="str">
        <f>VLOOKUP(B427,Nuclides!A:F,5,FALSE)</f>
        <v>Ga79</v>
      </c>
      <c r="F427">
        <f>VLOOKUP(B427,Nuclides!A:F,4,FALSE)</f>
        <v>2.847</v>
      </c>
      <c r="G427" s="3" t="str">
        <f t="shared" si="33"/>
        <v>2.847s</v>
      </c>
      <c r="H427" s="3">
        <f t="shared" si="34"/>
        <v>0.24346581684578339</v>
      </c>
      <c r="I427" s="3">
        <f t="shared" si="35"/>
        <v>0</v>
      </c>
      <c r="J427" s="3">
        <f t="shared" si="36"/>
        <v>0</v>
      </c>
      <c r="K427" s="3" t="str">
        <f t="shared" si="37"/>
        <v>Ga79</v>
      </c>
      <c r="L427" s="3" cm="1">
        <f t="array" ref="L427">SUM(($J427*EXP(-$H427*12*3600*_xlfn.SEQUENCE(L$1-1))))+$J427</f>
        <v>0</v>
      </c>
      <c r="M427" s="3"/>
      <c r="N427" s="3"/>
    </row>
    <row r="428" spans="2:14" hidden="1" x14ac:dyDescent="0.2">
      <c r="B428" s="3">
        <v>31080</v>
      </c>
      <c r="C428" s="3">
        <v>0</v>
      </c>
      <c r="D428">
        <v>425</v>
      </c>
      <c r="E428" t="str">
        <f>VLOOKUP(B428,Nuclides!A:F,5,FALSE)</f>
        <v>Ga80</v>
      </c>
      <c r="F428">
        <f>VLOOKUP(B428,Nuclides!A:F,4,FALSE)</f>
        <v>1.9</v>
      </c>
      <c r="G428" s="3" t="str">
        <f t="shared" si="33"/>
        <v>1.9s</v>
      </c>
      <c r="H428" s="3">
        <f t="shared" si="34"/>
        <v>0.36481430555786598</v>
      </c>
      <c r="I428" s="3">
        <f t="shared" si="35"/>
        <v>0</v>
      </c>
      <c r="J428" s="3">
        <f t="shared" si="36"/>
        <v>0</v>
      </c>
      <c r="K428" s="3" t="str">
        <f t="shared" si="37"/>
        <v>Ga80</v>
      </c>
      <c r="L428" s="3" cm="1">
        <f t="array" ref="L428">SUM(($J428*EXP(-$H428*12*3600*_xlfn.SEQUENCE(L$1-1))))+$J428</f>
        <v>0</v>
      </c>
      <c r="M428" s="3"/>
      <c r="N428" s="3"/>
    </row>
    <row r="429" spans="2:14" hidden="1" x14ac:dyDescent="0.2">
      <c r="B429" s="3">
        <v>31081</v>
      </c>
      <c r="C429" s="3">
        <v>0</v>
      </c>
      <c r="D429">
        <v>426</v>
      </c>
      <c r="E429" t="str">
        <f>VLOOKUP(B429,Nuclides!A:F,5,FALSE)</f>
        <v>Ga81</v>
      </c>
      <c r="F429">
        <f>VLOOKUP(B429,Nuclides!A:F,4,FALSE)</f>
        <v>1.2170000000000001</v>
      </c>
      <c r="G429" s="3" t="str">
        <f t="shared" si="33"/>
        <v>1.217s</v>
      </c>
      <c r="H429" s="3">
        <f t="shared" si="34"/>
        <v>0.56955396923578083</v>
      </c>
      <c r="I429" s="3">
        <f t="shared" si="35"/>
        <v>0</v>
      </c>
      <c r="J429" s="3">
        <f t="shared" si="36"/>
        <v>0</v>
      </c>
      <c r="K429" s="3" t="str">
        <f t="shared" si="37"/>
        <v>Ga81</v>
      </c>
      <c r="L429" s="3" cm="1">
        <f t="array" ref="L429">SUM(($J429*EXP(-$H429*12*3600*_xlfn.SEQUENCE(L$1-1))))+$J429</f>
        <v>0</v>
      </c>
      <c r="M429" s="3"/>
      <c r="N429" s="3"/>
    </row>
    <row r="430" spans="2:14" hidden="1" x14ac:dyDescent="0.2">
      <c r="B430" s="3">
        <v>31082</v>
      </c>
      <c r="C430" s="3">
        <v>0</v>
      </c>
      <c r="D430">
        <v>427</v>
      </c>
      <c r="E430" t="str">
        <f>VLOOKUP(B430,Nuclides!A:F,5,FALSE)</f>
        <v>Ga82</v>
      </c>
      <c r="F430">
        <f>VLOOKUP(B430,Nuclides!A:F,4,FALSE)</f>
        <v>0.59899999999999998</v>
      </c>
      <c r="G430" s="3" t="str">
        <f t="shared" si="33"/>
        <v>0.599s</v>
      </c>
      <c r="H430" s="3">
        <f t="shared" si="34"/>
        <v>1.1571739241401424</v>
      </c>
      <c r="I430" s="3">
        <f t="shared" si="35"/>
        <v>0</v>
      </c>
      <c r="J430" s="3">
        <f t="shared" si="36"/>
        <v>0</v>
      </c>
      <c r="K430" s="3" t="str">
        <f t="shared" si="37"/>
        <v>Ga82</v>
      </c>
      <c r="L430" s="3" cm="1">
        <f t="array" ref="L430">SUM(($J430*EXP(-$H430*12*3600*_xlfn.SEQUENCE(L$1-1))))+$J430</f>
        <v>0</v>
      </c>
      <c r="M430" s="3"/>
      <c r="N430" s="3"/>
    </row>
    <row r="431" spans="2:14" hidden="1" x14ac:dyDescent="0.2">
      <c r="B431" s="3">
        <v>31083</v>
      </c>
      <c r="C431" s="3">
        <v>0</v>
      </c>
      <c r="D431">
        <v>428</v>
      </c>
      <c r="E431" t="str">
        <f>VLOOKUP(B431,Nuclides!A:F,5,FALSE)</f>
        <v>Ga83</v>
      </c>
      <c r="F431">
        <f>VLOOKUP(B431,Nuclides!A:F,4,FALSE)</f>
        <v>0.30809999999999998</v>
      </c>
      <c r="G431" s="3" t="str">
        <f t="shared" si="33"/>
        <v>0.3081s</v>
      </c>
      <c r="H431" s="3">
        <f t="shared" si="34"/>
        <v>2.2497474214863531</v>
      </c>
      <c r="I431" s="3">
        <f t="shared" si="35"/>
        <v>0</v>
      </c>
      <c r="J431" s="3">
        <f t="shared" si="36"/>
        <v>0</v>
      </c>
      <c r="K431" s="3" t="str">
        <f t="shared" si="37"/>
        <v>Ga83</v>
      </c>
      <c r="L431" s="3" cm="1">
        <f t="array" ref="L431">SUM(($J431*EXP(-$H431*12*3600*_xlfn.SEQUENCE(L$1-1))))+$J431</f>
        <v>0</v>
      </c>
      <c r="M431" s="3"/>
      <c r="N431" s="3"/>
    </row>
    <row r="432" spans="2:14" hidden="1" x14ac:dyDescent="0.2">
      <c r="B432" s="3">
        <v>32061</v>
      </c>
      <c r="C432" s="3">
        <v>0</v>
      </c>
      <c r="D432">
        <v>429</v>
      </c>
      <c r="E432" t="str">
        <f>VLOOKUP(B432,Nuclides!A:F,5,FALSE)</f>
        <v>Ge61</v>
      </c>
      <c r="F432">
        <f>VLOOKUP(B432,Nuclides!A:F,4,FALSE)</f>
        <v>4.3999999999999997E-2</v>
      </c>
      <c r="G432" s="3" t="str">
        <f t="shared" si="33"/>
        <v>0.044s</v>
      </c>
      <c r="H432" s="3">
        <f t="shared" si="34"/>
        <v>15.753345012726029</v>
      </c>
      <c r="I432" s="3">
        <f t="shared" si="35"/>
        <v>0</v>
      </c>
      <c r="J432" s="3">
        <f t="shared" si="36"/>
        <v>0</v>
      </c>
      <c r="K432" s="3" t="str">
        <f t="shared" si="37"/>
        <v>Ge61</v>
      </c>
      <c r="L432" s="3" cm="1">
        <f t="array" ref="L432">SUM(($J432*EXP(-$H432*12*3600*_xlfn.SEQUENCE(L$1-1))))+$J432</f>
        <v>0</v>
      </c>
      <c r="M432" s="3"/>
      <c r="N432" s="3"/>
    </row>
    <row r="433" spans="2:14" hidden="1" x14ac:dyDescent="0.2">
      <c r="B433" s="3">
        <v>32062</v>
      </c>
      <c r="C433" s="3">
        <v>0</v>
      </c>
      <c r="D433">
        <v>430</v>
      </c>
      <c r="E433" t="str">
        <f>VLOOKUP(B433,Nuclides!A:F,5,FALSE)</f>
        <v>Ge62</v>
      </c>
      <c r="F433">
        <f>VLOOKUP(B433,Nuclides!A:F,4,FALSE)</f>
        <v>0.129</v>
      </c>
      <c r="G433" s="3" t="str">
        <f t="shared" si="33"/>
        <v>0.129s</v>
      </c>
      <c r="H433" s="3">
        <f t="shared" si="34"/>
        <v>5.3732339578290329</v>
      </c>
      <c r="I433" s="3">
        <f t="shared" si="35"/>
        <v>0</v>
      </c>
      <c r="J433" s="3">
        <f t="shared" si="36"/>
        <v>0</v>
      </c>
      <c r="K433" s="3" t="str">
        <f t="shared" si="37"/>
        <v>Ge62</v>
      </c>
      <c r="L433" s="3" cm="1">
        <f t="array" ref="L433">SUM(($J433*EXP(-$H433*12*3600*_xlfn.SEQUENCE(L$1-1))))+$J433</f>
        <v>0</v>
      </c>
      <c r="M433" s="3"/>
      <c r="N433" s="3"/>
    </row>
    <row r="434" spans="2:14" hidden="1" x14ac:dyDescent="0.2">
      <c r="B434" s="3">
        <v>32063</v>
      </c>
      <c r="C434" s="3">
        <v>0</v>
      </c>
      <c r="D434">
        <v>431</v>
      </c>
      <c r="E434" t="str">
        <f>VLOOKUP(B434,Nuclides!A:F,5,FALSE)</f>
        <v>Ge63</v>
      </c>
      <c r="F434">
        <f>VLOOKUP(B434,Nuclides!A:F,4,FALSE)</f>
        <v>0.15</v>
      </c>
      <c r="G434" s="3" t="str">
        <f t="shared" si="33"/>
        <v>0.15s</v>
      </c>
      <c r="H434" s="3">
        <f t="shared" si="34"/>
        <v>4.6209812037329687</v>
      </c>
      <c r="I434" s="3">
        <f t="shared" si="35"/>
        <v>0</v>
      </c>
      <c r="J434" s="3">
        <f t="shared" si="36"/>
        <v>0</v>
      </c>
      <c r="K434" s="3" t="str">
        <f t="shared" si="37"/>
        <v>Ge63</v>
      </c>
      <c r="L434" s="3" cm="1">
        <f t="array" ref="L434">SUM(($J434*EXP(-$H434*12*3600*_xlfn.SEQUENCE(L$1-1))))+$J434</f>
        <v>0</v>
      </c>
      <c r="M434" s="3"/>
      <c r="N434" s="3"/>
    </row>
    <row r="435" spans="2:14" hidden="1" x14ac:dyDescent="0.2">
      <c r="B435" s="3">
        <v>32064</v>
      </c>
      <c r="C435" s="3">
        <v>0</v>
      </c>
      <c r="D435">
        <v>432</v>
      </c>
      <c r="E435" t="str">
        <f>VLOOKUP(B435,Nuclides!A:F,5,FALSE)</f>
        <v>Ge64</v>
      </c>
      <c r="F435">
        <f>VLOOKUP(B435,Nuclides!A:F,4,FALSE)</f>
        <v>63.7</v>
      </c>
      <c r="G435" s="3" t="str">
        <f t="shared" si="33"/>
        <v>1.06min</v>
      </c>
      <c r="H435" s="3">
        <f t="shared" si="34"/>
        <v>1.0881431405964604E-2</v>
      </c>
      <c r="I435" s="3">
        <f t="shared" si="35"/>
        <v>0</v>
      </c>
      <c r="J435" s="3">
        <f t="shared" si="36"/>
        <v>0</v>
      </c>
      <c r="K435" s="3" t="str">
        <f t="shared" si="37"/>
        <v>Ge64</v>
      </c>
      <c r="L435" s="3" cm="1">
        <f t="array" ref="L435">SUM(($J435*EXP(-$H435*12*3600*_xlfn.SEQUENCE(L$1-1))))+$J435</f>
        <v>0</v>
      </c>
      <c r="M435" s="3"/>
      <c r="N435" s="3"/>
    </row>
    <row r="436" spans="2:14" hidden="1" x14ac:dyDescent="0.2">
      <c r="B436" s="3">
        <v>32065</v>
      </c>
      <c r="C436" s="3">
        <v>0</v>
      </c>
      <c r="D436">
        <v>433</v>
      </c>
      <c r="E436" t="str">
        <f>VLOOKUP(B436,Nuclides!A:F,5,FALSE)</f>
        <v>Ge65</v>
      </c>
      <c r="F436">
        <f>VLOOKUP(B436,Nuclides!A:F,4,FALSE)</f>
        <v>30.9</v>
      </c>
      <c r="G436" s="3" t="str">
        <f t="shared" si="33"/>
        <v>30.9s</v>
      </c>
      <c r="H436" s="3">
        <f t="shared" si="34"/>
        <v>2.2431947590936741E-2</v>
      </c>
      <c r="I436" s="3">
        <f t="shared" si="35"/>
        <v>0</v>
      </c>
      <c r="J436" s="3">
        <f t="shared" si="36"/>
        <v>0</v>
      </c>
      <c r="K436" s="3" t="str">
        <f t="shared" si="37"/>
        <v>Ge65</v>
      </c>
      <c r="L436" s="3" cm="1">
        <f t="array" ref="L436">SUM(($J436*EXP(-$H436*12*3600*_xlfn.SEQUENCE(L$1-1))))+$J436</f>
        <v>0</v>
      </c>
      <c r="M436" s="3"/>
      <c r="N436" s="3"/>
    </row>
    <row r="437" spans="2:14" hidden="1" x14ac:dyDescent="0.2">
      <c r="B437" s="3">
        <v>32066</v>
      </c>
      <c r="C437" s="3">
        <v>0</v>
      </c>
      <c r="D437">
        <v>434</v>
      </c>
      <c r="E437" t="str">
        <f>VLOOKUP(B437,Nuclides!A:F,5,FALSE)</f>
        <v>Ge66</v>
      </c>
      <c r="F437">
        <f>VLOOKUP(B437,Nuclides!A:F,4,FALSE)</f>
        <v>8135.99999999999</v>
      </c>
      <c r="G437" s="3" t="str">
        <f t="shared" si="33"/>
        <v>2.26h</v>
      </c>
      <c r="H437" s="3">
        <f t="shared" si="34"/>
        <v>8.519508118976723E-5</v>
      </c>
      <c r="I437" s="3">
        <f t="shared" si="35"/>
        <v>0</v>
      </c>
      <c r="J437" s="3">
        <f t="shared" si="36"/>
        <v>0</v>
      </c>
      <c r="K437" s="3" t="str">
        <f t="shared" si="37"/>
        <v>Ge66</v>
      </c>
      <c r="L437" s="3" cm="1">
        <f t="array" ref="L437">SUM(($J437*EXP(-$H437*12*3600*_xlfn.SEQUENCE(L$1-1))))+$J437</f>
        <v>0</v>
      </c>
      <c r="M437" s="3"/>
      <c r="N437" s="3"/>
    </row>
    <row r="438" spans="2:14" hidden="1" x14ac:dyDescent="0.2">
      <c r="B438" s="3">
        <v>32067</v>
      </c>
      <c r="C438" s="3">
        <v>0</v>
      </c>
      <c r="D438">
        <v>435</v>
      </c>
      <c r="E438" t="str">
        <f>VLOOKUP(B438,Nuclides!A:F,5,FALSE)</f>
        <v>Ge67</v>
      </c>
      <c r="F438">
        <f>VLOOKUP(B438,Nuclides!A:F,4,FALSE)</f>
        <v>1134</v>
      </c>
      <c r="G438" s="3" t="str">
        <f t="shared" si="33"/>
        <v>18.9min</v>
      </c>
      <c r="H438" s="3">
        <f t="shared" si="34"/>
        <v>6.1124089996467839E-4</v>
      </c>
      <c r="I438" s="3">
        <f t="shared" si="35"/>
        <v>0</v>
      </c>
      <c r="J438" s="3">
        <f t="shared" si="36"/>
        <v>0</v>
      </c>
      <c r="K438" s="3" t="str">
        <f t="shared" si="37"/>
        <v>Ge67</v>
      </c>
      <c r="L438" s="3" cm="1">
        <f t="array" ref="L438">SUM(($J438*EXP(-$H438*12*3600*_xlfn.SEQUENCE(L$1-1))))+$J438</f>
        <v>0</v>
      </c>
      <c r="M438" s="3"/>
      <c r="N438" s="3"/>
    </row>
    <row r="439" spans="2:14" hidden="1" x14ac:dyDescent="0.2">
      <c r="B439" s="3">
        <v>32068</v>
      </c>
      <c r="C439" s="3">
        <v>0</v>
      </c>
      <c r="D439">
        <v>436</v>
      </c>
      <c r="E439" t="str">
        <f>VLOOKUP(B439,Nuclides!A:F,5,FALSE)</f>
        <v>Ge68</v>
      </c>
      <c r="F439">
        <f>VLOOKUP(B439,Nuclides!A:F,4,FALSE)</f>
        <v>23408352</v>
      </c>
      <c r="G439" s="3" t="str">
        <f t="shared" si="33"/>
        <v>270.93d</v>
      </c>
      <c r="H439" s="3">
        <f t="shared" si="34"/>
        <v>2.9611105496018911E-8</v>
      </c>
      <c r="I439" s="3">
        <f t="shared" si="35"/>
        <v>0</v>
      </c>
      <c r="J439" s="3">
        <f t="shared" si="36"/>
        <v>0</v>
      </c>
      <c r="K439" s="3" t="str">
        <f t="shared" si="37"/>
        <v>Ge68</v>
      </c>
      <c r="L439" s="3" cm="1">
        <f t="array" ref="L439">SUM(($J439*EXP(-$H439*12*3600*_xlfn.SEQUENCE(L$1-1))))+$J439</f>
        <v>0</v>
      </c>
      <c r="M439" s="3"/>
      <c r="N439" s="3"/>
    </row>
    <row r="440" spans="2:14" hidden="1" x14ac:dyDescent="0.2">
      <c r="B440" s="3">
        <v>32069</v>
      </c>
      <c r="C440" s="3">
        <v>0</v>
      </c>
      <c r="D440">
        <v>437</v>
      </c>
      <c r="E440" t="str">
        <f>VLOOKUP(B440,Nuclides!A:F,5,FALSE)</f>
        <v>Ge69</v>
      </c>
      <c r="F440">
        <f>VLOOKUP(B440,Nuclides!A:F,4,FALSE)</f>
        <v>140580</v>
      </c>
      <c r="G440" s="3" t="str">
        <f t="shared" si="33"/>
        <v>1.63d</v>
      </c>
      <c r="H440" s="3">
        <f t="shared" si="34"/>
        <v>4.930624417128648E-6</v>
      </c>
      <c r="I440" s="3">
        <f t="shared" si="35"/>
        <v>0</v>
      </c>
      <c r="J440" s="3">
        <f t="shared" si="36"/>
        <v>0</v>
      </c>
      <c r="K440" s="3" t="str">
        <f t="shared" si="37"/>
        <v>Ge69</v>
      </c>
      <c r="L440" s="3" cm="1">
        <f t="array" ref="L440">SUM(($J440*EXP(-$H440*12*3600*_xlfn.SEQUENCE(L$1-1))))+$J440</f>
        <v>0</v>
      </c>
      <c r="M440" s="3"/>
      <c r="N440" s="3"/>
    </row>
    <row r="441" spans="2:14" hidden="1" x14ac:dyDescent="0.2">
      <c r="B441" s="3">
        <v>32070</v>
      </c>
      <c r="C441" s="3">
        <v>0</v>
      </c>
      <c r="D441">
        <v>438</v>
      </c>
      <c r="E441" t="str">
        <f>VLOOKUP(B441,Nuclides!A:F,5,FALSE)</f>
        <v>Ge70</v>
      </c>
      <c r="F441" t="str">
        <f>VLOOKUP(B441,Nuclides!A:F,4,FALSE)</f>
        <v>STABLE</v>
      </c>
      <c r="G441" s="3" t="str">
        <f t="shared" si="33"/>
        <v>STABLE</v>
      </c>
      <c r="H441" s="3" t="e">
        <f t="shared" si="34"/>
        <v>#VALUE!</v>
      </c>
      <c r="I441" s="3" t="e">
        <f t="shared" si="35"/>
        <v>#VALUE!</v>
      </c>
      <c r="J441" s="3" t="e">
        <f t="shared" si="36"/>
        <v>#VALUE!</v>
      </c>
      <c r="K441" s="3" t="str">
        <f t="shared" si="37"/>
        <v>Ge70</v>
      </c>
      <c r="L441" s="3" t="e" cm="1">
        <f t="array" ref="L441">SUM(($J441*EXP(-$H441*12*3600*_xlfn.SEQUENCE(L$1-1))))+$J441</f>
        <v>#VALUE!</v>
      </c>
      <c r="M441" s="3"/>
      <c r="N441" s="3"/>
    </row>
    <row r="442" spans="2:14" hidden="1" x14ac:dyDescent="0.2">
      <c r="B442" s="3">
        <v>32071</v>
      </c>
      <c r="C442" s="3">
        <v>0</v>
      </c>
      <c r="D442">
        <v>439</v>
      </c>
      <c r="E442" t="str">
        <f>VLOOKUP(B442,Nuclides!A:F,5,FALSE)</f>
        <v>Ge71</v>
      </c>
      <c r="F442">
        <f>VLOOKUP(B442,Nuclides!A:F,4,FALSE)</f>
        <v>987552</v>
      </c>
      <c r="G442" s="3" t="str">
        <f t="shared" si="33"/>
        <v>11.43d</v>
      </c>
      <c r="H442" s="3">
        <f t="shared" si="34"/>
        <v>7.0188423552374482E-7</v>
      </c>
      <c r="I442" s="3">
        <f t="shared" si="35"/>
        <v>0</v>
      </c>
      <c r="J442" s="3">
        <f t="shared" si="36"/>
        <v>0</v>
      </c>
      <c r="K442" s="3" t="str">
        <f t="shared" si="37"/>
        <v>Ge71</v>
      </c>
      <c r="L442" s="3" cm="1">
        <f t="array" ref="L442">SUM(($J442*EXP(-$H442*12*3600*_xlfn.SEQUENCE(L$1-1))))+$J442</f>
        <v>0</v>
      </c>
      <c r="M442" s="3"/>
      <c r="N442" s="3"/>
    </row>
    <row r="443" spans="2:14" hidden="1" x14ac:dyDescent="0.2">
      <c r="B443" s="3">
        <v>32072</v>
      </c>
      <c r="C443" s="3">
        <v>0</v>
      </c>
      <c r="D443">
        <v>440</v>
      </c>
      <c r="E443" t="str">
        <f>VLOOKUP(B443,Nuclides!A:F,5,FALSE)</f>
        <v>Ge72</v>
      </c>
      <c r="F443" t="str">
        <f>VLOOKUP(B443,Nuclides!A:F,4,FALSE)</f>
        <v>STABLE</v>
      </c>
      <c r="G443" s="3" t="str">
        <f t="shared" si="33"/>
        <v>STABLE</v>
      </c>
      <c r="H443" s="3" t="e">
        <f t="shared" si="34"/>
        <v>#VALUE!</v>
      </c>
      <c r="I443" s="3" t="e">
        <f t="shared" si="35"/>
        <v>#VALUE!</v>
      </c>
      <c r="J443" s="3" t="e">
        <f t="shared" si="36"/>
        <v>#VALUE!</v>
      </c>
      <c r="K443" s="3" t="str">
        <f t="shared" si="37"/>
        <v>Ge72</v>
      </c>
      <c r="L443" s="3" t="e" cm="1">
        <f t="array" ref="L443">SUM(($J443*EXP(-$H443*12*3600*_xlfn.SEQUENCE(L$1-1))))+$J443</f>
        <v>#VALUE!</v>
      </c>
      <c r="M443" s="3"/>
      <c r="N443" s="3"/>
    </row>
    <row r="444" spans="2:14" hidden="1" x14ac:dyDescent="0.2">
      <c r="B444" s="3">
        <v>32073</v>
      </c>
      <c r="C444" s="3">
        <v>0</v>
      </c>
      <c r="D444">
        <v>441</v>
      </c>
      <c r="E444" t="str">
        <f>VLOOKUP(B444,Nuclides!A:F,5,FALSE)</f>
        <v>Ge73</v>
      </c>
      <c r="F444" t="str">
        <f>VLOOKUP(B444,Nuclides!A:F,4,FALSE)</f>
        <v>STABLE</v>
      </c>
      <c r="G444" s="3" t="str">
        <f t="shared" si="33"/>
        <v>STABLE</v>
      </c>
      <c r="H444" s="3" t="e">
        <f t="shared" si="34"/>
        <v>#VALUE!</v>
      </c>
      <c r="I444" s="3" t="e">
        <f t="shared" si="35"/>
        <v>#VALUE!</v>
      </c>
      <c r="J444" s="3" t="e">
        <f t="shared" si="36"/>
        <v>#VALUE!</v>
      </c>
      <c r="K444" s="3" t="str">
        <f t="shared" si="37"/>
        <v>Ge73</v>
      </c>
      <c r="L444" s="3" t="e" cm="1">
        <f t="array" ref="L444">SUM(($J444*EXP(-$H444*12*3600*_xlfn.SEQUENCE(L$1-1))))+$J444</f>
        <v>#VALUE!</v>
      </c>
      <c r="M444" s="3"/>
      <c r="N444" s="3"/>
    </row>
    <row r="445" spans="2:14" hidden="1" x14ac:dyDescent="0.2">
      <c r="B445" s="3">
        <v>32074</v>
      </c>
      <c r="C445" s="3">
        <v>0</v>
      </c>
      <c r="D445">
        <v>442</v>
      </c>
      <c r="E445" t="str">
        <f>VLOOKUP(B445,Nuclides!A:F,5,FALSE)</f>
        <v>Ge74</v>
      </c>
      <c r="F445" t="str">
        <f>VLOOKUP(B445,Nuclides!A:F,4,FALSE)</f>
        <v>STABLE</v>
      </c>
      <c r="G445" s="3" t="str">
        <f t="shared" si="33"/>
        <v>STABLE</v>
      </c>
      <c r="H445" s="3" t="e">
        <f t="shared" si="34"/>
        <v>#VALUE!</v>
      </c>
      <c r="I445" s="3" t="e">
        <f t="shared" si="35"/>
        <v>#VALUE!</v>
      </c>
      <c r="J445" s="3" t="e">
        <f t="shared" si="36"/>
        <v>#VALUE!</v>
      </c>
      <c r="K445" s="3" t="str">
        <f t="shared" si="37"/>
        <v>Ge74</v>
      </c>
      <c r="L445" s="3" t="e" cm="1">
        <f t="array" ref="L445">SUM(($J445*EXP(-$H445*12*3600*_xlfn.SEQUENCE(L$1-1))))+$J445</f>
        <v>#VALUE!</v>
      </c>
      <c r="M445" s="3"/>
      <c r="N445" s="3"/>
    </row>
    <row r="446" spans="2:14" hidden="1" x14ac:dyDescent="0.2">
      <c r="B446" s="3">
        <v>32075</v>
      </c>
      <c r="C446" s="3">
        <v>0</v>
      </c>
      <c r="D446">
        <v>443</v>
      </c>
      <c r="E446" t="str">
        <f>VLOOKUP(B446,Nuclides!A:F,5,FALSE)</f>
        <v>Ge75</v>
      </c>
      <c r="F446">
        <f>VLOOKUP(B446,Nuclides!A:F,4,FALSE)</f>
        <v>4966.8</v>
      </c>
      <c r="G446" s="3" t="str">
        <f t="shared" si="33"/>
        <v>1.38h</v>
      </c>
      <c r="H446" s="3">
        <f t="shared" si="34"/>
        <v>1.3955608853989394E-4</v>
      </c>
      <c r="I446" s="3">
        <f t="shared" si="35"/>
        <v>0</v>
      </c>
      <c r="J446" s="3">
        <f t="shared" si="36"/>
        <v>0</v>
      </c>
      <c r="K446" s="3" t="str">
        <f t="shared" si="37"/>
        <v>Ge75</v>
      </c>
      <c r="L446" s="3" cm="1">
        <f t="array" ref="L446">SUM(($J446*EXP(-$H446*12*3600*_xlfn.SEQUENCE(L$1-1))))+$J446</f>
        <v>0</v>
      </c>
      <c r="M446" s="3"/>
      <c r="N446" s="3"/>
    </row>
    <row r="447" spans="2:14" hidden="1" x14ac:dyDescent="0.2">
      <c r="B447" s="3">
        <v>32076</v>
      </c>
      <c r="C447" s="3">
        <v>0</v>
      </c>
      <c r="D447">
        <v>444</v>
      </c>
      <c r="E447" t="str">
        <f>VLOOKUP(B447,Nuclides!A:F,5,FALSE)</f>
        <v>Ge76</v>
      </c>
      <c r="F447" t="str">
        <f>VLOOKUP(B447,Nuclides!A:F,4,FALSE)</f>
        <v>STABLE</v>
      </c>
      <c r="G447" s="3" t="str">
        <f t="shared" si="33"/>
        <v>STABLE</v>
      </c>
      <c r="H447" s="3" t="e">
        <f t="shared" si="34"/>
        <v>#VALUE!</v>
      </c>
      <c r="I447" s="3" t="e">
        <f t="shared" si="35"/>
        <v>#VALUE!</v>
      </c>
      <c r="J447" s="3" t="e">
        <f t="shared" si="36"/>
        <v>#VALUE!</v>
      </c>
      <c r="K447" s="3" t="str">
        <f t="shared" si="37"/>
        <v>Ge76</v>
      </c>
      <c r="L447" s="3" t="e" cm="1">
        <f t="array" ref="L447">SUM(($J447*EXP(-$H447*12*3600*_xlfn.SEQUENCE(L$1-1))))+$J447</f>
        <v>#VALUE!</v>
      </c>
      <c r="M447" s="3"/>
      <c r="N447" s="3"/>
    </row>
    <row r="448" spans="2:14" hidden="1" x14ac:dyDescent="0.2">
      <c r="B448" s="3">
        <v>32077</v>
      </c>
      <c r="C448" s="3">
        <v>0</v>
      </c>
      <c r="D448">
        <v>445</v>
      </c>
      <c r="E448" t="str">
        <f>VLOOKUP(B448,Nuclides!A:F,5,FALSE)</f>
        <v>Ge77</v>
      </c>
      <c r="F448">
        <f>VLOOKUP(B448,Nuclides!A:F,4,FALSE)</f>
        <v>40680</v>
      </c>
      <c r="G448" s="3" t="str">
        <f t="shared" si="33"/>
        <v>11.3h</v>
      </c>
      <c r="H448" s="3">
        <f t="shared" si="34"/>
        <v>1.7039016237953423E-5</v>
      </c>
      <c r="I448" s="3">
        <f t="shared" si="35"/>
        <v>0</v>
      </c>
      <c r="J448" s="3">
        <f t="shared" si="36"/>
        <v>0</v>
      </c>
      <c r="K448" s="3" t="str">
        <f t="shared" si="37"/>
        <v>Ge77</v>
      </c>
      <c r="L448" s="3" cm="1">
        <f t="array" ref="L448">SUM(($J448*EXP(-$H448*12*3600*_xlfn.SEQUENCE(L$1-1))))+$J448</f>
        <v>0</v>
      </c>
      <c r="M448" s="3"/>
      <c r="N448" s="3"/>
    </row>
    <row r="449" spans="2:14" hidden="1" x14ac:dyDescent="0.2">
      <c r="B449" s="3">
        <v>32078</v>
      </c>
      <c r="C449" s="3">
        <v>0</v>
      </c>
      <c r="D449">
        <v>446</v>
      </c>
      <c r="E449" t="str">
        <f>VLOOKUP(B449,Nuclides!A:F,5,FALSE)</f>
        <v>Ge78</v>
      </c>
      <c r="F449">
        <f>VLOOKUP(B449,Nuclides!A:F,4,FALSE)</f>
        <v>5280</v>
      </c>
      <c r="G449" s="3" t="str">
        <f t="shared" si="33"/>
        <v>1.47h</v>
      </c>
      <c r="H449" s="3">
        <f t="shared" si="34"/>
        <v>1.3127787510605024E-4</v>
      </c>
      <c r="I449" s="3">
        <f t="shared" si="35"/>
        <v>0</v>
      </c>
      <c r="J449" s="3">
        <f t="shared" si="36"/>
        <v>0</v>
      </c>
      <c r="K449" s="3" t="str">
        <f t="shared" si="37"/>
        <v>Ge78</v>
      </c>
      <c r="L449" s="3" cm="1">
        <f t="array" ref="L449">SUM(($J449*EXP(-$H449*12*3600*_xlfn.SEQUENCE(L$1-1))))+$J449</f>
        <v>0</v>
      </c>
      <c r="M449" s="3"/>
      <c r="N449" s="3"/>
    </row>
    <row r="450" spans="2:14" hidden="1" x14ac:dyDescent="0.2">
      <c r="B450" s="3">
        <v>32079</v>
      </c>
      <c r="C450" s="3">
        <v>0</v>
      </c>
      <c r="D450">
        <v>447</v>
      </c>
      <c r="E450" t="str">
        <f>VLOOKUP(B450,Nuclides!A:F,5,FALSE)</f>
        <v>Ge79</v>
      </c>
      <c r="F450">
        <f>VLOOKUP(B450,Nuclides!A:F,4,FALSE)</f>
        <v>18.98</v>
      </c>
      <c r="G450" s="3" t="str">
        <f t="shared" si="33"/>
        <v>18.98s</v>
      </c>
      <c r="H450" s="3">
        <f t="shared" si="34"/>
        <v>3.651987252686751E-2</v>
      </c>
      <c r="I450" s="3">
        <f t="shared" si="35"/>
        <v>0</v>
      </c>
      <c r="J450" s="3">
        <f t="shared" si="36"/>
        <v>0</v>
      </c>
      <c r="K450" s="3" t="str">
        <f t="shared" si="37"/>
        <v>Ge79</v>
      </c>
      <c r="L450" s="3" cm="1">
        <f t="array" ref="L450">SUM(($J450*EXP(-$H450*12*3600*_xlfn.SEQUENCE(L$1-1))))+$J450</f>
        <v>0</v>
      </c>
      <c r="M450" s="3"/>
      <c r="N450" s="3"/>
    </row>
    <row r="451" spans="2:14" hidden="1" x14ac:dyDescent="0.2">
      <c r="B451" s="3">
        <v>32080</v>
      </c>
      <c r="C451" s="3">
        <v>0</v>
      </c>
      <c r="D451">
        <v>448</v>
      </c>
      <c r="E451" t="str">
        <f>VLOOKUP(B451,Nuclides!A:F,5,FALSE)</f>
        <v>Ge80</v>
      </c>
      <c r="F451">
        <f>VLOOKUP(B451,Nuclides!A:F,4,FALSE)</f>
        <v>29.5</v>
      </c>
      <c r="G451" s="3" t="str">
        <f t="shared" si="33"/>
        <v>29.5s</v>
      </c>
      <c r="H451" s="3">
        <f t="shared" si="34"/>
        <v>2.3496514595252382E-2</v>
      </c>
      <c r="I451" s="3">
        <f t="shared" si="35"/>
        <v>0</v>
      </c>
      <c r="J451" s="3">
        <f t="shared" si="36"/>
        <v>0</v>
      </c>
      <c r="K451" s="3" t="str">
        <f t="shared" si="37"/>
        <v>Ge80</v>
      </c>
      <c r="L451" s="3" cm="1">
        <f t="array" ref="L451">SUM(($J451*EXP(-$H451*12*3600*_xlfn.SEQUENCE(L$1-1))))+$J451</f>
        <v>0</v>
      </c>
      <c r="M451" s="3"/>
      <c r="N451" s="3"/>
    </row>
    <row r="452" spans="2:14" hidden="1" x14ac:dyDescent="0.2">
      <c r="B452" s="3">
        <v>32081</v>
      </c>
      <c r="C452" s="3">
        <v>0</v>
      </c>
      <c r="D452">
        <v>449</v>
      </c>
      <c r="E452" t="str">
        <f>VLOOKUP(B452,Nuclides!A:F,5,FALSE)</f>
        <v>Ge81</v>
      </c>
      <c r="F452">
        <f>VLOOKUP(B452,Nuclides!A:F,4,FALSE)</f>
        <v>7.6</v>
      </c>
      <c r="G452" s="3" t="str">
        <f t="shared" ref="G452:G515" si="38">IF(F452="STABLE", "STABLE", IF(F452&lt;60, F452&amp;"s", IF(F452&lt;3600, ROUND(F452/60,2)&amp;"min", IF(F452&lt;86400, ROUND(F452/3600,2)&amp;"h", IF(F452&lt;31536000, ROUND(F452/86400,2)&amp;"d", ROUND(F452/31536000,2)&amp;"y")))))</f>
        <v>7.6s</v>
      </c>
      <c r="H452" s="3">
        <f t="shared" ref="H452:H515" si="39">LN(2)/F452</f>
        <v>9.1203576389466495E-2</v>
      </c>
      <c r="I452" s="3">
        <f t="shared" ref="I452:I515" si="40">100*6240000000000*C452*(1-EXP(-H452*2*3600))</f>
        <v>0</v>
      </c>
      <c r="J452" s="3">
        <f t="shared" ref="J452:J515" si="41">I452*EXP(-H452*10*3600)</f>
        <v>0</v>
      </c>
      <c r="K452" s="3" t="str">
        <f t="shared" ref="K452:K515" si="42">E452</f>
        <v>Ge81</v>
      </c>
      <c r="L452" s="3" cm="1">
        <f t="array" ref="L452">SUM(($J452*EXP(-$H452*12*3600*_xlfn.SEQUENCE(L$1-1))))+$J452</f>
        <v>0</v>
      </c>
      <c r="M452" s="3"/>
      <c r="N452" s="3"/>
    </row>
    <row r="453" spans="2:14" hidden="1" x14ac:dyDescent="0.2">
      <c r="B453" s="3">
        <v>32082</v>
      </c>
      <c r="C453" s="3">
        <v>0</v>
      </c>
      <c r="D453">
        <v>450</v>
      </c>
      <c r="E453" t="str">
        <f>VLOOKUP(B453,Nuclides!A:F,5,FALSE)</f>
        <v>Ge82</v>
      </c>
      <c r="F453">
        <f>VLOOKUP(B453,Nuclides!A:F,4,FALSE)</f>
        <v>4.5599999999999996</v>
      </c>
      <c r="G453" s="3" t="str">
        <f t="shared" si="38"/>
        <v>4.56s</v>
      </c>
      <c r="H453" s="3">
        <f t="shared" si="39"/>
        <v>0.15200596064911082</v>
      </c>
      <c r="I453" s="3">
        <f t="shared" si="40"/>
        <v>0</v>
      </c>
      <c r="J453" s="3">
        <f t="shared" si="41"/>
        <v>0</v>
      </c>
      <c r="K453" s="3" t="str">
        <f t="shared" si="42"/>
        <v>Ge82</v>
      </c>
      <c r="L453" s="3" cm="1">
        <f t="array" ref="L453">SUM(($J453*EXP(-$H453*12*3600*_xlfn.SEQUENCE(L$1-1))))+$J453</f>
        <v>0</v>
      </c>
      <c r="M453" s="3"/>
      <c r="N453" s="3"/>
    </row>
    <row r="454" spans="2:14" hidden="1" x14ac:dyDescent="0.2">
      <c r="B454" s="3">
        <v>32083</v>
      </c>
      <c r="C454" s="3">
        <v>0</v>
      </c>
      <c r="D454">
        <v>451</v>
      </c>
      <c r="E454" t="str">
        <f>VLOOKUP(B454,Nuclides!A:F,5,FALSE)</f>
        <v>Ge83</v>
      </c>
      <c r="F454">
        <f>VLOOKUP(B454,Nuclides!A:F,4,FALSE)</f>
        <v>1.85</v>
      </c>
      <c r="G454" s="3" t="str">
        <f t="shared" si="38"/>
        <v>1.85s</v>
      </c>
      <c r="H454" s="3">
        <f t="shared" si="39"/>
        <v>0.37467415165402446</v>
      </c>
      <c r="I454" s="3">
        <f t="shared" si="40"/>
        <v>0</v>
      </c>
      <c r="J454" s="3">
        <f t="shared" si="41"/>
        <v>0</v>
      </c>
      <c r="K454" s="3" t="str">
        <f t="shared" si="42"/>
        <v>Ge83</v>
      </c>
      <c r="L454" s="3" cm="1">
        <f t="array" ref="L454">SUM(($J454*EXP(-$H454*12*3600*_xlfn.SEQUENCE(L$1-1))))+$J454</f>
        <v>0</v>
      </c>
      <c r="M454" s="3"/>
      <c r="N454" s="3"/>
    </row>
    <row r="455" spans="2:14" hidden="1" x14ac:dyDescent="0.2">
      <c r="B455" s="3">
        <v>32084</v>
      </c>
      <c r="C455" s="3">
        <v>0</v>
      </c>
      <c r="D455">
        <v>452</v>
      </c>
      <c r="E455" t="str">
        <f>VLOOKUP(B455,Nuclides!A:F,5,FALSE)</f>
        <v>Ge84</v>
      </c>
      <c r="F455">
        <f>VLOOKUP(B455,Nuclides!A:F,4,FALSE)</f>
        <v>0.95399999999999996</v>
      </c>
      <c r="G455" s="3" t="str">
        <f t="shared" si="38"/>
        <v>0.954s</v>
      </c>
      <c r="H455" s="3">
        <f t="shared" si="39"/>
        <v>0.72656937165612712</v>
      </c>
      <c r="I455" s="3">
        <f t="shared" si="40"/>
        <v>0</v>
      </c>
      <c r="J455" s="3">
        <f t="shared" si="41"/>
        <v>0</v>
      </c>
      <c r="K455" s="3" t="str">
        <f t="shared" si="42"/>
        <v>Ge84</v>
      </c>
      <c r="L455" s="3" cm="1">
        <f t="array" ref="L455">SUM(($J455*EXP(-$H455*12*3600*_xlfn.SEQUENCE(L$1-1))))+$J455</f>
        <v>0</v>
      </c>
      <c r="M455" s="3"/>
      <c r="N455" s="3"/>
    </row>
    <row r="456" spans="2:14" hidden="1" x14ac:dyDescent="0.2">
      <c r="B456" s="3">
        <v>33066</v>
      </c>
      <c r="C456" s="3">
        <v>0</v>
      </c>
      <c r="D456">
        <v>453</v>
      </c>
      <c r="E456" t="str">
        <f>VLOOKUP(B456,Nuclides!A:F,5,FALSE)</f>
        <v>As66</v>
      </c>
      <c r="F456">
        <f>VLOOKUP(B456,Nuclides!A:F,4,FALSE)</f>
        <v>9.5769999999999994E-2</v>
      </c>
      <c r="G456" s="3" t="str">
        <f t="shared" si="38"/>
        <v>0.09577s</v>
      </c>
      <c r="H456" s="3">
        <f t="shared" si="39"/>
        <v>7.2376232699169396</v>
      </c>
      <c r="I456" s="3">
        <f t="shared" si="40"/>
        <v>0</v>
      </c>
      <c r="J456" s="3">
        <f t="shared" si="41"/>
        <v>0</v>
      </c>
      <c r="K456" s="3" t="str">
        <f t="shared" si="42"/>
        <v>As66</v>
      </c>
      <c r="L456" s="3" cm="1">
        <f t="array" ref="L456">SUM(($J456*EXP(-$H456*12*3600*_xlfn.SEQUENCE(L$1-1))))+$J456</f>
        <v>0</v>
      </c>
      <c r="M456" s="3"/>
      <c r="N456" s="3"/>
    </row>
    <row r="457" spans="2:14" hidden="1" x14ac:dyDescent="0.2">
      <c r="B457" s="3">
        <v>33067</v>
      </c>
      <c r="C457" s="3">
        <v>0</v>
      </c>
      <c r="D457">
        <v>454</v>
      </c>
      <c r="E457" t="str">
        <f>VLOOKUP(B457,Nuclides!A:F,5,FALSE)</f>
        <v>As67</v>
      </c>
      <c r="F457">
        <f>VLOOKUP(B457,Nuclides!A:F,4,FALSE)</f>
        <v>42.5</v>
      </c>
      <c r="G457" s="3" t="str">
        <f t="shared" si="38"/>
        <v>42.5s</v>
      </c>
      <c r="H457" s="3">
        <f t="shared" si="39"/>
        <v>1.6309345424939888E-2</v>
      </c>
      <c r="I457" s="3">
        <f t="shared" si="40"/>
        <v>0</v>
      </c>
      <c r="J457" s="3">
        <f t="shared" si="41"/>
        <v>0</v>
      </c>
      <c r="K457" s="3" t="str">
        <f t="shared" si="42"/>
        <v>As67</v>
      </c>
      <c r="L457" s="3" cm="1">
        <f t="array" ref="L457">SUM(($J457*EXP(-$H457*12*3600*_xlfn.SEQUENCE(L$1-1))))+$J457</f>
        <v>0</v>
      </c>
      <c r="M457" s="3"/>
      <c r="N457" s="3"/>
    </row>
    <row r="458" spans="2:14" hidden="1" x14ac:dyDescent="0.2">
      <c r="B458" s="3">
        <v>33068</v>
      </c>
      <c r="C458" s="3">
        <v>0</v>
      </c>
      <c r="D458">
        <v>455</v>
      </c>
      <c r="E458" t="str">
        <f>VLOOKUP(B458,Nuclides!A:F,5,FALSE)</f>
        <v>As68</v>
      </c>
      <c r="F458">
        <f>VLOOKUP(B458,Nuclides!A:F,4,FALSE)</f>
        <v>151.6</v>
      </c>
      <c r="G458" s="3" t="str">
        <f t="shared" si="38"/>
        <v>2.53min</v>
      </c>
      <c r="H458" s="3">
        <f t="shared" si="39"/>
        <v>4.5722109535616447E-3</v>
      </c>
      <c r="I458" s="3">
        <f t="shared" si="40"/>
        <v>0</v>
      </c>
      <c r="J458" s="3">
        <f t="shared" si="41"/>
        <v>0</v>
      </c>
      <c r="K458" s="3" t="str">
        <f t="shared" si="42"/>
        <v>As68</v>
      </c>
      <c r="L458" s="3" cm="1">
        <f t="array" ref="L458">SUM(($J458*EXP(-$H458*12*3600*_xlfn.SEQUENCE(L$1-1))))+$J458</f>
        <v>0</v>
      </c>
      <c r="M458" s="3"/>
      <c r="N458" s="3"/>
    </row>
    <row r="459" spans="2:14" hidden="1" x14ac:dyDescent="0.2">
      <c r="B459" s="3">
        <v>33069</v>
      </c>
      <c r="C459" s="3">
        <v>0</v>
      </c>
      <c r="D459">
        <v>456</v>
      </c>
      <c r="E459" t="str">
        <f>VLOOKUP(B459,Nuclides!A:F,5,FALSE)</f>
        <v>As69</v>
      </c>
      <c r="F459">
        <f>VLOOKUP(B459,Nuclides!A:F,4,FALSE)</f>
        <v>912</v>
      </c>
      <c r="G459" s="3" t="str">
        <f t="shared" si="38"/>
        <v>15.2min</v>
      </c>
      <c r="H459" s="3">
        <f t="shared" si="39"/>
        <v>7.6002980324555401E-4</v>
      </c>
      <c r="I459" s="3">
        <f t="shared" si="40"/>
        <v>0</v>
      </c>
      <c r="J459" s="3">
        <f t="shared" si="41"/>
        <v>0</v>
      </c>
      <c r="K459" s="3" t="str">
        <f t="shared" si="42"/>
        <v>As69</v>
      </c>
      <c r="L459" s="3" cm="1">
        <f t="array" ref="L459">SUM(($J459*EXP(-$H459*12*3600*_xlfn.SEQUENCE(L$1-1))))+$J459</f>
        <v>0</v>
      </c>
      <c r="M459" s="3"/>
      <c r="N459" s="3"/>
    </row>
    <row r="460" spans="2:14" hidden="1" x14ac:dyDescent="0.2">
      <c r="B460" s="3">
        <v>33070</v>
      </c>
      <c r="C460" s="3">
        <v>0</v>
      </c>
      <c r="D460">
        <v>457</v>
      </c>
      <c r="E460" t="str">
        <f>VLOOKUP(B460,Nuclides!A:F,5,FALSE)</f>
        <v>As70</v>
      </c>
      <c r="F460">
        <f>VLOOKUP(B460,Nuclides!A:F,4,FALSE)</f>
        <v>3156</v>
      </c>
      <c r="G460" s="3" t="str">
        <f t="shared" si="38"/>
        <v>52.6min</v>
      </c>
      <c r="H460" s="3">
        <f t="shared" si="39"/>
        <v>2.196283842078407E-4</v>
      </c>
      <c r="I460" s="3">
        <f t="shared" si="40"/>
        <v>0</v>
      </c>
      <c r="J460" s="3">
        <f t="shared" si="41"/>
        <v>0</v>
      </c>
      <c r="K460" s="3" t="str">
        <f t="shared" si="42"/>
        <v>As70</v>
      </c>
      <c r="L460" s="3" cm="1">
        <f t="array" ref="L460">SUM(($J460*EXP(-$H460*12*3600*_xlfn.SEQUENCE(L$1-1))))+$J460</f>
        <v>0</v>
      </c>
      <c r="M460" s="3"/>
      <c r="N460" s="3"/>
    </row>
    <row r="461" spans="2:14" hidden="1" x14ac:dyDescent="0.2">
      <c r="B461" s="3">
        <v>33071</v>
      </c>
      <c r="C461" s="3">
        <v>0</v>
      </c>
      <c r="D461">
        <v>458</v>
      </c>
      <c r="E461" t="str">
        <f>VLOOKUP(B461,Nuclides!A:F,5,FALSE)</f>
        <v>As71</v>
      </c>
      <c r="F461">
        <f>VLOOKUP(B461,Nuclides!A:F,4,FALSE)</f>
        <v>235080</v>
      </c>
      <c r="G461" s="3" t="str">
        <f t="shared" si="38"/>
        <v>2.72d</v>
      </c>
      <c r="H461" s="3">
        <f t="shared" si="39"/>
        <v>2.9485587058020475E-6</v>
      </c>
      <c r="I461" s="3">
        <f t="shared" si="40"/>
        <v>0</v>
      </c>
      <c r="J461" s="3">
        <f t="shared" si="41"/>
        <v>0</v>
      </c>
      <c r="K461" s="3" t="str">
        <f t="shared" si="42"/>
        <v>As71</v>
      </c>
      <c r="L461" s="3" cm="1">
        <f t="array" ref="L461">SUM(($J461*EXP(-$H461*12*3600*_xlfn.SEQUENCE(L$1-1))))+$J461</f>
        <v>0</v>
      </c>
      <c r="M461" s="3"/>
      <c r="N461" s="3"/>
    </row>
    <row r="462" spans="2:14" hidden="1" x14ac:dyDescent="0.2">
      <c r="B462" s="3">
        <v>33072</v>
      </c>
      <c r="C462" s="3">
        <v>0</v>
      </c>
      <c r="D462">
        <v>459</v>
      </c>
      <c r="E462" t="str">
        <f>VLOOKUP(B462,Nuclides!A:F,5,FALSE)</f>
        <v>As72</v>
      </c>
      <c r="F462">
        <f>VLOOKUP(B462,Nuclides!A:F,4,FALSE)</f>
        <v>93600</v>
      </c>
      <c r="G462" s="3" t="str">
        <f t="shared" si="38"/>
        <v>1.08d</v>
      </c>
      <c r="H462" s="3">
        <f t="shared" si="39"/>
        <v>7.4054185957259116E-6</v>
      </c>
      <c r="I462" s="3">
        <f t="shared" si="40"/>
        <v>0</v>
      </c>
      <c r="J462" s="3">
        <f t="shared" si="41"/>
        <v>0</v>
      </c>
      <c r="K462" s="3" t="str">
        <f t="shared" si="42"/>
        <v>As72</v>
      </c>
      <c r="L462" s="3" cm="1">
        <f t="array" ref="L462">SUM(($J462*EXP(-$H462*12*3600*_xlfn.SEQUENCE(L$1-1))))+$J462</f>
        <v>0</v>
      </c>
      <c r="M462" s="3"/>
      <c r="N462" s="3"/>
    </row>
    <row r="463" spans="2:14" hidden="1" x14ac:dyDescent="0.2">
      <c r="B463" s="3">
        <v>33073</v>
      </c>
      <c r="C463" s="3">
        <v>0</v>
      </c>
      <c r="D463">
        <v>460</v>
      </c>
      <c r="E463" t="str">
        <f>VLOOKUP(B463,Nuclides!A:F,5,FALSE)</f>
        <v>As73</v>
      </c>
      <c r="F463">
        <f>VLOOKUP(B463,Nuclides!A:F,4,FALSE)</f>
        <v>6937920</v>
      </c>
      <c r="G463" s="3" t="str">
        <f t="shared" si="38"/>
        <v>80.3d</v>
      </c>
      <c r="H463" s="3">
        <f t="shared" si="39"/>
        <v>9.9907058680403535E-8</v>
      </c>
      <c r="I463" s="3">
        <f t="shared" si="40"/>
        <v>0</v>
      </c>
      <c r="J463" s="3">
        <f t="shared" si="41"/>
        <v>0</v>
      </c>
      <c r="K463" s="3" t="str">
        <f t="shared" si="42"/>
        <v>As73</v>
      </c>
      <c r="L463" s="3" cm="1">
        <f t="array" ref="L463">SUM(($J463*EXP(-$H463*12*3600*_xlfn.SEQUENCE(L$1-1))))+$J463</f>
        <v>0</v>
      </c>
      <c r="M463" s="3"/>
      <c r="N463" s="3"/>
    </row>
    <row r="464" spans="2:14" hidden="1" x14ac:dyDescent="0.2">
      <c r="B464" s="3">
        <v>33074</v>
      </c>
      <c r="C464" s="3">
        <v>0</v>
      </c>
      <c r="D464">
        <v>461</v>
      </c>
      <c r="E464" t="str">
        <f>VLOOKUP(B464,Nuclides!A:F,5,FALSE)</f>
        <v>As74</v>
      </c>
      <c r="F464">
        <f>VLOOKUP(B464,Nuclides!A:F,4,FALSE)</f>
        <v>1535328</v>
      </c>
      <c r="G464" s="3" t="str">
        <f t="shared" si="38"/>
        <v>17.77d</v>
      </c>
      <c r="H464" s="3">
        <f t="shared" si="39"/>
        <v>4.5146521170716959E-7</v>
      </c>
      <c r="I464" s="3">
        <f t="shared" si="40"/>
        <v>0</v>
      </c>
      <c r="J464" s="3">
        <f t="shared" si="41"/>
        <v>0</v>
      </c>
      <c r="K464" s="3" t="str">
        <f t="shared" si="42"/>
        <v>As74</v>
      </c>
      <c r="L464" s="3" cm="1">
        <f t="array" ref="L464">SUM(($J464*EXP(-$H464*12*3600*_xlfn.SEQUENCE(L$1-1))))+$J464</f>
        <v>0</v>
      </c>
      <c r="M464" s="3"/>
      <c r="N464" s="3"/>
    </row>
    <row r="465" spans="2:14" hidden="1" x14ac:dyDescent="0.2">
      <c r="B465" s="3">
        <v>33075</v>
      </c>
      <c r="C465" s="3">
        <v>0</v>
      </c>
      <c r="D465">
        <v>462</v>
      </c>
      <c r="E465" t="str">
        <f>VLOOKUP(B465,Nuclides!A:F,5,FALSE)</f>
        <v>As75</v>
      </c>
      <c r="F465" t="str">
        <f>VLOOKUP(B465,Nuclides!A:F,4,FALSE)</f>
        <v>STABLE</v>
      </c>
      <c r="G465" s="3" t="str">
        <f t="shared" si="38"/>
        <v>STABLE</v>
      </c>
      <c r="H465" s="3" t="e">
        <f t="shared" si="39"/>
        <v>#VALUE!</v>
      </c>
      <c r="I465" s="3" t="e">
        <f t="shared" si="40"/>
        <v>#VALUE!</v>
      </c>
      <c r="J465" s="3" t="e">
        <f t="shared" si="41"/>
        <v>#VALUE!</v>
      </c>
      <c r="K465" s="3" t="str">
        <f t="shared" si="42"/>
        <v>As75</v>
      </c>
      <c r="L465" s="3" t="e" cm="1">
        <f t="array" ref="L465">SUM(($J465*EXP(-$H465*12*3600*_xlfn.SEQUENCE(L$1-1))))+$J465</f>
        <v>#VALUE!</v>
      </c>
      <c r="M465" s="3"/>
      <c r="N465" s="3"/>
    </row>
    <row r="466" spans="2:14" hidden="1" x14ac:dyDescent="0.2">
      <c r="B466" s="3">
        <v>33076</v>
      </c>
      <c r="C466" s="3">
        <v>0</v>
      </c>
      <c r="D466">
        <v>463</v>
      </c>
      <c r="E466" t="str">
        <f>VLOOKUP(B466,Nuclides!A:F,5,FALSE)</f>
        <v>As76</v>
      </c>
      <c r="F466">
        <f>VLOOKUP(B466,Nuclides!A:F,4,FALSE)</f>
        <v>94538.880000000005</v>
      </c>
      <c r="G466" s="3" t="str">
        <f t="shared" si="38"/>
        <v>1.09d</v>
      </c>
      <c r="H466" s="3">
        <f t="shared" si="39"/>
        <v>7.3318742570246785E-6</v>
      </c>
      <c r="I466" s="3">
        <f t="shared" si="40"/>
        <v>0</v>
      </c>
      <c r="J466" s="3">
        <f t="shared" si="41"/>
        <v>0</v>
      </c>
      <c r="K466" s="3" t="str">
        <f t="shared" si="42"/>
        <v>As76</v>
      </c>
      <c r="L466" s="3" cm="1">
        <f t="array" ref="L466">SUM(($J466*EXP(-$H466*12*3600*_xlfn.SEQUENCE(L$1-1))))+$J466</f>
        <v>0</v>
      </c>
      <c r="M466" s="3"/>
      <c r="N466" s="3"/>
    </row>
    <row r="467" spans="2:14" hidden="1" x14ac:dyDescent="0.2">
      <c r="B467" s="3">
        <v>33077</v>
      </c>
      <c r="C467" s="3">
        <v>0</v>
      </c>
      <c r="D467">
        <v>464</v>
      </c>
      <c r="E467" t="str">
        <f>VLOOKUP(B467,Nuclides!A:F,5,FALSE)</f>
        <v>As77</v>
      </c>
      <c r="F467">
        <f>VLOOKUP(B467,Nuclides!A:F,4,FALSE)</f>
        <v>139788</v>
      </c>
      <c r="G467" s="3" t="str">
        <f t="shared" si="38"/>
        <v>1.62d</v>
      </c>
      <c r="H467" s="3">
        <f t="shared" si="39"/>
        <v>4.958559966234192E-6</v>
      </c>
      <c r="I467" s="3">
        <f t="shared" si="40"/>
        <v>0</v>
      </c>
      <c r="J467" s="3">
        <f t="shared" si="41"/>
        <v>0</v>
      </c>
      <c r="K467" s="3" t="str">
        <f t="shared" si="42"/>
        <v>As77</v>
      </c>
      <c r="L467" s="3" cm="1">
        <f t="array" ref="L467">SUM(($J467*EXP(-$H467*12*3600*_xlfn.SEQUENCE(L$1-1))))+$J467</f>
        <v>0</v>
      </c>
      <c r="M467" s="3"/>
      <c r="N467" s="3"/>
    </row>
    <row r="468" spans="2:14" hidden="1" x14ac:dyDescent="0.2">
      <c r="B468" s="3">
        <v>33078</v>
      </c>
      <c r="C468" s="3">
        <v>0</v>
      </c>
      <c r="D468">
        <v>465</v>
      </c>
      <c r="E468" t="str">
        <f>VLOOKUP(B468,Nuclides!A:F,5,FALSE)</f>
        <v>As78</v>
      </c>
      <c r="F468">
        <f>VLOOKUP(B468,Nuclides!A:F,4,FALSE)</f>
        <v>5442</v>
      </c>
      <c r="G468" s="3" t="str">
        <f t="shared" si="38"/>
        <v>1.51h</v>
      </c>
      <c r="H468" s="3">
        <f t="shared" si="39"/>
        <v>1.2736993395074335E-4</v>
      </c>
      <c r="I468" s="3">
        <f t="shared" si="40"/>
        <v>0</v>
      </c>
      <c r="J468" s="3">
        <f t="shared" si="41"/>
        <v>0</v>
      </c>
      <c r="K468" s="3" t="str">
        <f t="shared" si="42"/>
        <v>As78</v>
      </c>
      <c r="L468" s="3" cm="1">
        <f t="array" ref="L468">SUM(($J468*EXP(-$H468*12*3600*_xlfn.SEQUENCE(L$1-1))))+$J468</f>
        <v>0</v>
      </c>
      <c r="M468" s="3"/>
      <c r="N468" s="3"/>
    </row>
    <row r="469" spans="2:14" hidden="1" x14ac:dyDescent="0.2">
      <c r="B469" s="3">
        <v>33079</v>
      </c>
      <c r="C469" s="3">
        <v>0</v>
      </c>
      <c r="D469">
        <v>466</v>
      </c>
      <c r="E469" t="str">
        <f>VLOOKUP(B469,Nuclides!A:F,5,FALSE)</f>
        <v>As79</v>
      </c>
      <c r="F469">
        <f>VLOOKUP(B469,Nuclides!A:F,4,FALSE)</f>
        <v>540.6</v>
      </c>
      <c r="G469" s="3" t="str">
        <f t="shared" si="38"/>
        <v>9.01min</v>
      </c>
      <c r="H469" s="3">
        <f t="shared" si="39"/>
        <v>1.2821812440990479E-3</v>
      </c>
      <c r="I469" s="3">
        <f t="shared" si="40"/>
        <v>0</v>
      </c>
      <c r="J469" s="3">
        <f t="shared" si="41"/>
        <v>0</v>
      </c>
      <c r="K469" s="3" t="str">
        <f t="shared" si="42"/>
        <v>As79</v>
      </c>
      <c r="L469" s="3" cm="1">
        <f t="array" ref="L469">SUM(($J469*EXP(-$H469*12*3600*_xlfn.SEQUENCE(L$1-1))))+$J469</f>
        <v>0</v>
      </c>
      <c r="M469" s="3"/>
      <c r="N469" s="3"/>
    </row>
    <row r="470" spans="2:14" hidden="1" x14ac:dyDescent="0.2">
      <c r="B470" s="3">
        <v>33080</v>
      </c>
      <c r="C470" s="3">
        <v>0</v>
      </c>
      <c r="D470">
        <v>467</v>
      </c>
      <c r="E470" t="str">
        <f>VLOOKUP(B470,Nuclides!A:F,5,FALSE)</f>
        <v>As80</v>
      </c>
      <c r="F470">
        <f>VLOOKUP(B470,Nuclides!A:F,4,FALSE)</f>
        <v>15.2</v>
      </c>
      <c r="G470" s="3" t="str">
        <f t="shared" si="38"/>
        <v>15.2s</v>
      </c>
      <c r="H470" s="3">
        <f t="shared" si="39"/>
        <v>4.5601788194733248E-2</v>
      </c>
      <c r="I470" s="3">
        <f t="shared" si="40"/>
        <v>0</v>
      </c>
      <c r="J470" s="3">
        <f t="shared" si="41"/>
        <v>0</v>
      </c>
      <c r="K470" s="3" t="str">
        <f t="shared" si="42"/>
        <v>As80</v>
      </c>
      <c r="L470" s="3" cm="1">
        <f t="array" ref="L470">SUM(($J470*EXP(-$H470*12*3600*_xlfn.SEQUENCE(L$1-1))))+$J470</f>
        <v>0</v>
      </c>
      <c r="M470" s="3"/>
      <c r="N470" s="3"/>
    </row>
    <row r="471" spans="2:14" hidden="1" x14ac:dyDescent="0.2">
      <c r="B471" s="3">
        <v>33081</v>
      </c>
      <c r="C471" s="3">
        <v>0</v>
      </c>
      <c r="D471">
        <v>468</v>
      </c>
      <c r="E471" t="str">
        <f>VLOOKUP(B471,Nuclides!A:F,5,FALSE)</f>
        <v>As81</v>
      </c>
      <c r="F471">
        <f>VLOOKUP(B471,Nuclides!A:F,4,FALSE)</f>
        <v>33.299999999999997</v>
      </c>
      <c r="G471" s="3" t="str">
        <f t="shared" si="38"/>
        <v>33.3s</v>
      </c>
      <c r="H471" s="3">
        <f t="shared" si="39"/>
        <v>2.0815230647445806E-2</v>
      </c>
      <c r="I471" s="3">
        <f t="shared" si="40"/>
        <v>0</v>
      </c>
      <c r="J471" s="3">
        <f t="shared" si="41"/>
        <v>0</v>
      </c>
      <c r="K471" s="3" t="str">
        <f t="shared" si="42"/>
        <v>As81</v>
      </c>
      <c r="L471" s="3" cm="1">
        <f t="array" ref="L471">SUM(($J471*EXP(-$H471*12*3600*_xlfn.SEQUENCE(L$1-1))))+$J471</f>
        <v>0</v>
      </c>
      <c r="M471" s="3"/>
      <c r="N471" s="3"/>
    </row>
    <row r="472" spans="2:14" hidden="1" x14ac:dyDescent="0.2">
      <c r="B472" s="3">
        <v>33082</v>
      </c>
      <c r="C472" s="3">
        <v>0</v>
      </c>
      <c r="D472">
        <v>469</v>
      </c>
      <c r="E472" t="str">
        <f>VLOOKUP(B472,Nuclides!A:F,5,FALSE)</f>
        <v>As82</v>
      </c>
      <c r="F472">
        <f>VLOOKUP(B472,Nuclides!A:F,4,FALSE)</f>
        <v>19.100000000000001</v>
      </c>
      <c r="G472" s="3" t="str">
        <f t="shared" si="38"/>
        <v>19.1s</v>
      </c>
      <c r="H472" s="3">
        <f t="shared" si="39"/>
        <v>3.6290428301567812E-2</v>
      </c>
      <c r="I472" s="3">
        <f t="shared" si="40"/>
        <v>0</v>
      </c>
      <c r="J472" s="3">
        <f t="shared" si="41"/>
        <v>0</v>
      </c>
      <c r="K472" s="3" t="str">
        <f t="shared" si="42"/>
        <v>As82</v>
      </c>
      <c r="L472" s="3" cm="1">
        <f t="array" ref="L472">SUM(($J472*EXP(-$H472*12*3600*_xlfn.SEQUENCE(L$1-1))))+$J472</f>
        <v>0</v>
      </c>
      <c r="M472" s="3"/>
      <c r="N472" s="3"/>
    </row>
    <row r="473" spans="2:14" hidden="1" x14ac:dyDescent="0.2">
      <c r="B473" s="3">
        <v>33083</v>
      </c>
      <c r="C473" s="3">
        <v>0</v>
      </c>
      <c r="D473">
        <v>470</v>
      </c>
      <c r="E473" t="str">
        <f>VLOOKUP(B473,Nuclides!A:F,5,FALSE)</f>
        <v>As83</v>
      </c>
      <c r="F473">
        <f>VLOOKUP(B473,Nuclides!A:F,4,FALSE)</f>
        <v>13.4</v>
      </c>
      <c r="G473" s="3" t="str">
        <f t="shared" si="38"/>
        <v>13.4s</v>
      </c>
      <c r="H473" s="3">
        <f t="shared" si="39"/>
        <v>5.1727401534324272E-2</v>
      </c>
      <c r="I473" s="3">
        <f t="shared" si="40"/>
        <v>0</v>
      </c>
      <c r="J473" s="3">
        <f t="shared" si="41"/>
        <v>0</v>
      </c>
      <c r="K473" s="3" t="str">
        <f t="shared" si="42"/>
        <v>As83</v>
      </c>
      <c r="L473" s="3" cm="1">
        <f t="array" ref="L473">SUM(($J473*EXP(-$H473*12*3600*_xlfn.SEQUENCE(L$1-1))))+$J473</f>
        <v>0</v>
      </c>
      <c r="M473" s="3"/>
      <c r="N473" s="3"/>
    </row>
    <row r="474" spans="2:14" hidden="1" x14ac:dyDescent="0.2">
      <c r="B474" s="3">
        <v>33084</v>
      </c>
      <c r="C474" s="3">
        <v>0</v>
      </c>
      <c r="D474">
        <v>471</v>
      </c>
      <c r="E474" t="str">
        <f>VLOOKUP(B474,Nuclides!A:F,5,FALSE)</f>
        <v>As84</v>
      </c>
      <c r="F474">
        <f>VLOOKUP(B474,Nuclides!A:F,4,FALSE)</f>
        <v>4.0199999999999996</v>
      </c>
      <c r="G474" s="3" t="str">
        <f t="shared" si="38"/>
        <v>4.02s</v>
      </c>
      <c r="H474" s="3">
        <f t="shared" si="39"/>
        <v>0.17242467178108092</v>
      </c>
      <c r="I474" s="3">
        <f t="shared" si="40"/>
        <v>0</v>
      </c>
      <c r="J474" s="3">
        <f t="shared" si="41"/>
        <v>0</v>
      </c>
      <c r="K474" s="3" t="str">
        <f t="shared" si="42"/>
        <v>As84</v>
      </c>
      <c r="L474" s="3" cm="1">
        <f t="array" ref="L474">SUM(($J474*EXP(-$H474*12*3600*_xlfn.SEQUENCE(L$1-1))))+$J474</f>
        <v>0</v>
      </c>
      <c r="M474" s="3"/>
      <c r="N474" s="3"/>
    </row>
    <row r="475" spans="2:14" hidden="1" x14ac:dyDescent="0.2">
      <c r="B475" s="3">
        <v>33085</v>
      </c>
      <c r="C475" s="3">
        <v>0</v>
      </c>
      <c r="D475">
        <v>472</v>
      </c>
      <c r="E475" t="str">
        <f>VLOOKUP(B475,Nuclides!A:F,5,FALSE)</f>
        <v>As85</v>
      </c>
      <c r="F475">
        <f>VLOOKUP(B475,Nuclides!A:F,4,FALSE)</f>
        <v>2.0209999999999999</v>
      </c>
      <c r="G475" s="3" t="str">
        <f t="shared" si="38"/>
        <v>2.021s</v>
      </c>
      <c r="H475" s="3">
        <f t="shared" si="39"/>
        <v>0.34297238028695959</v>
      </c>
      <c r="I475" s="3">
        <f t="shared" si="40"/>
        <v>0</v>
      </c>
      <c r="J475" s="3">
        <f t="shared" si="41"/>
        <v>0</v>
      </c>
      <c r="K475" s="3" t="str">
        <f t="shared" si="42"/>
        <v>As85</v>
      </c>
      <c r="L475" s="3" cm="1">
        <f t="array" ref="L475">SUM(($J475*EXP(-$H475*12*3600*_xlfn.SEQUENCE(L$1-1))))+$J475</f>
        <v>0</v>
      </c>
      <c r="M475" s="3"/>
      <c r="N475" s="3"/>
    </row>
    <row r="476" spans="2:14" hidden="1" x14ac:dyDescent="0.2">
      <c r="B476" s="3">
        <v>33086</v>
      </c>
      <c r="C476" s="3">
        <v>0</v>
      </c>
      <c r="D476">
        <v>473</v>
      </c>
      <c r="E476" t="str">
        <f>VLOOKUP(B476,Nuclides!A:F,5,FALSE)</f>
        <v>As86</v>
      </c>
      <c r="F476">
        <f>VLOOKUP(B476,Nuclides!A:F,4,FALSE)</f>
        <v>0.94499999999999995</v>
      </c>
      <c r="G476" s="3" t="str">
        <f t="shared" si="38"/>
        <v>0.945s</v>
      </c>
      <c r="H476" s="3">
        <f t="shared" si="39"/>
        <v>0.73348907995761414</v>
      </c>
      <c r="I476" s="3">
        <f t="shared" si="40"/>
        <v>0</v>
      </c>
      <c r="J476" s="3">
        <f t="shared" si="41"/>
        <v>0</v>
      </c>
      <c r="K476" s="3" t="str">
        <f t="shared" si="42"/>
        <v>As86</v>
      </c>
      <c r="L476" s="3" cm="1">
        <f t="array" ref="L476">SUM(($J476*EXP(-$H476*12*3600*_xlfn.SEQUENCE(L$1-1))))+$J476</f>
        <v>0</v>
      </c>
      <c r="M476" s="3"/>
      <c r="N476" s="3"/>
    </row>
    <row r="477" spans="2:14" hidden="1" x14ac:dyDescent="0.2">
      <c r="B477" s="3">
        <v>33087</v>
      </c>
      <c r="C477" s="3">
        <v>0</v>
      </c>
      <c r="D477">
        <v>474</v>
      </c>
      <c r="E477" t="str">
        <f>VLOOKUP(B477,Nuclides!A:F,5,FALSE)</f>
        <v>As87</v>
      </c>
      <c r="F477">
        <f>VLOOKUP(B477,Nuclides!A:F,4,FALSE)</f>
        <v>0.48399999999999999</v>
      </c>
      <c r="G477" s="3" t="str">
        <f t="shared" si="38"/>
        <v>0.484s</v>
      </c>
      <c r="H477" s="3">
        <f t="shared" si="39"/>
        <v>1.4321222738841846</v>
      </c>
      <c r="I477" s="3">
        <f t="shared" si="40"/>
        <v>0</v>
      </c>
      <c r="J477" s="3">
        <f t="shared" si="41"/>
        <v>0</v>
      </c>
      <c r="K477" s="3" t="str">
        <f t="shared" si="42"/>
        <v>As87</v>
      </c>
      <c r="L477" s="3" cm="1">
        <f t="array" ref="L477">SUM(($J477*EXP(-$H477*12*3600*_xlfn.SEQUENCE(L$1-1))))+$J477</f>
        <v>0</v>
      </c>
      <c r="M477" s="3"/>
      <c r="N477" s="3"/>
    </row>
    <row r="478" spans="2:14" hidden="1" x14ac:dyDescent="0.2">
      <c r="B478" s="3">
        <v>34068</v>
      </c>
      <c r="C478" s="3">
        <v>0</v>
      </c>
      <c r="D478">
        <v>475</v>
      </c>
      <c r="E478" t="str">
        <f>VLOOKUP(B478,Nuclides!A:F,5,FALSE)</f>
        <v>Se68</v>
      </c>
      <c r="F478">
        <f>VLOOKUP(B478,Nuclides!A:F,4,FALSE)</f>
        <v>35.5</v>
      </c>
      <c r="G478" s="3" t="str">
        <f t="shared" si="38"/>
        <v>35.5s</v>
      </c>
      <c r="H478" s="3">
        <f t="shared" si="39"/>
        <v>1.9525272691829444E-2</v>
      </c>
      <c r="I478" s="3">
        <f t="shared" si="40"/>
        <v>0</v>
      </c>
      <c r="J478" s="3">
        <f t="shared" si="41"/>
        <v>0</v>
      </c>
      <c r="K478" s="3" t="str">
        <f t="shared" si="42"/>
        <v>Se68</v>
      </c>
      <c r="L478" s="3" cm="1">
        <f t="array" ref="L478">SUM(($J478*EXP(-$H478*12*3600*_xlfn.SEQUENCE(L$1-1))))+$J478</f>
        <v>0</v>
      </c>
      <c r="M478" s="3"/>
      <c r="N478" s="3"/>
    </row>
    <row r="479" spans="2:14" hidden="1" x14ac:dyDescent="0.2">
      <c r="B479" s="3">
        <v>34069</v>
      </c>
      <c r="C479" s="3">
        <v>0</v>
      </c>
      <c r="D479">
        <v>476</v>
      </c>
      <c r="E479" t="str">
        <f>VLOOKUP(B479,Nuclides!A:F,5,FALSE)</f>
        <v>Se69</v>
      </c>
      <c r="F479">
        <f>VLOOKUP(B479,Nuclides!A:F,4,FALSE)</f>
        <v>27.4</v>
      </c>
      <c r="G479" s="3" t="str">
        <f t="shared" si="38"/>
        <v>27.4s</v>
      </c>
      <c r="H479" s="3">
        <f t="shared" si="39"/>
        <v>2.5297342356202384E-2</v>
      </c>
      <c r="I479" s="3">
        <f t="shared" si="40"/>
        <v>0</v>
      </c>
      <c r="J479" s="3">
        <f t="shared" si="41"/>
        <v>0</v>
      </c>
      <c r="K479" s="3" t="str">
        <f t="shared" si="42"/>
        <v>Se69</v>
      </c>
      <c r="L479" s="3" cm="1">
        <f t="array" ref="L479">SUM(($J479*EXP(-$H479*12*3600*_xlfn.SEQUENCE(L$1-1))))+$J479</f>
        <v>0</v>
      </c>
      <c r="M479" s="3"/>
      <c r="N479" s="3"/>
    </row>
    <row r="480" spans="2:14" hidden="1" x14ac:dyDescent="0.2">
      <c r="B480" s="3">
        <v>34070</v>
      </c>
      <c r="C480" s="3">
        <v>0</v>
      </c>
      <c r="D480">
        <v>477</v>
      </c>
      <c r="E480" t="str">
        <f>VLOOKUP(B480,Nuclides!A:F,5,FALSE)</f>
        <v>Se70</v>
      </c>
      <c r="F480">
        <f>VLOOKUP(B480,Nuclides!A:F,4,FALSE)</f>
        <v>2466</v>
      </c>
      <c r="G480" s="3" t="str">
        <f t="shared" si="38"/>
        <v>41.1min</v>
      </c>
      <c r="H480" s="3">
        <f t="shared" si="39"/>
        <v>2.8108158173558204E-4</v>
      </c>
      <c r="I480" s="3">
        <f t="shared" si="40"/>
        <v>0</v>
      </c>
      <c r="J480" s="3">
        <f t="shared" si="41"/>
        <v>0</v>
      </c>
      <c r="K480" s="3" t="str">
        <f t="shared" si="42"/>
        <v>Se70</v>
      </c>
      <c r="L480" s="3" cm="1">
        <f t="array" ref="L480">SUM(($J480*EXP(-$H480*12*3600*_xlfn.SEQUENCE(L$1-1))))+$J480</f>
        <v>0</v>
      </c>
      <c r="M480" s="3"/>
      <c r="N480" s="3"/>
    </row>
    <row r="481" spans="2:14" hidden="1" x14ac:dyDescent="0.2">
      <c r="B481" s="3">
        <v>34071</v>
      </c>
      <c r="C481" s="3">
        <v>0</v>
      </c>
      <c r="D481">
        <v>478</v>
      </c>
      <c r="E481" t="str">
        <f>VLOOKUP(B481,Nuclides!A:F,5,FALSE)</f>
        <v>Se71</v>
      </c>
      <c r="F481">
        <f>VLOOKUP(B481,Nuclides!A:F,4,FALSE)</f>
        <v>284.39999999999998</v>
      </c>
      <c r="G481" s="3" t="str">
        <f t="shared" si="38"/>
        <v>4.74min</v>
      </c>
      <c r="H481" s="3">
        <f t="shared" si="39"/>
        <v>2.4372263732768823E-3</v>
      </c>
      <c r="I481" s="3">
        <f t="shared" si="40"/>
        <v>0</v>
      </c>
      <c r="J481" s="3">
        <f t="shared" si="41"/>
        <v>0</v>
      </c>
      <c r="K481" s="3" t="str">
        <f t="shared" si="42"/>
        <v>Se71</v>
      </c>
      <c r="L481" s="3" cm="1">
        <f t="array" ref="L481">SUM(($J481*EXP(-$H481*12*3600*_xlfn.SEQUENCE(L$1-1))))+$J481</f>
        <v>0</v>
      </c>
      <c r="M481" s="3"/>
      <c r="N481" s="3"/>
    </row>
    <row r="482" spans="2:14" hidden="1" x14ac:dyDescent="0.2">
      <c r="B482" s="3">
        <v>34072</v>
      </c>
      <c r="C482" s="3">
        <v>0</v>
      </c>
      <c r="D482">
        <v>479</v>
      </c>
      <c r="E482" t="str">
        <f>VLOOKUP(B482,Nuclides!A:F,5,FALSE)</f>
        <v>Se72</v>
      </c>
      <c r="F482">
        <f>VLOOKUP(B482,Nuclides!A:F,4,FALSE)</f>
        <v>725760</v>
      </c>
      <c r="G482" s="3" t="str">
        <f t="shared" si="38"/>
        <v>8.4d</v>
      </c>
      <c r="H482" s="3">
        <f t="shared" si="39"/>
        <v>9.5506390619481007E-7</v>
      </c>
      <c r="I482" s="3">
        <f t="shared" si="40"/>
        <v>0</v>
      </c>
      <c r="J482" s="3">
        <f t="shared" si="41"/>
        <v>0</v>
      </c>
      <c r="K482" s="3" t="str">
        <f t="shared" si="42"/>
        <v>Se72</v>
      </c>
      <c r="L482" s="3" cm="1">
        <f t="array" ref="L482">SUM(($J482*EXP(-$H482*12*3600*_xlfn.SEQUENCE(L$1-1))))+$J482</f>
        <v>0</v>
      </c>
      <c r="M482" s="3"/>
      <c r="N482" s="3"/>
    </row>
    <row r="483" spans="2:14" hidden="1" x14ac:dyDescent="0.2">
      <c r="B483" s="3">
        <v>34073</v>
      </c>
      <c r="C483" s="3">
        <v>0</v>
      </c>
      <c r="D483">
        <v>480</v>
      </c>
      <c r="E483" t="str">
        <f>VLOOKUP(B483,Nuclides!A:F,5,FALSE)</f>
        <v>Se73</v>
      </c>
      <c r="F483">
        <f>VLOOKUP(B483,Nuclides!A:F,4,FALSE)</f>
        <v>25740</v>
      </c>
      <c r="G483" s="3" t="str">
        <f t="shared" si="38"/>
        <v>7.15h</v>
      </c>
      <c r="H483" s="3">
        <f t="shared" si="39"/>
        <v>2.6928794893548767E-5</v>
      </c>
      <c r="I483" s="3">
        <f t="shared" si="40"/>
        <v>0</v>
      </c>
      <c r="J483" s="3">
        <f t="shared" si="41"/>
        <v>0</v>
      </c>
      <c r="K483" s="3" t="str">
        <f t="shared" si="42"/>
        <v>Se73</v>
      </c>
      <c r="L483" s="3" cm="1">
        <f t="array" ref="L483">SUM(($J483*EXP(-$H483*12*3600*_xlfn.SEQUENCE(L$1-1))))+$J483</f>
        <v>0</v>
      </c>
      <c r="M483" s="3"/>
      <c r="N483" s="3"/>
    </row>
    <row r="484" spans="2:14" hidden="1" x14ac:dyDescent="0.2">
      <c r="B484" s="3">
        <v>34074</v>
      </c>
      <c r="C484" s="3">
        <v>0</v>
      </c>
      <c r="D484">
        <v>481</v>
      </c>
      <c r="E484" t="str">
        <f>VLOOKUP(B484,Nuclides!A:F,5,FALSE)</f>
        <v>Se74</v>
      </c>
      <c r="F484" t="str">
        <f>VLOOKUP(B484,Nuclides!A:F,4,FALSE)</f>
        <v>STABLE</v>
      </c>
      <c r="G484" s="3" t="str">
        <f t="shared" si="38"/>
        <v>STABLE</v>
      </c>
      <c r="H484" s="3" t="e">
        <f t="shared" si="39"/>
        <v>#VALUE!</v>
      </c>
      <c r="I484" s="3" t="e">
        <f t="shared" si="40"/>
        <v>#VALUE!</v>
      </c>
      <c r="J484" s="3" t="e">
        <f t="shared" si="41"/>
        <v>#VALUE!</v>
      </c>
      <c r="K484" s="3" t="str">
        <f t="shared" si="42"/>
        <v>Se74</v>
      </c>
      <c r="L484" s="3" t="e" cm="1">
        <f t="array" ref="L484">SUM(($J484*EXP(-$H484*12*3600*_xlfn.SEQUENCE(L$1-1))))+$J484</f>
        <v>#VALUE!</v>
      </c>
      <c r="M484" s="3"/>
      <c r="N484" s="3"/>
    </row>
    <row r="485" spans="2:14" hidden="1" x14ac:dyDescent="0.2">
      <c r="B485" s="3">
        <v>34075</v>
      </c>
      <c r="C485" s="3">
        <v>0</v>
      </c>
      <c r="D485">
        <v>482</v>
      </c>
      <c r="E485" t="str">
        <f>VLOOKUP(B485,Nuclides!A:F,5,FALSE)</f>
        <v>Se75</v>
      </c>
      <c r="F485">
        <f>VLOOKUP(B485,Nuclides!A:F,4,FALSE)</f>
        <v>10348992</v>
      </c>
      <c r="G485" s="3" t="str">
        <f t="shared" si="38"/>
        <v>119.78d</v>
      </c>
      <c r="H485" s="3">
        <f t="shared" si="39"/>
        <v>6.6977265086294909E-8</v>
      </c>
      <c r="I485" s="3">
        <f t="shared" si="40"/>
        <v>0</v>
      </c>
      <c r="J485" s="3">
        <f t="shared" si="41"/>
        <v>0</v>
      </c>
      <c r="K485" s="3" t="str">
        <f t="shared" si="42"/>
        <v>Se75</v>
      </c>
      <c r="L485" s="3" cm="1">
        <f t="array" ref="L485">SUM(($J485*EXP(-$H485*12*3600*_xlfn.SEQUENCE(L$1-1))))+$J485</f>
        <v>0</v>
      </c>
      <c r="M485" s="3"/>
      <c r="N485" s="3"/>
    </row>
    <row r="486" spans="2:14" hidden="1" x14ac:dyDescent="0.2">
      <c r="B486" s="3">
        <v>34076</v>
      </c>
      <c r="C486" s="3">
        <v>0</v>
      </c>
      <c r="D486">
        <v>483</v>
      </c>
      <c r="E486" t="str">
        <f>VLOOKUP(B486,Nuclides!A:F,5,FALSE)</f>
        <v>Se76</v>
      </c>
      <c r="F486" t="str">
        <f>VLOOKUP(B486,Nuclides!A:F,4,FALSE)</f>
        <v>STABLE</v>
      </c>
      <c r="G486" s="3" t="str">
        <f t="shared" si="38"/>
        <v>STABLE</v>
      </c>
      <c r="H486" s="3" t="e">
        <f t="shared" si="39"/>
        <v>#VALUE!</v>
      </c>
      <c r="I486" s="3" t="e">
        <f t="shared" si="40"/>
        <v>#VALUE!</v>
      </c>
      <c r="J486" s="3" t="e">
        <f t="shared" si="41"/>
        <v>#VALUE!</v>
      </c>
      <c r="K486" s="3" t="str">
        <f t="shared" si="42"/>
        <v>Se76</v>
      </c>
      <c r="L486" s="3" t="e" cm="1">
        <f t="array" ref="L486">SUM(($J486*EXP(-$H486*12*3600*_xlfn.SEQUENCE(L$1-1))))+$J486</f>
        <v>#VALUE!</v>
      </c>
      <c r="M486" s="3"/>
      <c r="N486" s="3"/>
    </row>
    <row r="487" spans="2:14" hidden="1" x14ac:dyDescent="0.2">
      <c r="B487" s="3">
        <v>34077</v>
      </c>
      <c r="C487" s="3">
        <v>0</v>
      </c>
      <c r="D487">
        <v>484</v>
      </c>
      <c r="E487" t="str">
        <f>VLOOKUP(B487,Nuclides!A:F,5,FALSE)</f>
        <v>Se77</v>
      </c>
      <c r="F487" t="str">
        <f>VLOOKUP(B487,Nuclides!A:F,4,FALSE)</f>
        <v>STABLE</v>
      </c>
      <c r="G487" s="3" t="str">
        <f t="shared" si="38"/>
        <v>STABLE</v>
      </c>
      <c r="H487" s="3" t="e">
        <f t="shared" si="39"/>
        <v>#VALUE!</v>
      </c>
      <c r="I487" s="3" t="e">
        <f t="shared" si="40"/>
        <v>#VALUE!</v>
      </c>
      <c r="J487" s="3" t="e">
        <f t="shared" si="41"/>
        <v>#VALUE!</v>
      </c>
      <c r="K487" s="3" t="str">
        <f t="shared" si="42"/>
        <v>Se77</v>
      </c>
      <c r="L487" s="3" t="e" cm="1">
        <f t="array" ref="L487">SUM(($J487*EXP(-$H487*12*3600*_xlfn.SEQUENCE(L$1-1))))+$J487</f>
        <v>#VALUE!</v>
      </c>
      <c r="M487" s="3"/>
      <c r="N487" s="3"/>
    </row>
    <row r="488" spans="2:14" hidden="1" x14ac:dyDescent="0.2">
      <c r="B488" s="3">
        <v>34078</v>
      </c>
      <c r="C488" s="3">
        <v>0</v>
      </c>
      <c r="D488">
        <v>485</v>
      </c>
      <c r="E488" t="str">
        <f>VLOOKUP(B488,Nuclides!A:F,5,FALSE)</f>
        <v>Se78</v>
      </c>
      <c r="F488" t="str">
        <f>VLOOKUP(B488,Nuclides!A:F,4,FALSE)</f>
        <v>STABLE</v>
      </c>
      <c r="G488" s="3" t="str">
        <f t="shared" si="38"/>
        <v>STABLE</v>
      </c>
      <c r="H488" s="3" t="e">
        <f t="shared" si="39"/>
        <v>#VALUE!</v>
      </c>
      <c r="I488" s="3" t="e">
        <f t="shared" si="40"/>
        <v>#VALUE!</v>
      </c>
      <c r="J488" s="3" t="e">
        <f t="shared" si="41"/>
        <v>#VALUE!</v>
      </c>
      <c r="K488" s="3" t="str">
        <f t="shared" si="42"/>
        <v>Se78</v>
      </c>
      <c r="L488" s="3" t="e" cm="1">
        <f t="array" ref="L488">SUM(($J488*EXP(-$H488*12*3600*_xlfn.SEQUENCE(L$1-1))))+$J488</f>
        <v>#VALUE!</v>
      </c>
      <c r="M488" s="3"/>
      <c r="N488" s="3"/>
    </row>
    <row r="489" spans="2:14" hidden="1" x14ac:dyDescent="0.2">
      <c r="B489" s="3">
        <v>34079</v>
      </c>
      <c r="C489" s="3">
        <v>0</v>
      </c>
      <c r="D489">
        <v>486</v>
      </c>
      <c r="E489" t="str">
        <f>VLOOKUP(B489,Nuclides!A:F,5,FALSE)</f>
        <v>Se79</v>
      </c>
      <c r="F489">
        <f>VLOOKUP(B489,Nuclides!A:F,4,FALSE)</f>
        <v>10287777600000</v>
      </c>
      <c r="G489" s="3" t="str">
        <f t="shared" si="38"/>
        <v>326223.29y</v>
      </c>
      <c r="H489" s="3">
        <f t="shared" si="39"/>
        <v>6.7375793636902231E-14</v>
      </c>
      <c r="I489" s="3">
        <f t="shared" si="40"/>
        <v>0</v>
      </c>
      <c r="J489" s="3">
        <f t="shared" si="41"/>
        <v>0</v>
      </c>
      <c r="K489" s="3" t="str">
        <f t="shared" si="42"/>
        <v>Se79</v>
      </c>
      <c r="L489" s="3" cm="1">
        <f t="array" ref="L489">SUM(($J489*EXP(-$H489*12*3600*_xlfn.SEQUENCE(L$1-1))))+$J489</f>
        <v>0</v>
      </c>
      <c r="M489" s="3"/>
      <c r="N489" s="3"/>
    </row>
    <row r="490" spans="2:14" hidden="1" x14ac:dyDescent="0.2">
      <c r="B490" s="3">
        <v>34080</v>
      </c>
      <c r="C490" s="3">
        <v>0</v>
      </c>
      <c r="D490">
        <v>487</v>
      </c>
      <c r="E490" t="str">
        <f>VLOOKUP(B490,Nuclides!A:F,5,FALSE)</f>
        <v>Se80</v>
      </c>
      <c r="F490" t="str">
        <f>VLOOKUP(B490,Nuclides!A:F,4,FALSE)</f>
        <v>STABLE</v>
      </c>
      <c r="G490" s="3" t="str">
        <f t="shared" si="38"/>
        <v>STABLE</v>
      </c>
      <c r="H490" s="3" t="e">
        <f t="shared" si="39"/>
        <v>#VALUE!</v>
      </c>
      <c r="I490" s="3" t="e">
        <f t="shared" si="40"/>
        <v>#VALUE!</v>
      </c>
      <c r="J490" s="3" t="e">
        <f t="shared" si="41"/>
        <v>#VALUE!</v>
      </c>
      <c r="K490" s="3" t="str">
        <f t="shared" si="42"/>
        <v>Se80</v>
      </c>
      <c r="L490" s="3" t="e" cm="1">
        <f t="array" ref="L490">SUM(($J490*EXP(-$H490*12*3600*_xlfn.SEQUENCE(L$1-1))))+$J490</f>
        <v>#VALUE!</v>
      </c>
      <c r="M490" s="3"/>
      <c r="N490" s="3"/>
    </row>
    <row r="491" spans="2:14" hidden="1" x14ac:dyDescent="0.2">
      <c r="B491" s="3">
        <v>34081</v>
      </c>
      <c r="C491" s="3">
        <v>0</v>
      </c>
      <c r="D491">
        <v>488</v>
      </c>
      <c r="E491" t="str">
        <f>VLOOKUP(B491,Nuclides!A:F,5,FALSE)</f>
        <v>Se81</v>
      </c>
      <c r="F491">
        <f>VLOOKUP(B491,Nuclides!A:F,4,FALSE)</f>
        <v>1107</v>
      </c>
      <c r="G491" s="3" t="str">
        <f t="shared" si="38"/>
        <v>18.45min</v>
      </c>
      <c r="H491" s="3">
        <f t="shared" si="39"/>
        <v>6.261492145979632E-4</v>
      </c>
      <c r="I491" s="3">
        <f t="shared" si="40"/>
        <v>0</v>
      </c>
      <c r="J491" s="3">
        <f t="shared" si="41"/>
        <v>0</v>
      </c>
      <c r="K491" s="3" t="str">
        <f t="shared" si="42"/>
        <v>Se81</v>
      </c>
      <c r="L491" s="3" cm="1">
        <f t="array" ref="L491">SUM(($J491*EXP(-$H491*12*3600*_xlfn.SEQUENCE(L$1-1))))+$J491</f>
        <v>0</v>
      </c>
      <c r="M491" s="3"/>
      <c r="N491" s="3"/>
    </row>
    <row r="492" spans="2:14" hidden="1" x14ac:dyDescent="0.2">
      <c r="B492" s="3">
        <v>34082</v>
      </c>
      <c r="C492" s="3">
        <v>0</v>
      </c>
      <c r="D492">
        <v>489</v>
      </c>
      <c r="E492" t="str">
        <f>VLOOKUP(B492,Nuclides!A:F,5,FALSE)</f>
        <v>Se82</v>
      </c>
      <c r="F492" t="str">
        <f>VLOOKUP(B492,Nuclides!A:F,4,FALSE)</f>
        <v>STABLE</v>
      </c>
      <c r="G492" s="3" t="str">
        <f t="shared" si="38"/>
        <v>STABLE</v>
      </c>
      <c r="H492" s="3" t="e">
        <f t="shared" si="39"/>
        <v>#VALUE!</v>
      </c>
      <c r="I492" s="3" t="e">
        <f t="shared" si="40"/>
        <v>#VALUE!</v>
      </c>
      <c r="J492" s="3" t="e">
        <f t="shared" si="41"/>
        <v>#VALUE!</v>
      </c>
      <c r="K492" s="3" t="str">
        <f t="shared" si="42"/>
        <v>Se82</v>
      </c>
      <c r="L492" s="3" t="e" cm="1">
        <f t="array" ref="L492">SUM(($J492*EXP(-$H492*12*3600*_xlfn.SEQUENCE(L$1-1))))+$J492</f>
        <v>#VALUE!</v>
      </c>
      <c r="M492" s="3"/>
      <c r="N492" s="3"/>
    </row>
    <row r="493" spans="2:14" hidden="1" x14ac:dyDescent="0.2">
      <c r="B493" s="3">
        <v>34083</v>
      </c>
      <c r="C493" s="3">
        <v>0</v>
      </c>
      <c r="D493">
        <v>490</v>
      </c>
      <c r="E493" t="str">
        <f>VLOOKUP(B493,Nuclides!A:F,5,FALSE)</f>
        <v>Se83</v>
      </c>
      <c r="F493">
        <f>VLOOKUP(B493,Nuclides!A:F,4,FALSE)</f>
        <v>1335</v>
      </c>
      <c r="G493" s="3" t="str">
        <f t="shared" si="38"/>
        <v>22.25min</v>
      </c>
      <c r="H493" s="3">
        <f t="shared" si="39"/>
        <v>5.192113712059515E-4</v>
      </c>
      <c r="I493" s="3">
        <f t="shared" si="40"/>
        <v>0</v>
      </c>
      <c r="J493" s="3">
        <f t="shared" si="41"/>
        <v>0</v>
      </c>
      <c r="K493" s="3" t="str">
        <f t="shared" si="42"/>
        <v>Se83</v>
      </c>
      <c r="L493" s="3" cm="1">
        <f t="array" ref="L493">SUM(($J493*EXP(-$H493*12*3600*_xlfn.SEQUENCE(L$1-1))))+$J493</f>
        <v>0</v>
      </c>
      <c r="M493" s="3"/>
      <c r="N493" s="3"/>
    </row>
    <row r="494" spans="2:14" hidden="1" x14ac:dyDescent="0.2">
      <c r="B494" s="3">
        <v>34084</v>
      </c>
      <c r="C494" s="3">
        <v>0</v>
      </c>
      <c r="D494">
        <v>491</v>
      </c>
      <c r="E494" t="str">
        <f>VLOOKUP(B494,Nuclides!A:F,5,FALSE)</f>
        <v>Se84</v>
      </c>
      <c r="F494">
        <f>VLOOKUP(B494,Nuclides!A:F,4,FALSE)</f>
        <v>195.6</v>
      </c>
      <c r="G494" s="3" t="str">
        <f t="shared" si="38"/>
        <v>3.26min</v>
      </c>
      <c r="H494" s="3">
        <f t="shared" si="39"/>
        <v>3.5436972421265095E-3</v>
      </c>
      <c r="I494" s="3">
        <f t="shared" si="40"/>
        <v>0</v>
      </c>
      <c r="J494" s="3">
        <f t="shared" si="41"/>
        <v>0</v>
      </c>
      <c r="K494" s="3" t="str">
        <f t="shared" si="42"/>
        <v>Se84</v>
      </c>
      <c r="L494" s="3" cm="1">
        <f t="array" ref="L494">SUM(($J494*EXP(-$H494*12*3600*_xlfn.SEQUENCE(L$1-1))))+$J494</f>
        <v>0</v>
      </c>
      <c r="M494" s="3"/>
      <c r="N494" s="3"/>
    </row>
    <row r="495" spans="2:14" hidden="1" x14ac:dyDescent="0.2">
      <c r="B495" s="3">
        <v>34085</v>
      </c>
      <c r="C495" s="3">
        <v>0</v>
      </c>
      <c r="D495">
        <v>492</v>
      </c>
      <c r="E495" t="str">
        <f>VLOOKUP(B495,Nuclides!A:F,5,FALSE)</f>
        <v>Se85</v>
      </c>
      <c r="F495">
        <f>VLOOKUP(B495,Nuclides!A:F,4,FALSE)</f>
        <v>32.9</v>
      </c>
      <c r="G495" s="3" t="str">
        <f t="shared" si="38"/>
        <v>32.9s</v>
      </c>
      <c r="H495" s="3">
        <f t="shared" si="39"/>
        <v>2.106830336048466E-2</v>
      </c>
      <c r="I495" s="3">
        <f t="shared" si="40"/>
        <v>0</v>
      </c>
      <c r="J495" s="3">
        <f t="shared" si="41"/>
        <v>0</v>
      </c>
      <c r="K495" s="3" t="str">
        <f t="shared" si="42"/>
        <v>Se85</v>
      </c>
      <c r="L495" s="3" cm="1">
        <f t="array" ref="L495">SUM(($J495*EXP(-$H495*12*3600*_xlfn.SEQUENCE(L$1-1))))+$J495</f>
        <v>0</v>
      </c>
      <c r="M495" s="3"/>
      <c r="N495" s="3"/>
    </row>
    <row r="496" spans="2:14" hidden="1" x14ac:dyDescent="0.2">
      <c r="B496" s="3">
        <v>34086</v>
      </c>
      <c r="C496" s="3">
        <v>0</v>
      </c>
      <c r="D496">
        <v>493</v>
      </c>
      <c r="E496" t="str">
        <f>VLOOKUP(B496,Nuclides!A:F,5,FALSE)</f>
        <v>Se86</v>
      </c>
      <c r="F496">
        <f>VLOOKUP(B496,Nuclides!A:F,4,FALSE)</f>
        <v>14.3</v>
      </c>
      <c r="G496" s="3" t="str">
        <f t="shared" si="38"/>
        <v>14.3s</v>
      </c>
      <c r="H496" s="3">
        <f t="shared" si="39"/>
        <v>4.8471830808387781E-2</v>
      </c>
      <c r="I496" s="3">
        <f t="shared" si="40"/>
        <v>0</v>
      </c>
      <c r="J496" s="3">
        <f t="shared" si="41"/>
        <v>0</v>
      </c>
      <c r="K496" s="3" t="str">
        <f t="shared" si="42"/>
        <v>Se86</v>
      </c>
      <c r="L496" s="3" cm="1">
        <f t="array" ref="L496">SUM(($J496*EXP(-$H496*12*3600*_xlfn.SEQUENCE(L$1-1))))+$J496</f>
        <v>0</v>
      </c>
      <c r="M496" s="3"/>
      <c r="N496" s="3"/>
    </row>
    <row r="497" spans="2:14" hidden="1" x14ac:dyDescent="0.2">
      <c r="B497" s="3">
        <v>34087</v>
      </c>
      <c r="C497" s="3">
        <v>0</v>
      </c>
      <c r="D497">
        <v>494</v>
      </c>
      <c r="E497" t="str">
        <f>VLOOKUP(B497,Nuclides!A:F,5,FALSE)</f>
        <v>Se87</v>
      </c>
      <c r="F497">
        <f>VLOOKUP(B497,Nuclides!A:F,4,FALSE)</f>
        <v>5.5</v>
      </c>
      <c r="G497" s="3" t="str">
        <f t="shared" si="38"/>
        <v>5.5s</v>
      </c>
      <c r="H497" s="3">
        <f t="shared" si="39"/>
        <v>0.12602676010180824</v>
      </c>
      <c r="I497" s="3">
        <f t="shared" si="40"/>
        <v>0</v>
      </c>
      <c r="J497" s="3">
        <f t="shared" si="41"/>
        <v>0</v>
      </c>
      <c r="K497" s="3" t="str">
        <f t="shared" si="42"/>
        <v>Se87</v>
      </c>
      <c r="L497" s="3" cm="1">
        <f t="array" ref="L497">SUM(($J497*EXP(-$H497*12*3600*_xlfn.SEQUENCE(L$1-1))))+$J497</f>
        <v>0</v>
      </c>
      <c r="M497" s="3"/>
      <c r="N497" s="3"/>
    </row>
    <row r="498" spans="2:14" hidden="1" x14ac:dyDescent="0.2">
      <c r="B498" s="3">
        <v>34088</v>
      </c>
      <c r="C498" s="3">
        <v>0</v>
      </c>
      <c r="D498">
        <v>495</v>
      </c>
      <c r="E498" t="str">
        <f>VLOOKUP(B498,Nuclides!A:F,5,FALSE)</f>
        <v>Se88</v>
      </c>
      <c r="F498">
        <f>VLOOKUP(B498,Nuclides!A:F,4,FALSE)</f>
        <v>1.53</v>
      </c>
      <c r="G498" s="3" t="str">
        <f t="shared" si="38"/>
        <v>1.53s</v>
      </c>
      <c r="H498" s="3">
        <f t="shared" si="39"/>
        <v>0.45303737291499691</v>
      </c>
      <c r="I498" s="3">
        <f t="shared" si="40"/>
        <v>0</v>
      </c>
      <c r="J498" s="3">
        <f t="shared" si="41"/>
        <v>0</v>
      </c>
      <c r="K498" s="3" t="str">
        <f t="shared" si="42"/>
        <v>Se88</v>
      </c>
      <c r="L498" s="3" cm="1">
        <f t="array" ref="L498">SUM(($J498*EXP(-$H498*12*3600*_xlfn.SEQUENCE(L$1-1))))+$J498</f>
        <v>0</v>
      </c>
      <c r="M498" s="3"/>
      <c r="N498" s="3"/>
    </row>
    <row r="499" spans="2:14" hidden="1" x14ac:dyDescent="0.2">
      <c r="B499" s="3">
        <v>34089</v>
      </c>
      <c r="C499" s="3">
        <v>0</v>
      </c>
      <c r="D499">
        <v>496</v>
      </c>
      <c r="E499" t="str">
        <f>VLOOKUP(B499,Nuclides!A:F,5,FALSE)</f>
        <v>Se89</v>
      </c>
      <c r="F499">
        <f>VLOOKUP(B499,Nuclides!A:F,4,FALSE)</f>
        <v>0.43</v>
      </c>
      <c r="G499" s="3" t="str">
        <f t="shared" si="38"/>
        <v>0.43s</v>
      </c>
      <c r="H499" s="3">
        <f t="shared" si="39"/>
        <v>1.61197018734871</v>
      </c>
      <c r="I499" s="3">
        <f t="shared" si="40"/>
        <v>0</v>
      </c>
      <c r="J499" s="3">
        <f t="shared" si="41"/>
        <v>0</v>
      </c>
      <c r="K499" s="3" t="str">
        <f t="shared" si="42"/>
        <v>Se89</v>
      </c>
      <c r="L499" s="3" cm="1">
        <f t="array" ref="L499">SUM(($J499*EXP(-$H499*12*3600*_xlfn.SEQUENCE(L$1-1))))+$J499</f>
        <v>0</v>
      </c>
      <c r="M499" s="3"/>
      <c r="N499" s="3"/>
    </row>
    <row r="500" spans="2:14" hidden="1" x14ac:dyDescent="0.2">
      <c r="B500" s="3">
        <v>34090</v>
      </c>
      <c r="C500" s="3">
        <v>0</v>
      </c>
      <c r="D500">
        <v>497</v>
      </c>
      <c r="E500" t="str">
        <f>VLOOKUP(B500,Nuclides!A:F,5,FALSE)</f>
        <v>Se90</v>
      </c>
      <c r="F500">
        <f>VLOOKUP(B500,Nuclides!A:F,4,FALSE)</f>
        <v>0.19500000000000001</v>
      </c>
      <c r="G500" s="3" t="str">
        <f t="shared" si="38"/>
        <v>0.195s</v>
      </c>
      <c r="H500" s="3">
        <f t="shared" si="39"/>
        <v>3.5546009259484372</v>
      </c>
      <c r="I500" s="3">
        <f t="shared" si="40"/>
        <v>0</v>
      </c>
      <c r="J500" s="3">
        <f t="shared" si="41"/>
        <v>0</v>
      </c>
      <c r="K500" s="3" t="str">
        <f t="shared" si="42"/>
        <v>Se90</v>
      </c>
      <c r="L500" s="3" cm="1">
        <f t="array" ref="L500">SUM(($J500*EXP(-$H500*12*3600*_xlfn.SEQUENCE(L$1-1))))+$J500</f>
        <v>0</v>
      </c>
      <c r="M500" s="3"/>
      <c r="N500" s="3"/>
    </row>
    <row r="501" spans="2:14" hidden="1" x14ac:dyDescent="0.2">
      <c r="B501" s="3">
        <v>34091</v>
      </c>
      <c r="C501" s="3">
        <v>0</v>
      </c>
      <c r="D501">
        <v>498</v>
      </c>
      <c r="E501" t="str">
        <f>VLOOKUP(B501,Nuclides!A:F,5,FALSE)</f>
        <v>Se91</v>
      </c>
      <c r="F501">
        <f>VLOOKUP(B501,Nuclides!A:F,4,FALSE)</f>
        <v>0.27</v>
      </c>
      <c r="G501" s="3" t="str">
        <f t="shared" si="38"/>
        <v>0.27s</v>
      </c>
      <c r="H501" s="3">
        <f t="shared" si="39"/>
        <v>2.5672117798516489</v>
      </c>
      <c r="I501" s="3">
        <f t="shared" si="40"/>
        <v>0</v>
      </c>
      <c r="J501" s="3">
        <f t="shared" si="41"/>
        <v>0</v>
      </c>
      <c r="K501" s="3" t="str">
        <f t="shared" si="42"/>
        <v>Se91</v>
      </c>
      <c r="L501" s="3" cm="1">
        <f t="array" ref="L501">SUM(($J501*EXP(-$H501*12*3600*_xlfn.SEQUENCE(L$1-1))))+$J501</f>
        <v>0</v>
      </c>
      <c r="M501" s="3"/>
      <c r="N501" s="3"/>
    </row>
    <row r="502" spans="2:14" hidden="1" x14ac:dyDescent="0.2">
      <c r="B502" s="3">
        <v>35070</v>
      </c>
      <c r="C502" s="3">
        <v>0</v>
      </c>
      <c r="D502">
        <v>499</v>
      </c>
      <c r="E502" t="str">
        <f>VLOOKUP(B502,Nuclides!A:F,5,FALSE)</f>
        <v>Br70</v>
      </c>
      <c r="F502">
        <f>VLOOKUP(B502,Nuclides!A:F,4,FALSE)</f>
        <v>7.9099999999999906E-2</v>
      </c>
      <c r="G502" s="3" t="str">
        <f t="shared" si="38"/>
        <v>0.0790999999999999s</v>
      </c>
      <c r="H502" s="3">
        <f t="shared" si="39"/>
        <v>8.7629226366617718</v>
      </c>
      <c r="I502" s="3">
        <f t="shared" si="40"/>
        <v>0</v>
      </c>
      <c r="J502" s="3">
        <f t="shared" si="41"/>
        <v>0</v>
      </c>
      <c r="K502" s="3" t="str">
        <f t="shared" si="42"/>
        <v>Br70</v>
      </c>
      <c r="L502" s="3" cm="1">
        <f t="array" ref="L502">SUM(($J502*EXP(-$H502*12*3600*_xlfn.SEQUENCE(L$1-1))))+$J502</f>
        <v>0</v>
      </c>
      <c r="M502" s="3"/>
      <c r="N502" s="3"/>
    </row>
    <row r="503" spans="2:14" hidden="1" x14ac:dyDescent="0.2">
      <c r="B503" s="3">
        <v>35071</v>
      </c>
      <c r="C503" s="3">
        <v>0</v>
      </c>
      <c r="D503">
        <v>500</v>
      </c>
      <c r="E503" t="str">
        <f>VLOOKUP(B503,Nuclides!A:F,5,FALSE)</f>
        <v>Br71</v>
      </c>
      <c r="F503">
        <f>VLOOKUP(B503,Nuclides!A:F,4,FALSE)</f>
        <v>21.4</v>
      </c>
      <c r="G503" s="3" t="str">
        <f t="shared" si="38"/>
        <v>21.4s</v>
      </c>
      <c r="H503" s="3">
        <f t="shared" si="39"/>
        <v>3.2390055166352585E-2</v>
      </c>
      <c r="I503" s="3">
        <f t="shared" si="40"/>
        <v>0</v>
      </c>
      <c r="J503" s="3">
        <f t="shared" si="41"/>
        <v>0</v>
      </c>
      <c r="K503" s="3" t="str">
        <f t="shared" si="42"/>
        <v>Br71</v>
      </c>
      <c r="L503" s="3" cm="1">
        <f t="array" ref="L503">SUM(($J503*EXP(-$H503*12*3600*_xlfn.SEQUENCE(L$1-1))))+$J503</f>
        <v>0</v>
      </c>
      <c r="M503" s="3"/>
      <c r="N503" s="3"/>
    </row>
    <row r="504" spans="2:14" hidden="1" x14ac:dyDescent="0.2">
      <c r="B504" s="3">
        <v>35072</v>
      </c>
      <c r="C504" s="3">
        <v>0</v>
      </c>
      <c r="D504">
        <v>501</v>
      </c>
      <c r="E504" t="str">
        <f>VLOOKUP(B504,Nuclides!A:F,5,FALSE)</f>
        <v>Br72</v>
      </c>
      <c r="F504">
        <f>VLOOKUP(B504,Nuclides!A:F,4,FALSE)</f>
        <v>78.599999999999994</v>
      </c>
      <c r="G504" s="3" t="str">
        <f t="shared" si="38"/>
        <v>1.31min</v>
      </c>
      <c r="H504" s="3">
        <f t="shared" si="39"/>
        <v>8.818666419337727E-3</v>
      </c>
      <c r="I504" s="3">
        <f t="shared" si="40"/>
        <v>0</v>
      </c>
      <c r="J504" s="3">
        <f t="shared" si="41"/>
        <v>0</v>
      </c>
      <c r="K504" s="3" t="str">
        <f t="shared" si="42"/>
        <v>Br72</v>
      </c>
      <c r="L504" s="3" cm="1">
        <f t="array" ref="L504">SUM(($J504*EXP(-$H504*12*3600*_xlfn.SEQUENCE(L$1-1))))+$J504</f>
        <v>0</v>
      </c>
      <c r="M504" s="3"/>
      <c r="N504" s="3"/>
    </row>
    <row r="505" spans="2:14" hidden="1" x14ac:dyDescent="0.2">
      <c r="B505" s="3">
        <v>35073</v>
      </c>
      <c r="C505" s="3">
        <v>0</v>
      </c>
      <c r="D505">
        <v>502</v>
      </c>
      <c r="E505" t="str">
        <f>VLOOKUP(B505,Nuclides!A:F,5,FALSE)</f>
        <v>Br73</v>
      </c>
      <c r="F505">
        <f>VLOOKUP(B505,Nuclides!A:F,4,FALSE)</f>
        <v>204</v>
      </c>
      <c r="G505" s="3" t="str">
        <f t="shared" si="38"/>
        <v>3.4min</v>
      </c>
      <c r="H505" s="3">
        <f t="shared" si="39"/>
        <v>3.3977802968624769E-3</v>
      </c>
      <c r="I505" s="3">
        <f t="shared" si="40"/>
        <v>0</v>
      </c>
      <c r="J505" s="3">
        <f t="shared" si="41"/>
        <v>0</v>
      </c>
      <c r="K505" s="3" t="str">
        <f t="shared" si="42"/>
        <v>Br73</v>
      </c>
      <c r="L505" s="3" cm="1">
        <f t="array" ref="L505">SUM(($J505*EXP(-$H505*12*3600*_xlfn.SEQUENCE(L$1-1))))+$J505</f>
        <v>0</v>
      </c>
      <c r="M505" s="3"/>
      <c r="N505" s="3"/>
    </row>
    <row r="506" spans="2:14" hidden="1" x14ac:dyDescent="0.2">
      <c r="B506" s="3">
        <v>35074</v>
      </c>
      <c r="C506" s="3">
        <v>0</v>
      </c>
      <c r="D506">
        <v>503</v>
      </c>
      <c r="E506" t="str">
        <f>VLOOKUP(B506,Nuclides!A:F,5,FALSE)</f>
        <v>Br74</v>
      </c>
      <c r="F506">
        <f>VLOOKUP(B506,Nuclides!A:F,4,FALSE)</f>
        <v>1524</v>
      </c>
      <c r="G506" s="3" t="str">
        <f t="shared" si="38"/>
        <v>25.4min</v>
      </c>
      <c r="H506" s="3">
        <f t="shared" si="39"/>
        <v>4.5482098461938666E-4</v>
      </c>
      <c r="I506" s="3">
        <f t="shared" si="40"/>
        <v>0</v>
      </c>
      <c r="J506" s="3">
        <f t="shared" si="41"/>
        <v>0</v>
      </c>
      <c r="K506" s="3" t="str">
        <f t="shared" si="42"/>
        <v>Br74</v>
      </c>
      <c r="L506" s="3" cm="1">
        <f t="array" ref="L506">SUM(($J506*EXP(-$H506*12*3600*_xlfn.SEQUENCE(L$1-1))))+$J506</f>
        <v>0</v>
      </c>
      <c r="M506" s="3"/>
      <c r="N506" s="3"/>
    </row>
    <row r="507" spans="2:14" hidden="1" x14ac:dyDescent="0.2">
      <c r="B507" s="3">
        <v>35075</v>
      </c>
      <c r="C507" s="3">
        <v>0</v>
      </c>
      <c r="D507">
        <v>504</v>
      </c>
      <c r="E507" t="str">
        <f>VLOOKUP(B507,Nuclides!A:F,5,FALSE)</f>
        <v>Br75</v>
      </c>
      <c r="F507">
        <f>VLOOKUP(B507,Nuclides!A:F,4,FALSE)</f>
        <v>5802</v>
      </c>
      <c r="G507" s="3" t="str">
        <f t="shared" si="38"/>
        <v>1.61h</v>
      </c>
      <c r="H507" s="3">
        <f t="shared" si="39"/>
        <v>1.1946693908306538E-4</v>
      </c>
      <c r="I507" s="3">
        <f t="shared" si="40"/>
        <v>0</v>
      </c>
      <c r="J507" s="3">
        <f t="shared" si="41"/>
        <v>0</v>
      </c>
      <c r="K507" s="3" t="str">
        <f t="shared" si="42"/>
        <v>Br75</v>
      </c>
      <c r="L507" s="3" cm="1">
        <f t="array" ref="L507">SUM(($J507*EXP(-$H507*12*3600*_xlfn.SEQUENCE(L$1-1))))+$J507</f>
        <v>0</v>
      </c>
      <c r="M507" s="3"/>
      <c r="N507" s="3"/>
    </row>
    <row r="508" spans="2:14" hidden="1" x14ac:dyDescent="0.2">
      <c r="B508" s="3">
        <v>35076</v>
      </c>
      <c r="C508" s="3">
        <v>0</v>
      </c>
      <c r="D508">
        <v>505</v>
      </c>
      <c r="E508" t="str">
        <f>VLOOKUP(B508,Nuclides!A:F,5,FALSE)</f>
        <v>Br76</v>
      </c>
      <c r="F508">
        <f>VLOOKUP(B508,Nuclides!A:F,4,FALSE)</f>
        <v>58320</v>
      </c>
      <c r="G508" s="3" t="str">
        <f t="shared" si="38"/>
        <v>16.2h</v>
      </c>
      <c r="H508" s="3">
        <f t="shared" si="39"/>
        <v>1.1885239721535413E-5</v>
      </c>
      <c r="I508" s="3">
        <f t="shared" si="40"/>
        <v>0</v>
      </c>
      <c r="J508" s="3">
        <f t="shared" si="41"/>
        <v>0</v>
      </c>
      <c r="K508" s="3" t="str">
        <f t="shared" si="42"/>
        <v>Br76</v>
      </c>
      <c r="L508" s="3" cm="1">
        <f t="array" ref="L508">SUM(($J508*EXP(-$H508*12*3600*_xlfn.SEQUENCE(L$1-1))))+$J508</f>
        <v>0</v>
      </c>
      <c r="M508" s="3"/>
      <c r="N508" s="3"/>
    </row>
    <row r="509" spans="2:14" hidden="1" x14ac:dyDescent="0.2">
      <c r="B509" s="3">
        <v>35077</v>
      </c>
      <c r="C509" s="3">
        <v>0</v>
      </c>
      <c r="D509">
        <v>506</v>
      </c>
      <c r="E509" t="str">
        <f>VLOOKUP(B509,Nuclides!A:F,5,FALSE)</f>
        <v>Br77</v>
      </c>
      <c r="F509">
        <f>VLOOKUP(B509,Nuclides!A:F,4,FALSE)</f>
        <v>205329.6</v>
      </c>
      <c r="G509" s="3" t="str">
        <f t="shared" si="38"/>
        <v>2.38d</v>
      </c>
      <c r="H509" s="3">
        <f t="shared" si="39"/>
        <v>3.3757781662261325E-6</v>
      </c>
      <c r="I509" s="3">
        <f t="shared" si="40"/>
        <v>0</v>
      </c>
      <c r="J509" s="3">
        <f t="shared" si="41"/>
        <v>0</v>
      </c>
      <c r="K509" s="3" t="str">
        <f t="shared" si="42"/>
        <v>Br77</v>
      </c>
      <c r="L509" s="3" cm="1">
        <f t="array" ref="L509">SUM(($J509*EXP(-$H509*12*3600*_xlfn.SEQUENCE(L$1-1))))+$J509</f>
        <v>0</v>
      </c>
      <c r="M509" s="3"/>
      <c r="N509" s="3"/>
    </row>
    <row r="510" spans="2:14" hidden="1" x14ac:dyDescent="0.2">
      <c r="B510" s="3">
        <v>35078</v>
      </c>
      <c r="C510" s="3">
        <v>0</v>
      </c>
      <c r="D510">
        <v>507</v>
      </c>
      <c r="E510" t="str">
        <f>VLOOKUP(B510,Nuclides!A:F,5,FALSE)</f>
        <v>Br78</v>
      </c>
      <c r="F510">
        <f>VLOOKUP(B510,Nuclides!A:F,4,FALSE)</f>
        <v>387</v>
      </c>
      <c r="G510" s="3" t="str">
        <f t="shared" si="38"/>
        <v>6.45min</v>
      </c>
      <c r="H510" s="3">
        <f t="shared" si="39"/>
        <v>1.7910779859430111E-3</v>
      </c>
      <c r="I510" s="3">
        <f t="shared" si="40"/>
        <v>0</v>
      </c>
      <c r="J510" s="3">
        <f t="shared" si="41"/>
        <v>0</v>
      </c>
      <c r="K510" s="3" t="str">
        <f t="shared" si="42"/>
        <v>Br78</v>
      </c>
      <c r="L510" s="3" cm="1">
        <f t="array" ref="L510">SUM(($J510*EXP(-$H510*12*3600*_xlfn.SEQUENCE(L$1-1))))+$J510</f>
        <v>0</v>
      </c>
      <c r="M510" s="3"/>
      <c r="N510" s="3"/>
    </row>
    <row r="511" spans="2:14" hidden="1" x14ac:dyDescent="0.2">
      <c r="B511" s="3">
        <v>35079</v>
      </c>
      <c r="C511" s="3">
        <v>0</v>
      </c>
      <c r="D511">
        <v>508</v>
      </c>
      <c r="E511" t="str">
        <f>VLOOKUP(B511,Nuclides!A:F,5,FALSE)</f>
        <v>Br79</v>
      </c>
      <c r="F511" t="str">
        <f>VLOOKUP(B511,Nuclides!A:F,4,FALSE)</f>
        <v>STABLE</v>
      </c>
      <c r="G511" s="3" t="str">
        <f t="shared" si="38"/>
        <v>STABLE</v>
      </c>
      <c r="H511" s="3" t="e">
        <f t="shared" si="39"/>
        <v>#VALUE!</v>
      </c>
      <c r="I511" s="3" t="e">
        <f t="shared" si="40"/>
        <v>#VALUE!</v>
      </c>
      <c r="J511" s="3" t="e">
        <f t="shared" si="41"/>
        <v>#VALUE!</v>
      </c>
      <c r="K511" s="3" t="str">
        <f t="shared" si="42"/>
        <v>Br79</v>
      </c>
      <c r="L511" s="3" t="e" cm="1">
        <f t="array" ref="L511">SUM(($J511*EXP(-$H511*12*3600*_xlfn.SEQUENCE(L$1-1))))+$J511</f>
        <v>#VALUE!</v>
      </c>
      <c r="M511" s="3"/>
      <c r="N511" s="3"/>
    </row>
    <row r="512" spans="2:14" hidden="1" x14ac:dyDescent="0.2">
      <c r="B512" s="3">
        <v>35080</v>
      </c>
      <c r="C512" s="3">
        <v>0</v>
      </c>
      <c r="D512">
        <v>509</v>
      </c>
      <c r="E512" t="str">
        <f>VLOOKUP(B512,Nuclides!A:F,5,FALSE)</f>
        <v>Br80</v>
      </c>
      <c r="F512">
        <f>VLOOKUP(B512,Nuclides!A:F,4,FALSE)</f>
        <v>1060.8</v>
      </c>
      <c r="G512" s="3" t="str">
        <f t="shared" si="38"/>
        <v>17.68min</v>
      </c>
      <c r="H512" s="3">
        <f t="shared" si="39"/>
        <v>6.5341928785816864E-4</v>
      </c>
      <c r="I512" s="3">
        <f t="shared" si="40"/>
        <v>0</v>
      </c>
      <c r="J512" s="3">
        <f t="shared" si="41"/>
        <v>0</v>
      </c>
      <c r="K512" s="3" t="str">
        <f t="shared" si="42"/>
        <v>Br80</v>
      </c>
      <c r="L512" s="3" cm="1">
        <f t="array" ref="L512">SUM(($J512*EXP(-$H512*12*3600*_xlfn.SEQUENCE(L$1-1))))+$J512</f>
        <v>0</v>
      </c>
      <c r="M512" s="3"/>
      <c r="N512" s="3"/>
    </row>
    <row r="513" spans="2:14" hidden="1" x14ac:dyDescent="0.2">
      <c r="B513" s="3">
        <v>35081</v>
      </c>
      <c r="C513" s="3">
        <v>0</v>
      </c>
      <c r="D513">
        <v>510</v>
      </c>
      <c r="E513" t="str">
        <f>VLOOKUP(B513,Nuclides!A:F,5,FALSE)</f>
        <v>Br81</v>
      </c>
      <c r="F513" t="str">
        <f>VLOOKUP(B513,Nuclides!A:F,4,FALSE)</f>
        <v>STABLE</v>
      </c>
      <c r="G513" s="3" t="str">
        <f t="shared" si="38"/>
        <v>STABLE</v>
      </c>
      <c r="H513" s="3" t="e">
        <f t="shared" si="39"/>
        <v>#VALUE!</v>
      </c>
      <c r="I513" s="3" t="e">
        <f t="shared" si="40"/>
        <v>#VALUE!</v>
      </c>
      <c r="J513" s="3" t="e">
        <f t="shared" si="41"/>
        <v>#VALUE!</v>
      </c>
      <c r="K513" s="3" t="str">
        <f t="shared" si="42"/>
        <v>Br81</v>
      </c>
      <c r="L513" s="3" t="e" cm="1">
        <f t="array" ref="L513">SUM(($J513*EXP(-$H513*12*3600*_xlfn.SEQUENCE(L$1-1))))+$J513</f>
        <v>#VALUE!</v>
      </c>
      <c r="M513" s="3"/>
      <c r="N513" s="3"/>
    </row>
    <row r="514" spans="2:14" hidden="1" x14ac:dyDescent="0.2">
      <c r="B514" s="3">
        <v>35082</v>
      </c>
      <c r="C514" s="3">
        <v>0</v>
      </c>
      <c r="D514">
        <v>511</v>
      </c>
      <c r="E514" t="str">
        <f>VLOOKUP(B514,Nuclides!A:F,5,FALSE)</f>
        <v>Br82</v>
      </c>
      <c r="F514">
        <f>VLOOKUP(B514,Nuclides!A:F,4,FALSE)</f>
        <v>127015.19999999899</v>
      </c>
      <c r="G514" s="3" t="str">
        <f t="shared" si="38"/>
        <v>1.47d</v>
      </c>
      <c r="H514" s="3">
        <f t="shared" si="39"/>
        <v>5.4571986703949669E-6</v>
      </c>
      <c r="I514" s="3">
        <f t="shared" si="40"/>
        <v>0</v>
      </c>
      <c r="J514" s="3">
        <f t="shared" si="41"/>
        <v>0</v>
      </c>
      <c r="K514" s="3" t="str">
        <f t="shared" si="42"/>
        <v>Br82</v>
      </c>
      <c r="L514" s="3" cm="1">
        <f t="array" ref="L514">SUM(($J514*EXP(-$H514*12*3600*_xlfn.SEQUENCE(L$1-1))))+$J514</f>
        <v>0</v>
      </c>
      <c r="M514" s="3"/>
      <c r="N514" s="3"/>
    </row>
    <row r="515" spans="2:14" hidden="1" x14ac:dyDescent="0.2">
      <c r="B515" s="3">
        <v>35083</v>
      </c>
      <c r="C515" s="3">
        <v>0</v>
      </c>
      <c r="D515">
        <v>512</v>
      </c>
      <c r="E515" t="str">
        <f>VLOOKUP(B515,Nuclides!A:F,5,FALSE)</f>
        <v>Br83</v>
      </c>
      <c r="F515">
        <f>VLOOKUP(B515,Nuclides!A:F,4,FALSE)</f>
        <v>8546.4</v>
      </c>
      <c r="G515" s="3" t="str">
        <f t="shared" si="38"/>
        <v>2.37h</v>
      </c>
      <c r="H515" s="3">
        <f t="shared" si="39"/>
        <v>8.1103994729938379E-5</v>
      </c>
      <c r="I515" s="3">
        <f t="shared" si="40"/>
        <v>0</v>
      </c>
      <c r="J515" s="3">
        <f t="shared" si="41"/>
        <v>0</v>
      </c>
      <c r="K515" s="3" t="str">
        <f t="shared" si="42"/>
        <v>Br83</v>
      </c>
      <c r="L515" s="3" cm="1">
        <f t="array" ref="L515">SUM(($J515*EXP(-$H515*12*3600*_xlfn.SEQUENCE(L$1-1))))+$J515</f>
        <v>0</v>
      </c>
      <c r="M515" s="3"/>
      <c r="N515" s="3"/>
    </row>
    <row r="516" spans="2:14" hidden="1" x14ac:dyDescent="0.2">
      <c r="B516" s="3">
        <v>35084</v>
      </c>
      <c r="C516" s="3">
        <v>0</v>
      </c>
      <c r="D516">
        <v>513</v>
      </c>
      <c r="E516" t="str">
        <f>VLOOKUP(B516,Nuclides!A:F,5,FALSE)</f>
        <v>Br84</v>
      </c>
      <c r="F516">
        <f>VLOOKUP(B516,Nuclides!A:F,4,FALSE)</f>
        <v>1905.6</v>
      </c>
      <c r="G516" s="3" t="str">
        <f t="shared" ref="G516:G579" si="43">IF(F516="STABLE", "STABLE", IF(F516&lt;60, F516&amp;"s", IF(F516&lt;3600, ROUND(F516/60,2)&amp;"min", IF(F516&lt;86400, ROUND(F516/3600,2)&amp;"h", IF(F516&lt;31536000, ROUND(F516/86400,2)&amp;"d", ROUND(F516/31536000,2)&amp;"y")))))</f>
        <v>31.76min</v>
      </c>
      <c r="H516" s="3">
        <f t="shared" ref="H516:H579" si="44">LN(2)/F516</f>
        <v>3.6374222321575639E-4</v>
      </c>
      <c r="I516" s="3">
        <f t="shared" ref="I516:I579" si="45">100*6240000000000*C516*(1-EXP(-H516*2*3600))</f>
        <v>0</v>
      </c>
      <c r="J516" s="3">
        <f t="shared" ref="J516:J579" si="46">I516*EXP(-H516*10*3600)</f>
        <v>0</v>
      </c>
      <c r="K516" s="3" t="str">
        <f t="shared" ref="K516:K579" si="47">E516</f>
        <v>Br84</v>
      </c>
      <c r="L516" s="3" cm="1">
        <f t="array" ref="L516">SUM(($J516*EXP(-$H516*12*3600*_xlfn.SEQUENCE(L$1-1))))+$J516</f>
        <v>0</v>
      </c>
      <c r="M516" s="3"/>
      <c r="N516" s="3"/>
    </row>
    <row r="517" spans="2:14" hidden="1" x14ac:dyDescent="0.2">
      <c r="B517" s="3">
        <v>35085</v>
      </c>
      <c r="C517" s="3">
        <v>0</v>
      </c>
      <c r="D517">
        <v>514</v>
      </c>
      <c r="E517" t="str">
        <f>VLOOKUP(B517,Nuclides!A:F,5,FALSE)</f>
        <v>Br85</v>
      </c>
      <c r="F517">
        <f>VLOOKUP(B517,Nuclides!A:F,4,FALSE)</f>
        <v>174</v>
      </c>
      <c r="G517" s="3" t="str">
        <f t="shared" si="43"/>
        <v>2.9min</v>
      </c>
      <c r="H517" s="3">
        <f t="shared" si="44"/>
        <v>3.9836044859766972E-3</v>
      </c>
      <c r="I517" s="3">
        <f t="shared" si="45"/>
        <v>0</v>
      </c>
      <c r="J517" s="3">
        <f t="shared" si="46"/>
        <v>0</v>
      </c>
      <c r="K517" s="3" t="str">
        <f t="shared" si="47"/>
        <v>Br85</v>
      </c>
      <c r="L517" s="3" cm="1">
        <f t="array" ref="L517">SUM(($J517*EXP(-$H517*12*3600*_xlfn.SEQUENCE(L$1-1))))+$J517</f>
        <v>0</v>
      </c>
      <c r="M517" s="3"/>
      <c r="N517" s="3"/>
    </row>
    <row r="518" spans="2:14" hidden="1" x14ac:dyDescent="0.2">
      <c r="B518" s="3">
        <v>35086</v>
      </c>
      <c r="C518" s="3">
        <v>0</v>
      </c>
      <c r="D518">
        <v>515</v>
      </c>
      <c r="E518" t="str">
        <f>VLOOKUP(B518,Nuclides!A:F,5,FALSE)</f>
        <v>Br86</v>
      </c>
      <c r="F518">
        <f>VLOOKUP(B518,Nuclides!A:F,4,FALSE)</f>
        <v>55.1</v>
      </c>
      <c r="G518" s="3" t="str">
        <f t="shared" si="43"/>
        <v>55.1s</v>
      </c>
      <c r="H518" s="3">
        <f t="shared" si="44"/>
        <v>1.2579803639926411E-2</v>
      </c>
      <c r="I518" s="3">
        <f t="shared" si="45"/>
        <v>0</v>
      </c>
      <c r="J518" s="3">
        <f t="shared" si="46"/>
        <v>0</v>
      </c>
      <c r="K518" s="3" t="str">
        <f t="shared" si="47"/>
        <v>Br86</v>
      </c>
      <c r="L518" s="3" cm="1">
        <f t="array" ref="L518">SUM(($J518*EXP(-$H518*12*3600*_xlfn.SEQUENCE(L$1-1))))+$J518</f>
        <v>0</v>
      </c>
      <c r="M518" s="3"/>
      <c r="N518" s="3"/>
    </row>
    <row r="519" spans="2:14" hidden="1" x14ac:dyDescent="0.2">
      <c r="B519" s="3">
        <v>35087</v>
      </c>
      <c r="C519" s="3">
        <v>0</v>
      </c>
      <c r="D519">
        <v>516</v>
      </c>
      <c r="E519" t="str">
        <f>VLOOKUP(B519,Nuclides!A:F,5,FALSE)</f>
        <v>Br87</v>
      </c>
      <c r="F519">
        <f>VLOOKUP(B519,Nuclides!A:F,4,FALSE)</f>
        <v>55.65</v>
      </c>
      <c r="G519" s="3" t="str">
        <f t="shared" si="43"/>
        <v>55.65s</v>
      </c>
      <c r="H519" s="3">
        <f t="shared" si="44"/>
        <v>1.2455474942676466E-2</v>
      </c>
      <c r="I519" s="3">
        <f t="shared" si="45"/>
        <v>0</v>
      </c>
      <c r="J519" s="3">
        <f t="shared" si="46"/>
        <v>0</v>
      </c>
      <c r="K519" s="3" t="str">
        <f t="shared" si="47"/>
        <v>Br87</v>
      </c>
      <c r="L519" s="3" cm="1">
        <f t="array" ref="L519">SUM(($J519*EXP(-$H519*12*3600*_xlfn.SEQUENCE(L$1-1))))+$J519</f>
        <v>0</v>
      </c>
      <c r="M519" s="3"/>
      <c r="N519" s="3"/>
    </row>
    <row r="520" spans="2:14" hidden="1" x14ac:dyDescent="0.2">
      <c r="B520" s="3">
        <v>35088</v>
      </c>
      <c r="C520" s="3">
        <v>0</v>
      </c>
      <c r="D520">
        <v>517</v>
      </c>
      <c r="E520" t="str">
        <f>VLOOKUP(B520,Nuclides!A:F,5,FALSE)</f>
        <v>Br88</v>
      </c>
      <c r="F520">
        <f>VLOOKUP(B520,Nuclides!A:F,4,FALSE)</f>
        <v>16.34</v>
      </c>
      <c r="G520" s="3" t="str">
        <f t="shared" si="43"/>
        <v>16.34s</v>
      </c>
      <c r="H520" s="3">
        <f t="shared" si="44"/>
        <v>4.242026808812395E-2</v>
      </c>
      <c r="I520" s="3">
        <f t="shared" si="45"/>
        <v>0</v>
      </c>
      <c r="J520" s="3">
        <f t="shared" si="46"/>
        <v>0</v>
      </c>
      <c r="K520" s="3" t="str">
        <f t="shared" si="47"/>
        <v>Br88</v>
      </c>
      <c r="L520" s="3" cm="1">
        <f t="array" ref="L520">SUM(($J520*EXP(-$H520*12*3600*_xlfn.SEQUENCE(L$1-1))))+$J520</f>
        <v>0</v>
      </c>
      <c r="M520" s="3"/>
      <c r="N520" s="3"/>
    </row>
    <row r="521" spans="2:14" hidden="1" x14ac:dyDescent="0.2">
      <c r="B521" s="3">
        <v>35089</v>
      </c>
      <c r="C521" s="3">
        <v>0</v>
      </c>
      <c r="D521">
        <v>518</v>
      </c>
      <c r="E521" t="str">
        <f>VLOOKUP(B521,Nuclides!A:F,5,FALSE)</f>
        <v>Br89</v>
      </c>
      <c r="F521">
        <f>VLOOKUP(B521,Nuclides!A:F,4,FALSE)</f>
        <v>4.3570000000000002</v>
      </c>
      <c r="G521" s="3" t="str">
        <f t="shared" si="43"/>
        <v>4.357s</v>
      </c>
      <c r="H521" s="3">
        <f t="shared" si="44"/>
        <v>0.15908817547852772</v>
      </c>
      <c r="I521" s="3">
        <f t="shared" si="45"/>
        <v>0</v>
      </c>
      <c r="J521" s="3">
        <f t="shared" si="46"/>
        <v>0</v>
      </c>
      <c r="K521" s="3" t="str">
        <f t="shared" si="47"/>
        <v>Br89</v>
      </c>
      <c r="L521" s="3" cm="1">
        <f t="array" ref="L521">SUM(($J521*EXP(-$H521*12*3600*_xlfn.SEQUENCE(L$1-1))))+$J521</f>
        <v>0</v>
      </c>
      <c r="M521" s="3"/>
      <c r="N521" s="3"/>
    </row>
    <row r="522" spans="2:14" hidden="1" x14ac:dyDescent="0.2">
      <c r="B522" s="3">
        <v>35090</v>
      </c>
      <c r="C522" s="3">
        <v>0</v>
      </c>
      <c r="D522">
        <v>519</v>
      </c>
      <c r="E522" t="str">
        <f>VLOOKUP(B522,Nuclides!A:F,5,FALSE)</f>
        <v>Br90</v>
      </c>
      <c r="F522">
        <f>VLOOKUP(B522,Nuclides!A:F,4,FALSE)</f>
        <v>1.92</v>
      </c>
      <c r="G522" s="3" t="str">
        <f t="shared" si="43"/>
        <v>1.92s</v>
      </c>
      <c r="H522" s="3">
        <f t="shared" si="44"/>
        <v>0.36101415654163821</v>
      </c>
      <c r="I522" s="3">
        <f t="shared" si="45"/>
        <v>0</v>
      </c>
      <c r="J522" s="3">
        <f t="shared" si="46"/>
        <v>0</v>
      </c>
      <c r="K522" s="3" t="str">
        <f t="shared" si="47"/>
        <v>Br90</v>
      </c>
      <c r="L522" s="3" cm="1">
        <f t="array" ref="L522">SUM(($J522*EXP(-$H522*12*3600*_xlfn.SEQUENCE(L$1-1))))+$J522</f>
        <v>0</v>
      </c>
      <c r="M522" s="3"/>
      <c r="N522" s="3"/>
    </row>
    <row r="523" spans="2:14" hidden="1" x14ac:dyDescent="0.2">
      <c r="B523" s="3">
        <v>35091</v>
      </c>
      <c r="C523" s="3">
        <v>0</v>
      </c>
      <c r="D523">
        <v>520</v>
      </c>
      <c r="E523" t="str">
        <f>VLOOKUP(B523,Nuclides!A:F,5,FALSE)</f>
        <v>Br91</v>
      </c>
      <c r="F523">
        <f>VLOOKUP(B523,Nuclides!A:F,4,FALSE)</f>
        <v>0.54300000000000004</v>
      </c>
      <c r="G523" s="3" t="str">
        <f t="shared" si="43"/>
        <v>0.543s</v>
      </c>
      <c r="H523" s="3">
        <f t="shared" si="44"/>
        <v>1.2765141446776156</v>
      </c>
      <c r="I523" s="3">
        <f t="shared" si="45"/>
        <v>0</v>
      </c>
      <c r="J523" s="3">
        <f t="shared" si="46"/>
        <v>0</v>
      </c>
      <c r="K523" s="3" t="str">
        <f t="shared" si="47"/>
        <v>Br91</v>
      </c>
      <c r="L523" s="3" cm="1">
        <f t="array" ref="L523">SUM(($J523*EXP(-$H523*12*3600*_xlfn.SEQUENCE(L$1-1))))+$J523</f>
        <v>0</v>
      </c>
      <c r="M523" s="3"/>
      <c r="N523" s="3"/>
    </row>
    <row r="524" spans="2:14" hidden="1" x14ac:dyDescent="0.2">
      <c r="B524" s="3">
        <v>35092</v>
      </c>
      <c r="C524" s="3">
        <v>0</v>
      </c>
      <c r="D524">
        <v>521</v>
      </c>
      <c r="E524" t="str">
        <f>VLOOKUP(B524,Nuclides!A:F,5,FALSE)</f>
        <v>Br92</v>
      </c>
      <c r="F524">
        <f>VLOOKUP(B524,Nuclides!A:F,4,FALSE)</f>
        <v>0.314</v>
      </c>
      <c r="G524" s="3" t="str">
        <f t="shared" si="43"/>
        <v>0.314s</v>
      </c>
      <c r="H524" s="3">
        <f t="shared" si="44"/>
        <v>2.2074750973246666</v>
      </c>
      <c r="I524" s="3">
        <f t="shared" si="45"/>
        <v>0</v>
      </c>
      <c r="J524" s="3">
        <f t="shared" si="46"/>
        <v>0</v>
      </c>
      <c r="K524" s="3" t="str">
        <f t="shared" si="47"/>
        <v>Br92</v>
      </c>
      <c r="L524" s="3" cm="1">
        <f t="array" ref="L524">SUM(($J524*EXP(-$H524*12*3600*_xlfn.SEQUENCE(L$1-1))))+$J524</f>
        <v>0</v>
      </c>
      <c r="M524" s="3"/>
      <c r="N524" s="3"/>
    </row>
    <row r="525" spans="2:14" hidden="1" x14ac:dyDescent="0.2">
      <c r="B525" s="3">
        <v>36071</v>
      </c>
      <c r="C525" s="3">
        <v>0</v>
      </c>
      <c r="D525">
        <v>522</v>
      </c>
      <c r="E525" t="str">
        <f>VLOOKUP(B525,Nuclides!A:F,5,FALSE)</f>
        <v>Kr71</v>
      </c>
      <c r="F525">
        <f>VLOOKUP(B525,Nuclides!A:F,4,FALSE)</f>
        <v>0.1</v>
      </c>
      <c r="G525" s="3" t="str">
        <f t="shared" si="43"/>
        <v>0.1s</v>
      </c>
      <c r="H525" s="3">
        <f t="shared" si="44"/>
        <v>6.9314718055994522</v>
      </c>
      <c r="I525" s="3">
        <f t="shared" si="45"/>
        <v>0</v>
      </c>
      <c r="J525" s="3">
        <f t="shared" si="46"/>
        <v>0</v>
      </c>
      <c r="K525" s="3" t="str">
        <f t="shared" si="47"/>
        <v>Kr71</v>
      </c>
      <c r="L525" s="3" cm="1">
        <f t="array" ref="L525">SUM(($J525*EXP(-$H525*12*3600*_xlfn.SEQUENCE(L$1-1))))+$J525</f>
        <v>0</v>
      </c>
      <c r="M525" s="3"/>
      <c r="N525" s="3"/>
    </row>
    <row r="526" spans="2:14" hidden="1" x14ac:dyDescent="0.2">
      <c r="B526" s="3">
        <v>36072</v>
      </c>
      <c r="C526" s="3">
        <v>0</v>
      </c>
      <c r="D526">
        <v>523</v>
      </c>
      <c r="E526" t="str">
        <f>VLOOKUP(B526,Nuclides!A:F,5,FALSE)</f>
        <v>Kr72</v>
      </c>
      <c r="F526">
        <f>VLOOKUP(B526,Nuclides!A:F,4,FALSE)</f>
        <v>17.100000000000001</v>
      </c>
      <c r="G526" s="3" t="str">
        <f t="shared" si="43"/>
        <v>17.1s</v>
      </c>
      <c r="H526" s="3">
        <f t="shared" si="44"/>
        <v>4.0534922839762878E-2</v>
      </c>
      <c r="I526" s="3">
        <f t="shared" si="45"/>
        <v>0</v>
      </c>
      <c r="J526" s="3">
        <f t="shared" si="46"/>
        <v>0</v>
      </c>
      <c r="K526" s="3" t="str">
        <f t="shared" si="47"/>
        <v>Kr72</v>
      </c>
      <c r="L526" s="3" cm="1">
        <f t="array" ref="L526">SUM(($J526*EXP(-$H526*12*3600*_xlfn.SEQUENCE(L$1-1))))+$J526</f>
        <v>0</v>
      </c>
      <c r="M526" s="3"/>
      <c r="N526" s="3"/>
    </row>
    <row r="527" spans="2:14" hidden="1" x14ac:dyDescent="0.2">
      <c r="B527" s="3">
        <v>36073</v>
      </c>
      <c r="C527" s="3">
        <v>0</v>
      </c>
      <c r="D527">
        <v>524</v>
      </c>
      <c r="E527" t="str">
        <f>VLOOKUP(B527,Nuclides!A:F,5,FALSE)</f>
        <v>Kr73</v>
      </c>
      <c r="F527">
        <f>VLOOKUP(B527,Nuclides!A:F,4,FALSE)</f>
        <v>27.3</v>
      </c>
      <c r="G527" s="3" t="str">
        <f t="shared" si="43"/>
        <v>27.3s</v>
      </c>
      <c r="H527" s="3">
        <f t="shared" si="44"/>
        <v>2.539000661391741E-2</v>
      </c>
      <c r="I527" s="3">
        <f t="shared" si="45"/>
        <v>0</v>
      </c>
      <c r="J527" s="3">
        <f t="shared" si="46"/>
        <v>0</v>
      </c>
      <c r="K527" s="3" t="str">
        <f t="shared" si="47"/>
        <v>Kr73</v>
      </c>
      <c r="L527" s="3" cm="1">
        <f t="array" ref="L527">SUM(($J527*EXP(-$H527*12*3600*_xlfn.SEQUENCE(L$1-1))))+$J527</f>
        <v>0</v>
      </c>
      <c r="M527" s="3"/>
      <c r="N527" s="3"/>
    </row>
    <row r="528" spans="2:14" hidden="1" x14ac:dyDescent="0.2">
      <c r="B528" s="3">
        <v>36074</v>
      </c>
      <c r="C528" s="3">
        <v>0</v>
      </c>
      <c r="D528">
        <v>525</v>
      </c>
      <c r="E528" t="str">
        <f>VLOOKUP(B528,Nuclides!A:F,5,FALSE)</f>
        <v>Kr74</v>
      </c>
      <c r="F528">
        <f>VLOOKUP(B528,Nuclides!A:F,4,FALSE)</f>
        <v>690</v>
      </c>
      <c r="G528" s="3" t="str">
        <f t="shared" si="43"/>
        <v>11.5min</v>
      </c>
      <c r="H528" s="3">
        <f t="shared" si="44"/>
        <v>1.0045611312462974E-3</v>
      </c>
      <c r="I528" s="3">
        <f t="shared" si="45"/>
        <v>0</v>
      </c>
      <c r="J528" s="3">
        <f t="shared" si="46"/>
        <v>0</v>
      </c>
      <c r="K528" s="3" t="str">
        <f t="shared" si="47"/>
        <v>Kr74</v>
      </c>
      <c r="L528" s="3" cm="1">
        <f t="array" ref="L528">SUM(($J528*EXP(-$H528*12*3600*_xlfn.SEQUENCE(L$1-1))))+$J528</f>
        <v>0</v>
      </c>
      <c r="M528" s="3"/>
      <c r="N528" s="3"/>
    </row>
    <row r="529" spans="2:14" hidden="1" x14ac:dyDescent="0.2">
      <c r="B529" s="3">
        <v>36075</v>
      </c>
      <c r="C529" s="3">
        <v>0</v>
      </c>
      <c r="D529">
        <v>526</v>
      </c>
      <c r="E529" t="str">
        <f>VLOOKUP(B529,Nuclides!A:F,5,FALSE)</f>
        <v>Kr75</v>
      </c>
      <c r="F529">
        <f>VLOOKUP(B529,Nuclides!A:F,4,FALSE)</f>
        <v>276</v>
      </c>
      <c r="G529" s="3" t="str">
        <f t="shared" si="43"/>
        <v>4.6min</v>
      </c>
      <c r="H529" s="3">
        <f t="shared" si="44"/>
        <v>2.5114028281157438E-3</v>
      </c>
      <c r="I529" s="3">
        <f t="shared" si="45"/>
        <v>0</v>
      </c>
      <c r="J529" s="3">
        <f t="shared" si="46"/>
        <v>0</v>
      </c>
      <c r="K529" s="3" t="str">
        <f t="shared" si="47"/>
        <v>Kr75</v>
      </c>
      <c r="L529" s="3" cm="1">
        <f t="array" ref="L529">SUM(($J529*EXP(-$H529*12*3600*_xlfn.SEQUENCE(L$1-1))))+$J529</f>
        <v>0</v>
      </c>
      <c r="M529" s="3"/>
      <c r="N529" s="3"/>
    </row>
    <row r="530" spans="2:14" hidden="1" x14ac:dyDescent="0.2">
      <c r="B530" s="3">
        <v>36076</v>
      </c>
      <c r="C530" s="3">
        <v>0</v>
      </c>
      <c r="D530">
        <v>527</v>
      </c>
      <c r="E530" t="str">
        <f>VLOOKUP(B530,Nuclides!A:F,5,FALSE)</f>
        <v>Kr76</v>
      </c>
      <c r="F530">
        <f>VLOOKUP(B530,Nuclides!A:F,4,FALSE)</f>
        <v>53280</v>
      </c>
      <c r="G530" s="3" t="str">
        <f t="shared" si="43"/>
        <v>14.8h</v>
      </c>
      <c r="H530" s="3">
        <f t="shared" si="44"/>
        <v>1.3009519154653629E-5</v>
      </c>
      <c r="I530" s="3">
        <f t="shared" si="45"/>
        <v>0</v>
      </c>
      <c r="J530" s="3">
        <f t="shared" si="46"/>
        <v>0</v>
      </c>
      <c r="K530" s="3" t="str">
        <f t="shared" si="47"/>
        <v>Kr76</v>
      </c>
      <c r="L530" s="3" cm="1">
        <f t="array" ref="L530">SUM(($J530*EXP(-$H530*12*3600*_xlfn.SEQUENCE(L$1-1))))+$J530</f>
        <v>0</v>
      </c>
      <c r="M530" s="3"/>
      <c r="N530" s="3"/>
    </row>
    <row r="531" spans="2:14" hidden="1" x14ac:dyDescent="0.2">
      <c r="B531" s="3">
        <v>36077</v>
      </c>
      <c r="C531" s="3">
        <v>0</v>
      </c>
      <c r="D531">
        <v>528</v>
      </c>
      <c r="E531" t="str">
        <f>VLOOKUP(B531,Nuclides!A:F,5,FALSE)</f>
        <v>Kr77</v>
      </c>
      <c r="F531">
        <f>VLOOKUP(B531,Nuclides!A:F,4,FALSE)</f>
        <v>4464</v>
      </c>
      <c r="G531" s="3" t="str">
        <f t="shared" si="43"/>
        <v>1.24h</v>
      </c>
      <c r="H531" s="3">
        <f t="shared" si="44"/>
        <v>1.5527490603941426E-4</v>
      </c>
      <c r="I531" s="3">
        <f t="shared" si="45"/>
        <v>0</v>
      </c>
      <c r="J531" s="3">
        <f t="shared" si="46"/>
        <v>0</v>
      </c>
      <c r="K531" s="3" t="str">
        <f t="shared" si="47"/>
        <v>Kr77</v>
      </c>
      <c r="L531" s="3" cm="1">
        <f t="array" ref="L531">SUM(($J531*EXP(-$H531*12*3600*_xlfn.SEQUENCE(L$1-1))))+$J531</f>
        <v>0</v>
      </c>
      <c r="M531" s="3"/>
      <c r="N531" s="3"/>
    </row>
    <row r="532" spans="2:14" hidden="1" x14ac:dyDescent="0.2">
      <c r="B532" s="3">
        <v>36078</v>
      </c>
      <c r="C532" s="3">
        <v>0</v>
      </c>
      <c r="D532">
        <v>529</v>
      </c>
      <c r="E532" t="str">
        <f>VLOOKUP(B532,Nuclides!A:F,5,FALSE)</f>
        <v>Kr78</v>
      </c>
      <c r="F532">
        <f>VLOOKUP(B532,Nuclides!A:F,4,FALSE)</f>
        <v>4.73364E+28</v>
      </c>
      <c r="G532" s="3" t="str">
        <f t="shared" si="43"/>
        <v>1.50102739726027E+21y</v>
      </c>
      <c r="H532" s="3">
        <f t="shared" si="44"/>
        <v>1.4643005817086752E-29</v>
      </c>
      <c r="I532" s="3">
        <f t="shared" si="45"/>
        <v>0</v>
      </c>
      <c r="J532" s="3">
        <f t="shared" si="46"/>
        <v>0</v>
      </c>
      <c r="K532" s="3" t="str">
        <f t="shared" si="47"/>
        <v>Kr78</v>
      </c>
      <c r="L532" s="3" cm="1">
        <f t="array" ref="L532">SUM(($J532*EXP(-$H532*12*3600*_xlfn.SEQUENCE(L$1-1))))+$J532</f>
        <v>0</v>
      </c>
      <c r="M532" s="3"/>
      <c r="N532" s="3"/>
    </row>
    <row r="533" spans="2:14" hidden="1" x14ac:dyDescent="0.2">
      <c r="B533" s="3">
        <v>36079</v>
      </c>
      <c r="C533" s="3">
        <v>0</v>
      </c>
      <c r="D533">
        <v>530</v>
      </c>
      <c r="E533" t="str">
        <f>VLOOKUP(B533,Nuclides!A:F,5,FALSE)</f>
        <v>Kr79</v>
      </c>
      <c r="F533">
        <f>VLOOKUP(B533,Nuclides!A:F,4,FALSE)</f>
        <v>126144</v>
      </c>
      <c r="G533" s="3" t="str">
        <f t="shared" si="43"/>
        <v>1.46d</v>
      </c>
      <c r="H533" s="3">
        <f t="shared" si="44"/>
        <v>5.4948882274221945E-6</v>
      </c>
      <c r="I533" s="3">
        <f t="shared" si="45"/>
        <v>0</v>
      </c>
      <c r="J533" s="3">
        <f t="shared" si="46"/>
        <v>0</v>
      </c>
      <c r="K533" s="3" t="str">
        <f t="shared" si="47"/>
        <v>Kr79</v>
      </c>
      <c r="L533" s="3" cm="1">
        <f t="array" ref="L533">SUM(($J533*EXP(-$H533*12*3600*_xlfn.SEQUENCE(L$1-1))))+$J533</f>
        <v>0</v>
      </c>
      <c r="M533" s="3"/>
      <c r="N533" s="3"/>
    </row>
    <row r="534" spans="2:14" hidden="1" x14ac:dyDescent="0.2">
      <c r="B534" s="3">
        <v>36080</v>
      </c>
      <c r="C534" s="3">
        <v>0</v>
      </c>
      <c r="D534">
        <v>531</v>
      </c>
      <c r="E534" t="str">
        <f>VLOOKUP(B534,Nuclides!A:F,5,FALSE)</f>
        <v>Kr80</v>
      </c>
      <c r="F534" t="str">
        <f>VLOOKUP(B534,Nuclides!A:F,4,FALSE)</f>
        <v>STABLE</v>
      </c>
      <c r="G534" s="3" t="str">
        <f t="shared" si="43"/>
        <v>STABLE</v>
      </c>
      <c r="H534" s="3" t="e">
        <f t="shared" si="44"/>
        <v>#VALUE!</v>
      </c>
      <c r="I534" s="3" t="e">
        <f t="shared" si="45"/>
        <v>#VALUE!</v>
      </c>
      <c r="J534" s="3" t="e">
        <f t="shared" si="46"/>
        <v>#VALUE!</v>
      </c>
      <c r="K534" s="3" t="str">
        <f t="shared" si="47"/>
        <v>Kr80</v>
      </c>
      <c r="L534" s="3" t="e" cm="1">
        <f t="array" ref="L534">SUM(($J534*EXP(-$H534*12*3600*_xlfn.SEQUENCE(L$1-1))))+$J534</f>
        <v>#VALUE!</v>
      </c>
      <c r="M534" s="3"/>
      <c r="N534" s="3"/>
    </row>
    <row r="535" spans="2:14" hidden="1" x14ac:dyDescent="0.2">
      <c r="B535" s="3">
        <v>36081</v>
      </c>
      <c r="C535" s="3">
        <v>0</v>
      </c>
      <c r="D535">
        <v>532</v>
      </c>
      <c r="E535" t="str">
        <f>VLOOKUP(B535,Nuclides!A:F,5,FALSE)</f>
        <v>Kr81</v>
      </c>
      <c r="F535">
        <f>VLOOKUP(B535,Nuclides!A:F,4,FALSE)</f>
        <v>7226690400000</v>
      </c>
      <c r="G535" s="3" t="str">
        <f t="shared" si="43"/>
        <v>229156.85y</v>
      </c>
      <c r="H535" s="3">
        <f t="shared" si="44"/>
        <v>9.5914885264760377E-14</v>
      </c>
      <c r="I535" s="3">
        <f t="shared" si="45"/>
        <v>0</v>
      </c>
      <c r="J535" s="3">
        <f t="shared" si="46"/>
        <v>0</v>
      </c>
      <c r="K535" s="3" t="str">
        <f t="shared" si="47"/>
        <v>Kr81</v>
      </c>
      <c r="L535" s="3" cm="1">
        <f t="array" ref="L535">SUM(($J535*EXP(-$H535*12*3600*_xlfn.SEQUENCE(L$1-1))))+$J535</f>
        <v>0</v>
      </c>
      <c r="M535" s="3"/>
      <c r="N535" s="3"/>
    </row>
    <row r="536" spans="2:14" hidden="1" x14ac:dyDescent="0.2">
      <c r="B536" s="3">
        <v>36082</v>
      </c>
      <c r="C536" s="3">
        <v>0</v>
      </c>
      <c r="D536">
        <v>533</v>
      </c>
      <c r="E536" t="str">
        <f>VLOOKUP(B536,Nuclides!A:F,5,FALSE)</f>
        <v>Kr82</v>
      </c>
      <c r="F536" t="str">
        <f>VLOOKUP(B536,Nuclides!A:F,4,FALSE)</f>
        <v>STABLE</v>
      </c>
      <c r="G536" s="3" t="str">
        <f t="shared" si="43"/>
        <v>STABLE</v>
      </c>
      <c r="H536" s="3" t="e">
        <f t="shared" si="44"/>
        <v>#VALUE!</v>
      </c>
      <c r="I536" s="3" t="e">
        <f t="shared" si="45"/>
        <v>#VALUE!</v>
      </c>
      <c r="J536" s="3" t="e">
        <f t="shared" si="46"/>
        <v>#VALUE!</v>
      </c>
      <c r="K536" s="3" t="str">
        <f t="shared" si="47"/>
        <v>Kr82</v>
      </c>
      <c r="L536" s="3" t="e" cm="1">
        <f t="array" ref="L536">SUM(($J536*EXP(-$H536*12*3600*_xlfn.SEQUENCE(L$1-1))))+$J536</f>
        <v>#VALUE!</v>
      </c>
      <c r="M536" s="3"/>
      <c r="N536" s="3"/>
    </row>
    <row r="537" spans="2:14" hidden="1" x14ac:dyDescent="0.2">
      <c r="B537" s="3">
        <v>36083</v>
      </c>
      <c r="C537" s="3">
        <v>0</v>
      </c>
      <c r="D537">
        <v>534</v>
      </c>
      <c r="E537" t="str">
        <f>VLOOKUP(B537,Nuclides!A:F,5,FALSE)</f>
        <v>Kr83</v>
      </c>
      <c r="F537" t="str">
        <f>VLOOKUP(B537,Nuclides!A:F,4,FALSE)</f>
        <v>STABLE</v>
      </c>
      <c r="G537" s="3" t="str">
        <f t="shared" si="43"/>
        <v>STABLE</v>
      </c>
      <c r="H537" s="3" t="e">
        <f t="shared" si="44"/>
        <v>#VALUE!</v>
      </c>
      <c r="I537" s="3" t="e">
        <f t="shared" si="45"/>
        <v>#VALUE!</v>
      </c>
      <c r="J537" s="3" t="e">
        <f t="shared" si="46"/>
        <v>#VALUE!</v>
      </c>
      <c r="K537" s="3" t="str">
        <f t="shared" si="47"/>
        <v>Kr83</v>
      </c>
      <c r="L537" s="3" t="e" cm="1">
        <f t="array" ref="L537">SUM(($J537*EXP(-$H537*12*3600*_xlfn.SEQUENCE(L$1-1))))+$J537</f>
        <v>#VALUE!</v>
      </c>
      <c r="M537" s="3"/>
      <c r="N537" s="3"/>
    </row>
    <row r="538" spans="2:14" hidden="1" x14ac:dyDescent="0.2">
      <c r="B538" s="3">
        <v>36084</v>
      </c>
      <c r="C538" s="3">
        <v>0</v>
      </c>
      <c r="D538">
        <v>535</v>
      </c>
      <c r="E538" t="str">
        <f>VLOOKUP(B538,Nuclides!A:F,5,FALSE)</f>
        <v>Kr84</v>
      </c>
      <c r="F538" t="str">
        <f>VLOOKUP(B538,Nuclides!A:F,4,FALSE)</f>
        <v>STABLE</v>
      </c>
      <c r="G538" s="3" t="str">
        <f t="shared" si="43"/>
        <v>STABLE</v>
      </c>
      <c r="H538" s="3" t="e">
        <f t="shared" si="44"/>
        <v>#VALUE!</v>
      </c>
      <c r="I538" s="3" t="e">
        <f t="shared" si="45"/>
        <v>#VALUE!</v>
      </c>
      <c r="J538" s="3" t="e">
        <f t="shared" si="46"/>
        <v>#VALUE!</v>
      </c>
      <c r="K538" s="3" t="str">
        <f t="shared" si="47"/>
        <v>Kr84</v>
      </c>
      <c r="L538" s="3" t="e" cm="1">
        <f t="array" ref="L538">SUM(($J538*EXP(-$H538*12*3600*_xlfn.SEQUENCE(L$1-1))))+$J538</f>
        <v>#VALUE!</v>
      </c>
      <c r="M538" s="3"/>
      <c r="N538" s="3"/>
    </row>
    <row r="539" spans="2:14" hidden="1" x14ac:dyDescent="0.2">
      <c r="B539" s="3">
        <v>36085</v>
      </c>
      <c r="C539" s="3">
        <v>0</v>
      </c>
      <c r="D539">
        <v>536</v>
      </c>
      <c r="E539" t="str">
        <f>VLOOKUP(B539,Nuclides!A:F,5,FALSE)</f>
        <v>Kr85</v>
      </c>
      <c r="F539">
        <f>VLOOKUP(B539,Nuclides!A:F,4,FALSE)</f>
        <v>338897066.39999998</v>
      </c>
      <c r="G539" s="3" t="str">
        <f t="shared" si="43"/>
        <v>10.75y</v>
      </c>
      <c r="H539" s="3">
        <f t="shared" si="44"/>
        <v>2.045302982179917E-9</v>
      </c>
      <c r="I539" s="3">
        <f t="shared" si="45"/>
        <v>0</v>
      </c>
      <c r="J539" s="3">
        <f t="shared" si="46"/>
        <v>0</v>
      </c>
      <c r="K539" s="3" t="str">
        <f t="shared" si="47"/>
        <v>Kr85</v>
      </c>
      <c r="L539" s="3" cm="1">
        <f t="array" ref="L539">SUM(($J539*EXP(-$H539*12*3600*_xlfn.SEQUENCE(L$1-1))))+$J539</f>
        <v>0</v>
      </c>
      <c r="M539" s="3"/>
      <c r="N539" s="3"/>
    </row>
    <row r="540" spans="2:14" hidden="1" x14ac:dyDescent="0.2">
      <c r="B540" s="3">
        <v>36086</v>
      </c>
      <c r="C540" s="3">
        <v>0</v>
      </c>
      <c r="D540">
        <v>537</v>
      </c>
      <c r="E540" t="str">
        <f>VLOOKUP(B540,Nuclides!A:F,5,FALSE)</f>
        <v>Kr86</v>
      </c>
      <c r="F540" t="str">
        <f>VLOOKUP(B540,Nuclides!A:F,4,FALSE)</f>
        <v>STABLE</v>
      </c>
      <c r="G540" s="3" t="str">
        <f t="shared" si="43"/>
        <v>STABLE</v>
      </c>
      <c r="H540" s="3" t="e">
        <f t="shared" si="44"/>
        <v>#VALUE!</v>
      </c>
      <c r="I540" s="3" t="e">
        <f t="shared" si="45"/>
        <v>#VALUE!</v>
      </c>
      <c r="J540" s="3" t="e">
        <f t="shared" si="46"/>
        <v>#VALUE!</v>
      </c>
      <c r="K540" s="3" t="str">
        <f t="shared" si="47"/>
        <v>Kr86</v>
      </c>
      <c r="L540" s="3" t="e" cm="1">
        <f t="array" ref="L540">SUM(($J540*EXP(-$H540*12*3600*_xlfn.SEQUENCE(L$1-1))))+$J540</f>
        <v>#VALUE!</v>
      </c>
      <c r="M540" s="3"/>
      <c r="N540" s="3"/>
    </row>
    <row r="541" spans="2:14" hidden="1" x14ac:dyDescent="0.2">
      <c r="B541" s="3">
        <v>36087</v>
      </c>
      <c r="C541" s="3">
        <v>0</v>
      </c>
      <c r="D541">
        <v>538</v>
      </c>
      <c r="E541" t="str">
        <f>VLOOKUP(B541,Nuclides!A:F,5,FALSE)</f>
        <v>Kr87</v>
      </c>
      <c r="F541">
        <f>VLOOKUP(B541,Nuclides!A:F,4,FALSE)</f>
        <v>4578</v>
      </c>
      <c r="G541" s="3" t="str">
        <f t="shared" si="43"/>
        <v>1.27h</v>
      </c>
      <c r="H541" s="3">
        <f t="shared" si="44"/>
        <v>1.5140829632152584E-4</v>
      </c>
      <c r="I541" s="3">
        <f t="shared" si="45"/>
        <v>0</v>
      </c>
      <c r="J541" s="3">
        <f t="shared" si="46"/>
        <v>0</v>
      </c>
      <c r="K541" s="3" t="str">
        <f t="shared" si="47"/>
        <v>Kr87</v>
      </c>
      <c r="L541" s="3" cm="1">
        <f t="array" ref="L541">SUM(($J541*EXP(-$H541*12*3600*_xlfn.SEQUENCE(L$1-1))))+$J541</f>
        <v>0</v>
      </c>
      <c r="M541" s="3"/>
      <c r="N541" s="3"/>
    </row>
    <row r="542" spans="2:14" hidden="1" x14ac:dyDescent="0.2">
      <c r="B542" s="3">
        <v>36088</v>
      </c>
      <c r="C542" s="3">
        <v>0</v>
      </c>
      <c r="D542">
        <v>539</v>
      </c>
      <c r="E542" t="str">
        <f>VLOOKUP(B542,Nuclides!A:F,5,FALSE)</f>
        <v>Kr88</v>
      </c>
      <c r="F542">
        <f>VLOOKUP(B542,Nuclides!A:F,4,FALSE)</f>
        <v>10170</v>
      </c>
      <c r="G542" s="3" t="str">
        <f t="shared" si="43"/>
        <v>2.83h</v>
      </c>
      <c r="H542" s="3">
        <f t="shared" si="44"/>
        <v>6.8156064951813692E-5</v>
      </c>
      <c r="I542" s="3">
        <f t="shared" si="45"/>
        <v>0</v>
      </c>
      <c r="J542" s="3">
        <f t="shared" si="46"/>
        <v>0</v>
      </c>
      <c r="K542" s="3" t="str">
        <f t="shared" si="47"/>
        <v>Kr88</v>
      </c>
      <c r="L542" s="3" cm="1">
        <f t="array" ref="L542">SUM(($J542*EXP(-$H542*12*3600*_xlfn.SEQUENCE(L$1-1))))+$J542</f>
        <v>0</v>
      </c>
      <c r="M542" s="3"/>
      <c r="N542" s="3"/>
    </row>
    <row r="543" spans="2:14" hidden="1" x14ac:dyDescent="0.2">
      <c r="B543" s="3">
        <v>36089</v>
      </c>
      <c r="C543" s="3">
        <v>0</v>
      </c>
      <c r="D543">
        <v>540</v>
      </c>
      <c r="E543" t="str">
        <f>VLOOKUP(B543,Nuclides!A:F,5,FALSE)</f>
        <v>Kr89</v>
      </c>
      <c r="F543">
        <f>VLOOKUP(B543,Nuclides!A:F,4,FALSE)</f>
        <v>189</v>
      </c>
      <c r="G543" s="3" t="str">
        <f t="shared" si="43"/>
        <v>3.15min</v>
      </c>
      <c r="H543" s="3">
        <f t="shared" si="44"/>
        <v>3.6674453997880704E-3</v>
      </c>
      <c r="I543" s="3">
        <f t="shared" si="45"/>
        <v>0</v>
      </c>
      <c r="J543" s="3">
        <f t="shared" si="46"/>
        <v>0</v>
      </c>
      <c r="K543" s="3" t="str">
        <f t="shared" si="47"/>
        <v>Kr89</v>
      </c>
      <c r="L543" s="3" cm="1">
        <f t="array" ref="L543">SUM(($J543*EXP(-$H543*12*3600*_xlfn.SEQUENCE(L$1-1))))+$J543</f>
        <v>0</v>
      </c>
      <c r="M543" s="3"/>
      <c r="N543" s="3"/>
    </row>
    <row r="544" spans="2:14" hidden="1" x14ac:dyDescent="0.2">
      <c r="B544" s="3">
        <v>36090</v>
      </c>
      <c r="C544" s="3">
        <v>0</v>
      </c>
      <c r="D544">
        <v>541</v>
      </c>
      <c r="E544" t="str">
        <f>VLOOKUP(B544,Nuclides!A:F,5,FALSE)</f>
        <v>Kr90</v>
      </c>
      <c r="F544">
        <f>VLOOKUP(B544,Nuclides!A:F,4,FALSE)</f>
        <v>32.32</v>
      </c>
      <c r="G544" s="3" t="str">
        <f t="shared" si="43"/>
        <v>32.32s</v>
      </c>
      <c r="H544" s="3">
        <f t="shared" si="44"/>
        <v>2.1446385537127018E-2</v>
      </c>
      <c r="I544" s="3">
        <f t="shared" si="45"/>
        <v>0</v>
      </c>
      <c r="J544" s="3">
        <f t="shared" si="46"/>
        <v>0</v>
      </c>
      <c r="K544" s="3" t="str">
        <f t="shared" si="47"/>
        <v>Kr90</v>
      </c>
      <c r="L544" s="3" cm="1">
        <f t="array" ref="L544">SUM(($J544*EXP(-$H544*12*3600*_xlfn.SEQUENCE(L$1-1))))+$J544</f>
        <v>0</v>
      </c>
      <c r="M544" s="3"/>
      <c r="N544" s="3"/>
    </row>
    <row r="545" spans="2:14" hidden="1" x14ac:dyDescent="0.2">
      <c r="B545" s="3">
        <v>36091</v>
      </c>
      <c r="C545" s="3">
        <v>0</v>
      </c>
      <c r="D545">
        <v>542</v>
      </c>
      <c r="E545" t="str">
        <f>VLOOKUP(B545,Nuclides!A:F,5,FALSE)</f>
        <v>Kr91</v>
      </c>
      <c r="F545">
        <f>VLOOKUP(B545,Nuclides!A:F,4,FALSE)</f>
        <v>8.57</v>
      </c>
      <c r="G545" s="3" t="str">
        <f t="shared" si="43"/>
        <v>8.57s</v>
      </c>
      <c r="H545" s="3">
        <f t="shared" si="44"/>
        <v>8.0880651173855928E-2</v>
      </c>
      <c r="I545" s="3">
        <f t="shared" si="45"/>
        <v>0</v>
      </c>
      <c r="J545" s="3">
        <f t="shared" si="46"/>
        <v>0</v>
      </c>
      <c r="K545" s="3" t="str">
        <f t="shared" si="47"/>
        <v>Kr91</v>
      </c>
      <c r="L545" s="3" cm="1">
        <f t="array" ref="L545">SUM(($J545*EXP(-$H545*12*3600*_xlfn.SEQUENCE(L$1-1))))+$J545</f>
        <v>0</v>
      </c>
      <c r="M545" s="3"/>
      <c r="N545" s="3"/>
    </row>
    <row r="546" spans="2:14" hidden="1" x14ac:dyDescent="0.2">
      <c r="B546" s="3">
        <v>36092</v>
      </c>
      <c r="C546" s="3">
        <v>0</v>
      </c>
      <c r="D546">
        <v>543</v>
      </c>
      <c r="E546" t="str">
        <f>VLOOKUP(B546,Nuclides!A:F,5,FALSE)</f>
        <v>Kr92</v>
      </c>
      <c r="F546">
        <f>VLOOKUP(B546,Nuclides!A:F,4,FALSE)</f>
        <v>1.84</v>
      </c>
      <c r="G546" s="3" t="str">
        <f t="shared" si="43"/>
        <v>1.84s</v>
      </c>
      <c r="H546" s="3">
        <f t="shared" si="44"/>
        <v>0.37671042421736156</v>
      </c>
      <c r="I546" s="3">
        <f t="shared" si="45"/>
        <v>0</v>
      </c>
      <c r="J546" s="3">
        <f t="shared" si="46"/>
        <v>0</v>
      </c>
      <c r="K546" s="3" t="str">
        <f t="shared" si="47"/>
        <v>Kr92</v>
      </c>
      <c r="L546" s="3" cm="1">
        <f t="array" ref="L546">SUM(($J546*EXP(-$H546*12*3600*_xlfn.SEQUENCE(L$1-1))))+$J546</f>
        <v>0</v>
      </c>
      <c r="M546" s="3"/>
      <c r="N546" s="3"/>
    </row>
    <row r="547" spans="2:14" hidden="1" x14ac:dyDescent="0.2">
      <c r="B547" s="3">
        <v>36093</v>
      </c>
      <c r="C547" s="3">
        <v>0</v>
      </c>
      <c r="D547">
        <v>544</v>
      </c>
      <c r="E547" t="str">
        <f>VLOOKUP(B547,Nuclides!A:F,5,FALSE)</f>
        <v>Kr93</v>
      </c>
      <c r="F547">
        <f>VLOOKUP(B547,Nuclides!A:F,4,FALSE)</f>
        <v>1.286</v>
      </c>
      <c r="G547" s="3" t="str">
        <f t="shared" si="43"/>
        <v>1.286s</v>
      </c>
      <c r="H547" s="3">
        <f t="shared" si="44"/>
        <v>0.53899469716947535</v>
      </c>
      <c r="I547" s="3">
        <f t="shared" si="45"/>
        <v>0</v>
      </c>
      <c r="J547" s="3">
        <f t="shared" si="46"/>
        <v>0</v>
      </c>
      <c r="K547" s="3" t="str">
        <f t="shared" si="47"/>
        <v>Kr93</v>
      </c>
      <c r="L547" s="3" cm="1">
        <f t="array" ref="L547">SUM(($J547*EXP(-$H547*12*3600*_xlfn.SEQUENCE(L$1-1))))+$J547</f>
        <v>0</v>
      </c>
      <c r="M547" s="3"/>
      <c r="N547" s="3"/>
    </row>
    <row r="548" spans="2:14" hidden="1" x14ac:dyDescent="0.2">
      <c r="B548" s="3">
        <v>36094</v>
      </c>
      <c r="C548" s="3">
        <v>0</v>
      </c>
      <c r="D548">
        <v>545</v>
      </c>
      <c r="E548" t="str">
        <f>VLOOKUP(B548,Nuclides!A:F,5,FALSE)</f>
        <v>Kr94</v>
      </c>
      <c r="F548">
        <f>VLOOKUP(B548,Nuclides!A:F,4,FALSE)</f>
        <v>0.21199999999999999</v>
      </c>
      <c r="G548" s="3" t="str">
        <f t="shared" si="43"/>
        <v>0.212s</v>
      </c>
      <c r="H548" s="3">
        <f t="shared" si="44"/>
        <v>3.2695621724525723</v>
      </c>
      <c r="I548" s="3">
        <f t="shared" si="45"/>
        <v>0</v>
      </c>
      <c r="J548" s="3">
        <f t="shared" si="46"/>
        <v>0</v>
      </c>
      <c r="K548" s="3" t="str">
        <f t="shared" si="47"/>
        <v>Kr94</v>
      </c>
      <c r="L548" s="3" cm="1">
        <f t="array" ref="L548">SUM(($J548*EXP(-$H548*12*3600*_xlfn.SEQUENCE(L$1-1))))+$J548</f>
        <v>0</v>
      </c>
      <c r="M548" s="3"/>
      <c r="N548" s="3"/>
    </row>
    <row r="549" spans="2:14" hidden="1" x14ac:dyDescent="0.2">
      <c r="B549" s="3">
        <v>36095</v>
      </c>
      <c r="C549" s="3">
        <v>0</v>
      </c>
      <c r="D549">
        <v>546</v>
      </c>
      <c r="E549" t="str">
        <f>VLOOKUP(B549,Nuclides!A:F,5,FALSE)</f>
        <v>Kr95</v>
      </c>
      <c r="F549">
        <f>VLOOKUP(B549,Nuclides!A:F,4,FALSE)</f>
        <v>0.114</v>
      </c>
      <c r="G549" s="3" t="str">
        <f t="shared" si="43"/>
        <v>0.114s</v>
      </c>
      <c r="H549" s="3">
        <f t="shared" si="44"/>
        <v>6.0802384259644322</v>
      </c>
      <c r="I549" s="3">
        <f t="shared" si="45"/>
        <v>0</v>
      </c>
      <c r="J549" s="3">
        <f t="shared" si="46"/>
        <v>0</v>
      </c>
      <c r="K549" s="3" t="str">
        <f t="shared" si="47"/>
        <v>Kr95</v>
      </c>
      <c r="L549" s="3" cm="1">
        <f t="array" ref="L549">SUM(($J549*EXP(-$H549*12*3600*_xlfn.SEQUENCE(L$1-1))))+$J549</f>
        <v>0</v>
      </c>
      <c r="M549" s="3"/>
      <c r="N549" s="3"/>
    </row>
    <row r="550" spans="2:14" hidden="1" x14ac:dyDescent="0.2">
      <c r="B550" s="3">
        <v>36096</v>
      </c>
      <c r="C550" s="3">
        <v>0</v>
      </c>
      <c r="D550">
        <v>547</v>
      </c>
      <c r="E550" t="str">
        <f>VLOOKUP(B550,Nuclides!A:F,5,FALSE)</f>
        <v>Kr96</v>
      </c>
      <c r="F550">
        <f>VLOOKUP(B550,Nuclides!A:F,4,FALSE)</f>
        <v>0.08</v>
      </c>
      <c r="G550" s="3" t="str">
        <f t="shared" si="43"/>
        <v>0.08s</v>
      </c>
      <c r="H550" s="3">
        <f t="shared" si="44"/>
        <v>8.6643397569993166</v>
      </c>
      <c r="I550" s="3">
        <f t="shared" si="45"/>
        <v>0</v>
      </c>
      <c r="J550" s="3">
        <f t="shared" si="46"/>
        <v>0</v>
      </c>
      <c r="K550" s="3" t="str">
        <f t="shared" si="47"/>
        <v>Kr96</v>
      </c>
      <c r="L550" s="3" cm="1">
        <f t="array" ref="L550">SUM(($J550*EXP(-$H550*12*3600*_xlfn.SEQUENCE(L$1-1))))+$J550</f>
        <v>0</v>
      </c>
      <c r="M550" s="3"/>
      <c r="N550" s="3"/>
    </row>
    <row r="551" spans="2:14" hidden="1" x14ac:dyDescent="0.2">
      <c r="B551" s="3">
        <v>36097</v>
      </c>
      <c r="C551" s="3">
        <v>0</v>
      </c>
      <c r="D551">
        <v>548</v>
      </c>
      <c r="E551" t="str">
        <f>VLOOKUP(B551,Nuclides!A:F,5,FALSE)</f>
        <v>Kr97</v>
      </c>
      <c r="F551">
        <f>VLOOKUP(B551,Nuclides!A:F,4,FALSE)</f>
        <v>6.3E-2</v>
      </c>
      <c r="G551" s="3" t="str">
        <f t="shared" si="43"/>
        <v>0.063s</v>
      </c>
      <c r="H551" s="3">
        <f t="shared" si="44"/>
        <v>11.00233619936421</v>
      </c>
      <c r="I551" s="3">
        <f t="shared" si="45"/>
        <v>0</v>
      </c>
      <c r="J551" s="3">
        <f t="shared" si="46"/>
        <v>0</v>
      </c>
      <c r="K551" s="3" t="str">
        <f t="shared" si="47"/>
        <v>Kr97</v>
      </c>
      <c r="L551" s="3" cm="1">
        <f t="array" ref="L551">SUM(($J551*EXP(-$H551*12*3600*_xlfn.SEQUENCE(L$1-1))))+$J551</f>
        <v>0</v>
      </c>
      <c r="M551" s="3"/>
      <c r="N551" s="3"/>
    </row>
    <row r="552" spans="2:14" hidden="1" x14ac:dyDescent="0.2">
      <c r="B552" s="3">
        <v>37074</v>
      </c>
      <c r="C552" s="3">
        <v>0</v>
      </c>
      <c r="D552">
        <v>549</v>
      </c>
      <c r="E552" t="str">
        <f>VLOOKUP(B552,Nuclides!A:F,5,FALSE)</f>
        <v>Rb74</v>
      </c>
      <c r="F552">
        <f>VLOOKUP(B552,Nuclides!A:F,4,FALSE)</f>
        <v>6.4899999999999999E-2</v>
      </c>
      <c r="G552" s="3" t="str">
        <f t="shared" si="43"/>
        <v>0.0649s</v>
      </c>
      <c r="H552" s="3">
        <f t="shared" si="44"/>
        <v>10.680233906932902</v>
      </c>
      <c r="I552" s="3">
        <f t="shared" si="45"/>
        <v>0</v>
      </c>
      <c r="J552" s="3">
        <f t="shared" si="46"/>
        <v>0</v>
      </c>
      <c r="K552" s="3" t="str">
        <f t="shared" si="47"/>
        <v>Rb74</v>
      </c>
      <c r="L552" s="3" cm="1">
        <f t="array" ref="L552">SUM(($J552*EXP(-$H552*12*3600*_xlfn.SEQUENCE(L$1-1))))+$J552</f>
        <v>0</v>
      </c>
      <c r="M552" s="3"/>
      <c r="N552" s="3"/>
    </row>
    <row r="553" spans="2:14" hidden="1" x14ac:dyDescent="0.2">
      <c r="B553" s="3">
        <v>37075</v>
      </c>
      <c r="C553" s="3">
        <v>0</v>
      </c>
      <c r="D553">
        <v>550</v>
      </c>
      <c r="E553" t="str">
        <f>VLOOKUP(B553,Nuclides!A:F,5,FALSE)</f>
        <v>Rb75</v>
      </c>
      <c r="F553">
        <f>VLOOKUP(B553,Nuclides!A:F,4,FALSE)</f>
        <v>19</v>
      </c>
      <c r="G553" s="3" t="str">
        <f t="shared" si="43"/>
        <v>19s</v>
      </c>
      <c r="H553" s="3">
        <f t="shared" si="44"/>
        <v>3.6481430555786593E-2</v>
      </c>
      <c r="I553" s="3">
        <f t="shared" si="45"/>
        <v>0</v>
      </c>
      <c r="J553" s="3">
        <f t="shared" si="46"/>
        <v>0</v>
      </c>
      <c r="K553" s="3" t="str">
        <f t="shared" si="47"/>
        <v>Rb75</v>
      </c>
      <c r="L553" s="3" cm="1">
        <f t="array" ref="L553">SUM(($J553*EXP(-$H553*12*3600*_xlfn.SEQUENCE(L$1-1))))+$J553</f>
        <v>0</v>
      </c>
      <c r="M553" s="3"/>
      <c r="N553" s="3"/>
    </row>
    <row r="554" spans="2:14" hidden="1" x14ac:dyDescent="0.2">
      <c r="B554" s="3">
        <v>37076</v>
      </c>
      <c r="C554" s="3">
        <v>0</v>
      </c>
      <c r="D554">
        <v>551</v>
      </c>
      <c r="E554" t="str">
        <f>VLOOKUP(B554,Nuclides!A:F,5,FALSE)</f>
        <v>Rb76</v>
      </c>
      <c r="F554">
        <f>VLOOKUP(B554,Nuclides!A:F,4,FALSE)</f>
        <v>36.5</v>
      </c>
      <c r="G554" s="3" t="str">
        <f t="shared" si="43"/>
        <v>36.5s</v>
      </c>
      <c r="H554" s="3">
        <f t="shared" si="44"/>
        <v>1.8990333713971103E-2</v>
      </c>
      <c r="I554" s="3">
        <f t="shared" si="45"/>
        <v>0</v>
      </c>
      <c r="J554" s="3">
        <f t="shared" si="46"/>
        <v>0</v>
      </c>
      <c r="K554" s="3" t="str">
        <f t="shared" si="47"/>
        <v>Rb76</v>
      </c>
      <c r="L554" s="3" cm="1">
        <f t="array" ref="L554">SUM(($J554*EXP(-$H554*12*3600*_xlfn.SEQUENCE(L$1-1))))+$J554</f>
        <v>0</v>
      </c>
      <c r="M554" s="3"/>
      <c r="N554" s="3"/>
    </row>
    <row r="555" spans="2:14" hidden="1" x14ac:dyDescent="0.2">
      <c r="B555" s="3">
        <v>37077</v>
      </c>
      <c r="C555" s="3">
        <v>0</v>
      </c>
      <c r="D555">
        <v>552</v>
      </c>
      <c r="E555" t="str">
        <f>VLOOKUP(B555,Nuclides!A:F,5,FALSE)</f>
        <v>Rb77</v>
      </c>
      <c r="F555">
        <f>VLOOKUP(B555,Nuclides!A:F,4,FALSE)</f>
        <v>226.2</v>
      </c>
      <c r="G555" s="3" t="str">
        <f t="shared" si="43"/>
        <v>3.77min</v>
      </c>
      <c r="H555" s="3">
        <f t="shared" si="44"/>
        <v>3.0643111430589979E-3</v>
      </c>
      <c r="I555" s="3">
        <f t="shared" si="45"/>
        <v>0</v>
      </c>
      <c r="J555" s="3">
        <f t="shared" si="46"/>
        <v>0</v>
      </c>
      <c r="K555" s="3" t="str">
        <f t="shared" si="47"/>
        <v>Rb77</v>
      </c>
      <c r="L555" s="3" cm="1">
        <f t="array" ref="L555">SUM(($J555*EXP(-$H555*12*3600*_xlfn.SEQUENCE(L$1-1))))+$J555</f>
        <v>0</v>
      </c>
      <c r="M555" s="3"/>
      <c r="N555" s="3"/>
    </row>
    <row r="556" spans="2:14" hidden="1" x14ac:dyDescent="0.2">
      <c r="B556" s="3">
        <v>37078</v>
      </c>
      <c r="C556" s="3">
        <v>0</v>
      </c>
      <c r="D556">
        <v>553</v>
      </c>
      <c r="E556" t="str">
        <f>VLOOKUP(B556,Nuclides!A:F,5,FALSE)</f>
        <v>Rb78</v>
      </c>
      <c r="F556">
        <f>VLOOKUP(B556,Nuclides!A:F,4,FALSE)</f>
        <v>1059.5999999999999</v>
      </c>
      <c r="G556" s="3" t="str">
        <f t="shared" si="43"/>
        <v>17.66min</v>
      </c>
      <c r="H556" s="3">
        <f t="shared" si="44"/>
        <v>6.5415928705166604E-4</v>
      </c>
      <c r="I556" s="3">
        <f t="shared" si="45"/>
        <v>0</v>
      </c>
      <c r="J556" s="3">
        <f t="shared" si="46"/>
        <v>0</v>
      </c>
      <c r="K556" s="3" t="str">
        <f t="shared" si="47"/>
        <v>Rb78</v>
      </c>
      <c r="L556" s="3" cm="1">
        <f t="array" ref="L556">SUM(($J556*EXP(-$H556*12*3600*_xlfn.SEQUENCE(L$1-1))))+$J556</f>
        <v>0</v>
      </c>
      <c r="M556" s="3"/>
      <c r="N556" s="3"/>
    </row>
    <row r="557" spans="2:14" hidden="1" x14ac:dyDescent="0.2">
      <c r="B557" s="3">
        <v>37079</v>
      </c>
      <c r="C557" s="3">
        <v>0</v>
      </c>
      <c r="D557">
        <v>554</v>
      </c>
      <c r="E557" t="str">
        <f>VLOOKUP(B557,Nuclides!A:F,5,FALSE)</f>
        <v>Rb79</v>
      </c>
      <c r="F557">
        <f>VLOOKUP(B557,Nuclides!A:F,4,FALSE)</f>
        <v>1374</v>
      </c>
      <c r="G557" s="3" t="str">
        <f t="shared" si="43"/>
        <v>22.9min</v>
      </c>
      <c r="H557" s="3">
        <f t="shared" si="44"/>
        <v>5.0447393053853367E-4</v>
      </c>
      <c r="I557" s="3">
        <f t="shared" si="45"/>
        <v>0</v>
      </c>
      <c r="J557" s="3">
        <f t="shared" si="46"/>
        <v>0</v>
      </c>
      <c r="K557" s="3" t="str">
        <f t="shared" si="47"/>
        <v>Rb79</v>
      </c>
      <c r="L557" s="3" cm="1">
        <f t="array" ref="L557">SUM(($J557*EXP(-$H557*12*3600*_xlfn.SEQUENCE(L$1-1))))+$J557</f>
        <v>0</v>
      </c>
      <c r="M557" s="3"/>
      <c r="N557" s="3"/>
    </row>
    <row r="558" spans="2:14" hidden="1" x14ac:dyDescent="0.2">
      <c r="B558" s="3">
        <v>37080</v>
      </c>
      <c r="C558" s="3">
        <v>0</v>
      </c>
      <c r="D558">
        <v>555</v>
      </c>
      <c r="E558" t="str">
        <f>VLOOKUP(B558,Nuclides!A:F,5,FALSE)</f>
        <v>Rb80</v>
      </c>
      <c r="F558">
        <f>VLOOKUP(B558,Nuclides!A:F,4,FALSE)</f>
        <v>33.4</v>
      </c>
      <c r="G558" s="3" t="str">
        <f t="shared" si="43"/>
        <v>33.4s</v>
      </c>
      <c r="H558" s="3">
        <f t="shared" si="44"/>
        <v>2.0752909597603154E-2</v>
      </c>
      <c r="I558" s="3">
        <f t="shared" si="45"/>
        <v>0</v>
      </c>
      <c r="J558" s="3">
        <f t="shared" si="46"/>
        <v>0</v>
      </c>
      <c r="K558" s="3" t="str">
        <f t="shared" si="47"/>
        <v>Rb80</v>
      </c>
      <c r="L558" s="3" cm="1">
        <f t="array" ref="L558">SUM(($J558*EXP(-$H558*12*3600*_xlfn.SEQUENCE(L$1-1))))+$J558</f>
        <v>0</v>
      </c>
      <c r="M558" s="3"/>
      <c r="N558" s="3"/>
    </row>
    <row r="559" spans="2:14" hidden="1" x14ac:dyDescent="0.2">
      <c r="B559" s="3">
        <v>37081</v>
      </c>
      <c r="C559" s="3">
        <v>0</v>
      </c>
      <c r="D559">
        <v>556</v>
      </c>
      <c r="E559" t="str">
        <f>VLOOKUP(B559,Nuclides!A:F,5,FALSE)</f>
        <v>Rb81</v>
      </c>
      <c r="F559">
        <f>VLOOKUP(B559,Nuclides!A:F,4,FALSE)</f>
        <v>16459.2</v>
      </c>
      <c r="G559" s="3" t="str">
        <f t="shared" si="43"/>
        <v>4.57h</v>
      </c>
      <c r="H559" s="3">
        <f t="shared" si="44"/>
        <v>4.2113054131424693E-5</v>
      </c>
      <c r="I559" s="3">
        <f t="shared" si="45"/>
        <v>0</v>
      </c>
      <c r="J559" s="3">
        <f t="shared" si="46"/>
        <v>0</v>
      </c>
      <c r="K559" s="3" t="str">
        <f t="shared" si="47"/>
        <v>Rb81</v>
      </c>
      <c r="L559" s="3" cm="1">
        <f t="array" ref="L559">SUM(($J559*EXP(-$H559*12*3600*_xlfn.SEQUENCE(L$1-1))))+$J559</f>
        <v>0</v>
      </c>
      <c r="M559" s="3"/>
      <c r="N559" s="3"/>
    </row>
    <row r="560" spans="2:14" hidden="1" x14ac:dyDescent="0.2">
      <c r="B560" s="3">
        <v>37082</v>
      </c>
      <c r="C560" s="3">
        <v>0</v>
      </c>
      <c r="D560">
        <v>557</v>
      </c>
      <c r="E560" t="str">
        <f>VLOOKUP(B560,Nuclides!A:F,5,FALSE)</f>
        <v>Rb82</v>
      </c>
      <c r="F560">
        <f>VLOOKUP(B560,Nuclides!A:F,4,FALSE)</f>
        <v>75.45</v>
      </c>
      <c r="G560" s="3" t="str">
        <f t="shared" si="43"/>
        <v>1.26min</v>
      </c>
      <c r="H560" s="3">
        <f t="shared" si="44"/>
        <v>9.1868413593100759E-3</v>
      </c>
      <c r="I560" s="3">
        <f t="shared" si="45"/>
        <v>0</v>
      </c>
      <c r="J560" s="3">
        <f t="shared" si="46"/>
        <v>0</v>
      </c>
      <c r="K560" s="3" t="str">
        <f t="shared" si="47"/>
        <v>Rb82</v>
      </c>
      <c r="L560" s="3" cm="1">
        <f t="array" ref="L560">SUM(($J560*EXP(-$H560*12*3600*_xlfn.SEQUENCE(L$1-1))))+$J560</f>
        <v>0</v>
      </c>
      <c r="M560" s="3"/>
      <c r="N560" s="3"/>
    </row>
    <row r="561" spans="2:14" hidden="1" x14ac:dyDescent="0.2">
      <c r="B561" s="3">
        <v>37083</v>
      </c>
      <c r="C561" s="3">
        <v>0</v>
      </c>
      <c r="D561">
        <v>558</v>
      </c>
      <c r="E561" t="str">
        <f>VLOOKUP(B561,Nuclides!A:F,5,FALSE)</f>
        <v>Rb83</v>
      </c>
      <c r="F561">
        <f>VLOOKUP(B561,Nuclides!A:F,4,FALSE)</f>
        <v>7447680</v>
      </c>
      <c r="G561" s="3" t="str">
        <f t="shared" si="43"/>
        <v>86.2d</v>
      </c>
      <c r="H561" s="3">
        <f t="shared" si="44"/>
        <v>9.3068872529424639E-8</v>
      </c>
      <c r="I561" s="3">
        <f t="shared" si="45"/>
        <v>0</v>
      </c>
      <c r="J561" s="3">
        <f t="shared" si="46"/>
        <v>0</v>
      </c>
      <c r="K561" s="3" t="str">
        <f t="shared" si="47"/>
        <v>Rb83</v>
      </c>
      <c r="L561" s="3" cm="1">
        <f t="array" ref="L561">SUM(($J561*EXP(-$H561*12*3600*_xlfn.SEQUENCE(L$1-1))))+$J561</f>
        <v>0</v>
      </c>
      <c r="M561" s="3"/>
      <c r="N561" s="3"/>
    </row>
    <row r="562" spans="2:14" hidden="1" x14ac:dyDescent="0.2">
      <c r="B562" s="3">
        <v>37084</v>
      </c>
      <c r="C562" s="3">
        <v>0</v>
      </c>
      <c r="D562">
        <v>559</v>
      </c>
      <c r="E562" t="str">
        <f>VLOOKUP(B562,Nuclides!A:F,5,FALSE)</f>
        <v>Rb84</v>
      </c>
      <c r="F562">
        <f>VLOOKUP(B562,Nuclides!A:F,4,FALSE)</f>
        <v>2835648</v>
      </c>
      <c r="G562" s="3" t="str">
        <f t="shared" si="43"/>
        <v>32.82d</v>
      </c>
      <c r="H562" s="3">
        <f t="shared" si="44"/>
        <v>2.4444048787435723E-7</v>
      </c>
      <c r="I562" s="3">
        <f t="shared" si="45"/>
        <v>0</v>
      </c>
      <c r="J562" s="3">
        <f t="shared" si="46"/>
        <v>0</v>
      </c>
      <c r="K562" s="3" t="str">
        <f t="shared" si="47"/>
        <v>Rb84</v>
      </c>
      <c r="L562" s="3" cm="1">
        <f t="array" ref="L562">SUM(($J562*EXP(-$H562*12*3600*_xlfn.SEQUENCE(L$1-1))))+$J562</f>
        <v>0</v>
      </c>
      <c r="M562" s="3"/>
      <c r="N562" s="3"/>
    </row>
    <row r="563" spans="2:14" hidden="1" x14ac:dyDescent="0.2">
      <c r="B563" s="3">
        <v>37085</v>
      </c>
      <c r="C563" s="3">
        <v>0</v>
      </c>
      <c r="D563">
        <v>560</v>
      </c>
      <c r="E563" t="str">
        <f>VLOOKUP(B563,Nuclides!A:F,5,FALSE)</f>
        <v>Rb85</v>
      </c>
      <c r="F563" t="str">
        <f>VLOOKUP(B563,Nuclides!A:F,4,FALSE)</f>
        <v>STABLE</v>
      </c>
      <c r="G563" s="3" t="str">
        <f t="shared" si="43"/>
        <v>STABLE</v>
      </c>
      <c r="H563" s="3" t="e">
        <f t="shared" si="44"/>
        <v>#VALUE!</v>
      </c>
      <c r="I563" s="3" t="e">
        <f t="shared" si="45"/>
        <v>#VALUE!</v>
      </c>
      <c r="J563" s="3" t="e">
        <f t="shared" si="46"/>
        <v>#VALUE!</v>
      </c>
      <c r="K563" s="3" t="str">
        <f t="shared" si="47"/>
        <v>Rb85</v>
      </c>
      <c r="L563" s="3" t="e" cm="1">
        <f t="array" ref="L563">SUM(($J563*EXP(-$H563*12*3600*_xlfn.SEQUENCE(L$1-1))))+$J563</f>
        <v>#VALUE!</v>
      </c>
      <c r="M563" s="3"/>
      <c r="N563" s="3"/>
    </row>
    <row r="564" spans="2:14" hidden="1" x14ac:dyDescent="0.2">
      <c r="B564" s="3">
        <v>37086</v>
      </c>
      <c r="C564" s="3">
        <v>0</v>
      </c>
      <c r="D564">
        <v>561</v>
      </c>
      <c r="E564" t="str">
        <f>VLOOKUP(B564,Nuclides!A:F,5,FALSE)</f>
        <v>Rb86</v>
      </c>
      <c r="F564">
        <f>VLOOKUP(B564,Nuclides!A:F,4,FALSE)</f>
        <v>1610668.8</v>
      </c>
      <c r="G564" s="3" t="str">
        <f t="shared" si="43"/>
        <v>18.64d</v>
      </c>
      <c r="H564" s="3">
        <f t="shared" si="44"/>
        <v>4.3034743117886513E-7</v>
      </c>
      <c r="I564" s="3">
        <f t="shared" si="45"/>
        <v>0</v>
      </c>
      <c r="J564" s="3">
        <f t="shared" si="46"/>
        <v>0</v>
      </c>
      <c r="K564" s="3" t="str">
        <f t="shared" si="47"/>
        <v>Rb86</v>
      </c>
      <c r="L564" s="3" cm="1">
        <f t="array" ref="L564">SUM(($J564*EXP(-$H564*12*3600*_xlfn.SEQUENCE(L$1-1))))+$J564</f>
        <v>0</v>
      </c>
      <c r="M564" s="3"/>
      <c r="N564" s="3"/>
    </row>
    <row r="565" spans="2:14" hidden="1" x14ac:dyDescent="0.2">
      <c r="B565" s="3">
        <v>37087</v>
      </c>
      <c r="C565" s="3">
        <v>0</v>
      </c>
      <c r="D565">
        <v>562</v>
      </c>
      <c r="E565" t="str">
        <f>VLOOKUP(B565,Nuclides!A:F,5,FALSE)</f>
        <v>Rb87</v>
      </c>
      <c r="F565">
        <f>VLOOKUP(B565,Nuclides!A:F,4,FALSE)</f>
        <v>1.56841272E+18</v>
      </c>
      <c r="G565" s="3" t="str">
        <f t="shared" si="43"/>
        <v>49734041095.89y</v>
      </c>
      <c r="H565" s="3">
        <f t="shared" si="44"/>
        <v>4.419418254653949E-19</v>
      </c>
      <c r="I565" s="3">
        <f t="shared" si="45"/>
        <v>0</v>
      </c>
      <c r="J565" s="3">
        <f t="shared" si="46"/>
        <v>0</v>
      </c>
      <c r="K565" s="3" t="str">
        <f t="shared" si="47"/>
        <v>Rb87</v>
      </c>
      <c r="L565" s="3" cm="1">
        <f t="array" ref="L565">SUM(($J565*EXP(-$H565*12*3600*_xlfn.SEQUENCE(L$1-1))))+$J565</f>
        <v>0</v>
      </c>
      <c r="M565" s="3"/>
      <c r="N565" s="3"/>
    </row>
    <row r="566" spans="2:14" hidden="1" x14ac:dyDescent="0.2">
      <c r="B566" s="3">
        <v>37088</v>
      </c>
      <c r="C566" s="3">
        <v>0</v>
      </c>
      <c r="D566">
        <v>563</v>
      </c>
      <c r="E566" t="str">
        <f>VLOOKUP(B566,Nuclides!A:F,5,FALSE)</f>
        <v>Rb88</v>
      </c>
      <c r="F566">
        <f>VLOOKUP(B566,Nuclides!A:F,4,FALSE)</f>
        <v>1066.3799999999901</v>
      </c>
      <c r="G566" s="3" t="str">
        <f t="shared" si="43"/>
        <v>17.77min</v>
      </c>
      <c r="H566" s="3">
        <f t="shared" si="44"/>
        <v>6.5000016932045964E-4</v>
      </c>
      <c r="I566" s="3">
        <f t="shared" si="45"/>
        <v>0</v>
      </c>
      <c r="J566" s="3">
        <f t="shared" si="46"/>
        <v>0</v>
      </c>
      <c r="K566" s="3" t="str">
        <f t="shared" si="47"/>
        <v>Rb88</v>
      </c>
      <c r="L566" s="3" cm="1">
        <f t="array" ref="L566">SUM(($J566*EXP(-$H566*12*3600*_xlfn.SEQUENCE(L$1-1))))+$J566</f>
        <v>0</v>
      </c>
      <c r="M566" s="3"/>
      <c r="N566" s="3"/>
    </row>
    <row r="567" spans="2:14" hidden="1" x14ac:dyDescent="0.2">
      <c r="B567" s="3">
        <v>37089</v>
      </c>
      <c r="C567" s="3">
        <v>0</v>
      </c>
      <c r="D567">
        <v>564</v>
      </c>
      <c r="E567" t="str">
        <f>VLOOKUP(B567,Nuclides!A:F,5,FALSE)</f>
        <v>Rb89</v>
      </c>
      <c r="F567">
        <f>VLOOKUP(B567,Nuclides!A:F,4,FALSE)</f>
        <v>919.2</v>
      </c>
      <c r="G567" s="3" t="str">
        <f t="shared" si="43"/>
        <v>15.32min</v>
      </c>
      <c r="H567" s="3">
        <f t="shared" si="44"/>
        <v>7.5407656718880028E-4</v>
      </c>
      <c r="I567" s="3">
        <f t="shared" si="45"/>
        <v>0</v>
      </c>
      <c r="J567" s="3">
        <f t="shared" si="46"/>
        <v>0</v>
      </c>
      <c r="K567" s="3" t="str">
        <f t="shared" si="47"/>
        <v>Rb89</v>
      </c>
      <c r="L567" s="3" cm="1">
        <f t="array" ref="L567">SUM(($J567*EXP(-$H567*12*3600*_xlfn.SEQUENCE(L$1-1))))+$J567</f>
        <v>0</v>
      </c>
      <c r="M567" s="3"/>
      <c r="N567" s="3"/>
    </row>
    <row r="568" spans="2:14" hidden="1" x14ac:dyDescent="0.2">
      <c r="B568" s="3">
        <v>37090</v>
      </c>
      <c r="C568" s="3">
        <v>0</v>
      </c>
      <c r="D568">
        <v>565</v>
      </c>
      <c r="E568" t="str">
        <f>VLOOKUP(B568,Nuclides!A:F,5,FALSE)</f>
        <v>Rb90</v>
      </c>
      <c r="F568">
        <f>VLOOKUP(B568,Nuclides!A:F,4,FALSE)</f>
        <v>158</v>
      </c>
      <c r="G568" s="3" t="str">
        <f t="shared" si="43"/>
        <v>2.63min</v>
      </c>
      <c r="H568" s="3">
        <f t="shared" si="44"/>
        <v>4.3870074718983876E-3</v>
      </c>
      <c r="I568" s="3">
        <f t="shared" si="45"/>
        <v>0</v>
      </c>
      <c r="J568" s="3">
        <f t="shared" si="46"/>
        <v>0</v>
      </c>
      <c r="K568" s="3" t="str">
        <f t="shared" si="47"/>
        <v>Rb90</v>
      </c>
      <c r="L568" s="3" cm="1">
        <f t="array" ref="L568">SUM(($J568*EXP(-$H568*12*3600*_xlfn.SEQUENCE(L$1-1))))+$J568</f>
        <v>0</v>
      </c>
      <c r="M568" s="3"/>
      <c r="N568" s="3"/>
    </row>
    <row r="569" spans="2:14" hidden="1" x14ac:dyDescent="0.2">
      <c r="B569" s="3">
        <v>37091</v>
      </c>
      <c r="C569" s="3">
        <v>0</v>
      </c>
      <c r="D569">
        <v>566</v>
      </c>
      <c r="E569" t="str">
        <f>VLOOKUP(B569,Nuclides!A:F,5,FALSE)</f>
        <v>Rb91</v>
      </c>
      <c r="F569">
        <f>VLOOKUP(B569,Nuclides!A:F,4,FALSE)</f>
        <v>58.2</v>
      </c>
      <c r="G569" s="3" t="str">
        <f t="shared" si="43"/>
        <v>58.2s</v>
      </c>
      <c r="H569" s="3">
        <f t="shared" si="44"/>
        <v>1.1909745370445795E-2</v>
      </c>
      <c r="I569" s="3">
        <f t="shared" si="45"/>
        <v>0</v>
      </c>
      <c r="J569" s="3">
        <f t="shared" si="46"/>
        <v>0</v>
      </c>
      <c r="K569" s="3" t="str">
        <f t="shared" si="47"/>
        <v>Rb91</v>
      </c>
      <c r="L569" s="3" cm="1">
        <f t="array" ref="L569">SUM(($J569*EXP(-$H569*12*3600*_xlfn.SEQUENCE(L$1-1))))+$J569</f>
        <v>0</v>
      </c>
      <c r="M569" s="3"/>
      <c r="N569" s="3"/>
    </row>
    <row r="570" spans="2:14" hidden="1" x14ac:dyDescent="0.2">
      <c r="B570" s="3">
        <v>37092</v>
      </c>
      <c r="C570" s="3">
        <v>0</v>
      </c>
      <c r="D570">
        <v>567</v>
      </c>
      <c r="E570" t="str">
        <f>VLOOKUP(B570,Nuclides!A:F,5,FALSE)</f>
        <v>Rb92</v>
      </c>
      <c r="F570">
        <f>VLOOKUP(B570,Nuclides!A:F,4,FALSE)</f>
        <v>4.492</v>
      </c>
      <c r="G570" s="3" t="str">
        <f t="shared" si="43"/>
        <v>4.492s</v>
      </c>
      <c r="H570" s="3">
        <f t="shared" si="44"/>
        <v>0.15430703040070021</v>
      </c>
      <c r="I570" s="3">
        <f t="shared" si="45"/>
        <v>0</v>
      </c>
      <c r="J570" s="3">
        <f t="shared" si="46"/>
        <v>0</v>
      </c>
      <c r="K570" s="3" t="str">
        <f t="shared" si="47"/>
        <v>Rb92</v>
      </c>
      <c r="L570" s="3" cm="1">
        <f t="array" ref="L570">SUM(($J570*EXP(-$H570*12*3600*_xlfn.SEQUENCE(L$1-1))))+$J570</f>
        <v>0</v>
      </c>
      <c r="M570" s="3"/>
      <c r="N570" s="3"/>
    </row>
    <row r="571" spans="2:14" hidden="1" x14ac:dyDescent="0.2">
      <c r="B571" s="3">
        <v>37093</v>
      </c>
      <c r="C571" s="3">
        <v>0</v>
      </c>
      <c r="D571">
        <v>568</v>
      </c>
      <c r="E571" t="str">
        <f>VLOOKUP(B571,Nuclides!A:F,5,FALSE)</f>
        <v>Rb93</v>
      </c>
      <c r="F571">
        <f>VLOOKUP(B571,Nuclides!A:F,4,FALSE)</f>
        <v>5.84</v>
      </c>
      <c r="G571" s="3" t="str">
        <f t="shared" si="43"/>
        <v>5.84s</v>
      </c>
      <c r="H571" s="3">
        <f t="shared" si="44"/>
        <v>0.1186895857123194</v>
      </c>
      <c r="I571" s="3">
        <f t="shared" si="45"/>
        <v>0</v>
      </c>
      <c r="J571" s="3">
        <f t="shared" si="46"/>
        <v>0</v>
      </c>
      <c r="K571" s="3" t="str">
        <f t="shared" si="47"/>
        <v>Rb93</v>
      </c>
      <c r="L571" s="3" cm="1">
        <f t="array" ref="L571">SUM(($J571*EXP(-$H571*12*3600*_xlfn.SEQUENCE(L$1-1))))+$J571</f>
        <v>0</v>
      </c>
      <c r="M571" s="3"/>
      <c r="N571" s="3"/>
    </row>
    <row r="572" spans="2:14" hidden="1" x14ac:dyDescent="0.2">
      <c r="B572" s="3">
        <v>37094</v>
      </c>
      <c r="C572" s="3">
        <v>0</v>
      </c>
      <c r="D572">
        <v>569</v>
      </c>
      <c r="E572" t="str">
        <f>VLOOKUP(B572,Nuclides!A:F,5,FALSE)</f>
        <v>Rb94</v>
      </c>
      <c r="F572">
        <f>VLOOKUP(B572,Nuclides!A:F,4,FALSE)</f>
        <v>2.702</v>
      </c>
      <c r="G572" s="3" t="str">
        <f t="shared" si="43"/>
        <v>2.702s</v>
      </c>
      <c r="H572" s="3">
        <f t="shared" si="44"/>
        <v>0.25653115490745571</v>
      </c>
      <c r="I572" s="3">
        <f t="shared" si="45"/>
        <v>0</v>
      </c>
      <c r="J572" s="3">
        <f t="shared" si="46"/>
        <v>0</v>
      </c>
      <c r="K572" s="3" t="str">
        <f t="shared" si="47"/>
        <v>Rb94</v>
      </c>
      <c r="L572" s="3" cm="1">
        <f t="array" ref="L572">SUM(($J572*EXP(-$H572*12*3600*_xlfn.SEQUENCE(L$1-1))))+$J572</f>
        <v>0</v>
      </c>
      <c r="M572" s="3"/>
      <c r="N572" s="3"/>
    </row>
    <row r="573" spans="2:14" hidden="1" x14ac:dyDescent="0.2">
      <c r="B573" s="3">
        <v>37095</v>
      </c>
      <c r="C573" s="3">
        <v>0</v>
      </c>
      <c r="D573">
        <v>570</v>
      </c>
      <c r="E573" t="str">
        <f>VLOOKUP(B573,Nuclides!A:F,5,FALSE)</f>
        <v>Rb95</v>
      </c>
      <c r="F573">
        <f>VLOOKUP(B573,Nuclides!A:F,4,FALSE)</f>
        <v>0.37769999999999998</v>
      </c>
      <c r="G573" s="3" t="str">
        <f t="shared" si="43"/>
        <v>0.3777s</v>
      </c>
      <c r="H573" s="3">
        <f t="shared" si="44"/>
        <v>1.8351791913157143</v>
      </c>
      <c r="I573" s="3">
        <f t="shared" si="45"/>
        <v>0</v>
      </c>
      <c r="J573" s="3">
        <f t="shared" si="46"/>
        <v>0</v>
      </c>
      <c r="K573" s="3" t="str">
        <f t="shared" si="47"/>
        <v>Rb95</v>
      </c>
      <c r="L573" s="3" cm="1">
        <f t="array" ref="L573">SUM(($J573*EXP(-$H573*12*3600*_xlfn.SEQUENCE(L$1-1))))+$J573</f>
        <v>0</v>
      </c>
      <c r="M573" s="3"/>
      <c r="N573" s="3"/>
    </row>
    <row r="574" spans="2:14" hidden="1" x14ac:dyDescent="0.2">
      <c r="B574" s="3">
        <v>37096</v>
      </c>
      <c r="C574" s="3">
        <v>0</v>
      </c>
      <c r="D574">
        <v>571</v>
      </c>
      <c r="E574" t="str">
        <f>VLOOKUP(B574,Nuclides!A:F,5,FALSE)</f>
        <v>Rb96</v>
      </c>
      <c r="F574">
        <f>VLOOKUP(B574,Nuclides!A:F,4,FALSE)</f>
        <v>0.20300000000000001</v>
      </c>
      <c r="G574" s="3" t="str">
        <f t="shared" si="43"/>
        <v>0.203s</v>
      </c>
      <c r="H574" s="3">
        <f t="shared" si="44"/>
        <v>3.4145181308371688</v>
      </c>
      <c r="I574" s="3">
        <f t="shared" si="45"/>
        <v>0</v>
      </c>
      <c r="J574" s="3">
        <f t="shared" si="46"/>
        <v>0</v>
      </c>
      <c r="K574" s="3" t="str">
        <f t="shared" si="47"/>
        <v>Rb96</v>
      </c>
      <c r="L574" s="3" cm="1">
        <f t="array" ref="L574">SUM(($J574*EXP(-$H574*12*3600*_xlfn.SEQUENCE(L$1-1))))+$J574</f>
        <v>0</v>
      </c>
      <c r="M574" s="3"/>
      <c r="N574" s="3"/>
    </row>
    <row r="575" spans="2:14" hidden="1" x14ac:dyDescent="0.2">
      <c r="B575" s="3">
        <v>37097</v>
      </c>
      <c r="C575" s="3">
        <v>0</v>
      </c>
      <c r="D575">
        <v>572</v>
      </c>
      <c r="E575" t="str">
        <f>VLOOKUP(B575,Nuclides!A:F,5,FALSE)</f>
        <v>Rb97</v>
      </c>
      <c r="F575">
        <f>VLOOKUP(B575,Nuclides!A:F,4,FALSE)</f>
        <v>0.1691</v>
      </c>
      <c r="G575" s="3" t="str">
        <f t="shared" si="43"/>
        <v>0.1691s</v>
      </c>
      <c r="H575" s="3">
        <f t="shared" si="44"/>
        <v>4.0990371410996174</v>
      </c>
      <c r="I575" s="3">
        <f t="shared" si="45"/>
        <v>0</v>
      </c>
      <c r="J575" s="3">
        <f t="shared" si="46"/>
        <v>0</v>
      </c>
      <c r="K575" s="3" t="str">
        <f t="shared" si="47"/>
        <v>Rb97</v>
      </c>
      <c r="L575" s="3" cm="1">
        <f t="array" ref="L575">SUM(($J575*EXP(-$H575*12*3600*_xlfn.SEQUENCE(L$1-1))))+$J575</f>
        <v>0</v>
      </c>
      <c r="M575" s="3"/>
      <c r="N575" s="3"/>
    </row>
    <row r="576" spans="2:14" hidden="1" x14ac:dyDescent="0.2">
      <c r="B576" s="3">
        <v>37098</v>
      </c>
      <c r="C576" s="3">
        <v>0</v>
      </c>
      <c r="D576">
        <v>573</v>
      </c>
      <c r="E576" t="str">
        <f>VLOOKUP(B576,Nuclides!A:F,5,FALSE)</f>
        <v>Rb98</v>
      </c>
      <c r="F576">
        <f>VLOOKUP(B576,Nuclides!A:F,4,FALSE)</f>
        <v>0.10199999999999999</v>
      </c>
      <c r="G576" s="3" t="str">
        <f t="shared" si="43"/>
        <v>0.102s</v>
      </c>
      <c r="H576" s="3">
        <f t="shared" si="44"/>
        <v>6.7955605937249546</v>
      </c>
      <c r="I576" s="3">
        <f t="shared" si="45"/>
        <v>0</v>
      </c>
      <c r="J576" s="3">
        <f t="shared" si="46"/>
        <v>0</v>
      </c>
      <c r="K576" s="3" t="str">
        <f t="shared" si="47"/>
        <v>Rb98</v>
      </c>
      <c r="L576" s="3" cm="1">
        <f t="array" ref="L576">SUM(($J576*EXP(-$H576*12*3600*_xlfn.SEQUENCE(L$1-1))))+$J576</f>
        <v>0</v>
      </c>
      <c r="M576" s="3"/>
      <c r="N576" s="3"/>
    </row>
    <row r="577" spans="2:14" hidden="1" x14ac:dyDescent="0.2">
      <c r="B577" s="3">
        <v>37099</v>
      </c>
      <c r="C577" s="3">
        <v>0</v>
      </c>
      <c r="D577">
        <v>574</v>
      </c>
      <c r="E577" t="str">
        <f>VLOOKUP(B577,Nuclides!A:F,5,FALSE)</f>
        <v>Rb99</v>
      </c>
      <c r="F577">
        <f>VLOOKUP(B577,Nuclides!A:F,4,FALSE)</f>
        <v>5.3999999999999999E-2</v>
      </c>
      <c r="G577" s="3" t="str">
        <f t="shared" si="43"/>
        <v>0.054s</v>
      </c>
      <c r="H577" s="3">
        <f t="shared" si="44"/>
        <v>12.836058899258246</v>
      </c>
      <c r="I577" s="3">
        <f t="shared" si="45"/>
        <v>0</v>
      </c>
      <c r="J577" s="3">
        <f t="shared" si="46"/>
        <v>0</v>
      </c>
      <c r="K577" s="3" t="str">
        <f t="shared" si="47"/>
        <v>Rb99</v>
      </c>
      <c r="L577" s="3" cm="1">
        <f t="array" ref="L577">SUM(($J577*EXP(-$H577*12*3600*_xlfn.SEQUENCE(L$1-1))))+$J577</f>
        <v>0</v>
      </c>
      <c r="M577" s="3"/>
      <c r="N577" s="3"/>
    </row>
    <row r="578" spans="2:14" hidden="1" x14ac:dyDescent="0.2">
      <c r="B578" s="3">
        <v>37100</v>
      </c>
      <c r="C578" s="3">
        <v>0</v>
      </c>
      <c r="D578">
        <v>575</v>
      </c>
      <c r="E578" t="str">
        <f>VLOOKUP(B578,Nuclides!A:F,5,FALSE)</f>
        <v>Rb100</v>
      </c>
      <c r="F578">
        <f>VLOOKUP(B578,Nuclides!A:F,4,FALSE)</f>
        <v>5.0999999999999997E-2</v>
      </c>
      <c r="G578" s="3" t="str">
        <f t="shared" si="43"/>
        <v>0.051s</v>
      </c>
      <c r="H578" s="3">
        <f t="shared" si="44"/>
        <v>13.591121187449909</v>
      </c>
      <c r="I578" s="3">
        <f t="shared" si="45"/>
        <v>0</v>
      </c>
      <c r="J578" s="3">
        <f t="shared" si="46"/>
        <v>0</v>
      </c>
      <c r="K578" s="3" t="str">
        <f t="shared" si="47"/>
        <v>Rb100</v>
      </c>
      <c r="L578" s="3" cm="1">
        <f t="array" ref="L578">SUM(($J578*EXP(-$H578*12*3600*_xlfn.SEQUENCE(L$1-1))))+$J578</f>
        <v>0</v>
      </c>
      <c r="M578" s="3"/>
      <c r="N578" s="3"/>
    </row>
    <row r="579" spans="2:14" hidden="1" x14ac:dyDescent="0.2">
      <c r="B579" s="3">
        <v>38077</v>
      </c>
      <c r="C579" s="3">
        <v>0</v>
      </c>
      <c r="D579">
        <v>576</v>
      </c>
      <c r="E579" t="str">
        <f>VLOOKUP(B579,Nuclides!A:F,5,FALSE)</f>
        <v>Sr77</v>
      </c>
      <c r="F579">
        <f>VLOOKUP(B579,Nuclides!A:F,4,FALSE)</f>
        <v>9</v>
      </c>
      <c r="G579" s="3" t="str">
        <f t="shared" si="43"/>
        <v>9s</v>
      </c>
      <c r="H579" s="3">
        <f t="shared" si="44"/>
        <v>7.7016353395549478E-2</v>
      </c>
      <c r="I579" s="3">
        <f t="shared" si="45"/>
        <v>0</v>
      </c>
      <c r="J579" s="3">
        <f t="shared" si="46"/>
        <v>0</v>
      </c>
      <c r="K579" s="3" t="str">
        <f t="shared" si="47"/>
        <v>Sr77</v>
      </c>
      <c r="L579" s="3" cm="1">
        <f t="array" ref="L579">SUM(($J579*EXP(-$H579*12*3600*_xlfn.SEQUENCE(L$1-1))))+$J579</f>
        <v>0</v>
      </c>
      <c r="M579" s="3"/>
      <c r="N579" s="3"/>
    </row>
    <row r="580" spans="2:14" hidden="1" x14ac:dyDescent="0.2">
      <c r="B580" s="3">
        <v>38078</v>
      </c>
      <c r="C580" s="3">
        <v>0</v>
      </c>
      <c r="D580">
        <v>577</v>
      </c>
      <c r="E580" t="str">
        <f>VLOOKUP(B580,Nuclides!A:F,5,FALSE)</f>
        <v>Sr78</v>
      </c>
      <c r="F580">
        <f>VLOOKUP(B580,Nuclides!A:F,4,FALSE)</f>
        <v>160</v>
      </c>
      <c r="G580" s="3" t="str">
        <f t="shared" ref="G580:G643" si="48">IF(F580="STABLE", "STABLE", IF(F580&lt;60, F580&amp;"s", IF(F580&lt;3600, ROUND(F580/60,2)&amp;"min", IF(F580&lt;86400, ROUND(F580/3600,2)&amp;"h", IF(F580&lt;31536000, ROUND(F580/86400,2)&amp;"d", ROUND(F580/31536000,2)&amp;"y")))))</f>
        <v>2.67min</v>
      </c>
      <c r="H580" s="3">
        <f t="shared" ref="H580:H643" si="49">LN(2)/F580</f>
        <v>4.3321698784996579E-3</v>
      </c>
      <c r="I580" s="3">
        <f t="shared" ref="I580:I643" si="50">100*6240000000000*C580*(1-EXP(-H580*2*3600))</f>
        <v>0</v>
      </c>
      <c r="J580" s="3">
        <f t="shared" ref="J580:J643" si="51">I580*EXP(-H580*10*3600)</f>
        <v>0</v>
      </c>
      <c r="K580" s="3" t="str">
        <f t="shared" ref="K580:K643" si="52">E580</f>
        <v>Sr78</v>
      </c>
      <c r="L580" s="3" cm="1">
        <f t="array" ref="L580">SUM(($J580*EXP(-$H580*12*3600*_xlfn.SEQUENCE(L$1-1))))+$J580</f>
        <v>0</v>
      </c>
      <c r="M580" s="3"/>
      <c r="N580" s="3"/>
    </row>
    <row r="581" spans="2:14" hidden="1" x14ac:dyDescent="0.2">
      <c r="B581" s="3">
        <v>38079</v>
      </c>
      <c r="C581" s="3">
        <v>0</v>
      </c>
      <c r="D581">
        <v>578</v>
      </c>
      <c r="E581" t="str">
        <f>VLOOKUP(B581,Nuclides!A:F,5,FALSE)</f>
        <v>Sr79</v>
      </c>
      <c r="F581">
        <f>VLOOKUP(B581,Nuclides!A:F,4,FALSE)</f>
        <v>135</v>
      </c>
      <c r="G581" s="3" t="str">
        <f t="shared" si="48"/>
        <v>2.25min</v>
      </c>
      <c r="H581" s="3">
        <f t="shared" si="49"/>
        <v>5.1344235597032984E-3</v>
      </c>
      <c r="I581" s="3">
        <f t="shared" si="50"/>
        <v>0</v>
      </c>
      <c r="J581" s="3">
        <f t="shared" si="51"/>
        <v>0</v>
      </c>
      <c r="K581" s="3" t="str">
        <f t="shared" si="52"/>
        <v>Sr79</v>
      </c>
      <c r="L581" s="3" cm="1">
        <f t="array" ref="L581">SUM(($J581*EXP(-$H581*12*3600*_xlfn.SEQUENCE(L$1-1))))+$J581</f>
        <v>0</v>
      </c>
      <c r="M581" s="3"/>
      <c r="N581" s="3"/>
    </row>
    <row r="582" spans="2:14" hidden="1" x14ac:dyDescent="0.2">
      <c r="B582" s="3">
        <v>38080</v>
      </c>
      <c r="C582" s="3">
        <v>0</v>
      </c>
      <c r="D582">
        <v>579</v>
      </c>
      <c r="E582" t="str">
        <f>VLOOKUP(B582,Nuclides!A:F,5,FALSE)</f>
        <v>Sr80</v>
      </c>
      <c r="F582">
        <f>VLOOKUP(B582,Nuclides!A:F,4,FALSE)</f>
        <v>6378</v>
      </c>
      <c r="G582" s="3" t="str">
        <f t="shared" si="48"/>
        <v>1.77h</v>
      </c>
      <c r="H582" s="3">
        <f t="shared" si="49"/>
        <v>1.0867782699277912E-4</v>
      </c>
      <c r="I582" s="3">
        <f t="shared" si="50"/>
        <v>0</v>
      </c>
      <c r="J582" s="3">
        <f t="shared" si="51"/>
        <v>0</v>
      </c>
      <c r="K582" s="3" t="str">
        <f t="shared" si="52"/>
        <v>Sr80</v>
      </c>
      <c r="L582" s="3" cm="1">
        <f t="array" ref="L582">SUM(($J582*EXP(-$H582*12*3600*_xlfn.SEQUENCE(L$1-1))))+$J582</f>
        <v>0</v>
      </c>
      <c r="M582" s="3"/>
      <c r="N582" s="3"/>
    </row>
    <row r="583" spans="2:14" hidden="1" x14ac:dyDescent="0.2">
      <c r="B583" s="3">
        <v>38081</v>
      </c>
      <c r="C583" s="3">
        <v>0</v>
      </c>
      <c r="D583">
        <v>580</v>
      </c>
      <c r="E583" t="str">
        <f>VLOOKUP(B583,Nuclides!A:F,5,FALSE)</f>
        <v>Sr81</v>
      </c>
      <c r="F583">
        <f>VLOOKUP(B583,Nuclides!A:F,4,FALSE)</f>
        <v>1338</v>
      </c>
      <c r="G583" s="3" t="str">
        <f t="shared" si="48"/>
        <v>22.3min</v>
      </c>
      <c r="H583" s="3">
        <f t="shared" si="49"/>
        <v>5.1804722014943589E-4</v>
      </c>
      <c r="I583" s="3">
        <f t="shared" si="50"/>
        <v>0</v>
      </c>
      <c r="J583" s="3">
        <f t="shared" si="51"/>
        <v>0</v>
      </c>
      <c r="K583" s="3" t="str">
        <f t="shared" si="52"/>
        <v>Sr81</v>
      </c>
      <c r="L583" s="3" cm="1">
        <f t="array" ref="L583">SUM(($J583*EXP(-$H583*12*3600*_xlfn.SEQUENCE(L$1-1))))+$J583</f>
        <v>0</v>
      </c>
      <c r="M583" s="3"/>
      <c r="N583" s="3"/>
    </row>
    <row r="584" spans="2:14" hidden="1" x14ac:dyDescent="0.2">
      <c r="B584" s="3">
        <v>38082</v>
      </c>
      <c r="C584" s="3">
        <v>0</v>
      </c>
      <c r="D584">
        <v>581</v>
      </c>
      <c r="E584" t="str">
        <f>VLOOKUP(B584,Nuclides!A:F,5,FALSE)</f>
        <v>Sr82</v>
      </c>
      <c r="F584">
        <f>VLOOKUP(B584,Nuclides!A:F,4,FALSE)</f>
        <v>2189376</v>
      </c>
      <c r="G584" s="3" t="str">
        <f t="shared" si="48"/>
        <v>25.34d</v>
      </c>
      <c r="H584" s="3">
        <f t="shared" si="49"/>
        <v>3.165957700093293E-7</v>
      </c>
      <c r="I584" s="3">
        <f t="shared" si="50"/>
        <v>0</v>
      </c>
      <c r="J584" s="3">
        <f t="shared" si="51"/>
        <v>0</v>
      </c>
      <c r="K584" s="3" t="str">
        <f t="shared" si="52"/>
        <v>Sr82</v>
      </c>
      <c r="L584" s="3" cm="1">
        <f t="array" ref="L584">SUM(($J584*EXP(-$H584*12*3600*_xlfn.SEQUENCE(L$1-1))))+$J584</f>
        <v>0</v>
      </c>
      <c r="M584" s="3"/>
      <c r="N584" s="3"/>
    </row>
    <row r="585" spans="2:14" hidden="1" x14ac:dyDescent="0.2">
      <c r="B585" s="3">
        <v>38083</v>
      </c>
      <c r="C585" s="3">
        <v>0</v>
      </c>
      <c r="D585">
        <v>582</v>
      </c>
      <c r="E585" t="str">
        <f>VLOOKUP(B585,Nuclides!A:F,5,FALSE)</f>
        <v>Sr83</v>
      </c>
      <c r="F585">
        <f>VLOOKUP(B585,Nuclides!A:F,4,FALSE)</f>
        <v>116675.999999999</v>
      </c>
      <c r="G585" s="3" t="str">
        <f t="shared" si="48"/>
        <v>1.35d</v>
      </c>
      <c r="H585" s="3">
        <f t="shared" si="49"/>
        <v>5.9407862847539446E-6</v>
      </c>
      <c r="I585" s="3">
        <f t="shared" si="50"/>
        <v>0</v>
      </c>
      <c r="J585" s="3">
        <f t="shared" si="51"/>
        <v>0</v>
      </c>
      <c r="K585" s="3" t="str">
        <f t="shared" si="52"/>
        <v>Sr83</v>
      </c>
      <c r="L585" s="3" cm="1">
        <f t="array" ref="L585">SUM(($J585*EXP(-$H585*12*3600*_xlfn.SEQUENCE(L$1-1))))+$J585</f>
        <v>0</v>
      </c>
      <c r="M585" s="3"/>
      <c r="N585" s="3"/>
    </row>
    <row r="586" spans="2:14" hidden="1" x14ac:dyDescent="0.2">
      <c r="B586" s="3">
        <v>38084</v>
      </c>
      <c r="C586" s="3">
        <v>0</v>
      </c>
      <c r="D586">
        <v>583</v>
      </c>
      <c r="E586" t="str">
        <f>VLOOKUP(B586,Nuclides!A:F,5,FALSE)</f>
        <v>Sr84</v>
      </c>
      <c r="F586" t="str">
        <f>VLOOKUP(B586,Nuclides!A:F,4,FALSE)</f>
        <v>STABLE</v>
      </c>
      <c r="G586" s="3" t="str">
        <f t="shared" si="48"/>
        <v>STABLE</v>
      </c>
      <c r="H586" s="3" t="e">
        <f t="shared" si="49"/>
        <v>#VALUE!</v>
      </c>
      <c r="I586" s="3" t="e">
        <f t="shared" si="50"/>
        <v>#VALUE!</v>
      </c>
      <c r="J586" s="3" t="e">
        <f t="shared" si="51"/>
        <v>#VALUE!</v>
      </c>
      <c r="K586" s="3" t="str">
        <f t="shared" si="52"/>
        <v>Sr84</v>
      </c>
      <c r="L586" s="3" t="e" cm="1">
        <f t="array" ref="L586">SUM(($J586*EXP(-$H586*12*3600*_xlfn.SEQUENCE(L$1-1))))+$J586</f>
        <v>#VALUE!</v>
      </c>
      <c r="M586" s="3"/>
      <c r="N586" s="3"/>
    </row>
    <row r="587" spans="2:14" hidden="1" x14ac:dyDescent="0.2">
      <c r="B587" s="3">
        <v>38085</v>
      </c>
      <c r="C587" s="3">
        <v>0</v>
      </c>
      <c r="D587">
        <v>584</v>
      </c>
      <c r="E587" t="str">
        <f>VLOOKUP(B587,Nuclides!A:F,5,FALSE)</f>
        <v>Sr85</v>
      </c>
      <c r="F587">
        <f>VLOOKUP(B587,Nuclides!A:F,4,FALSE)</f>
        <v>5602953.5999999996</v>
      </c>
      <c r="G587" s="3" t="str">
        <f t="shared" si="48"/>
        <v>64.85d</v>
      </c>
      <c r="H587" s="3">
        <f t="shared" si="49"/>
        <v>1.2371103350917369E-7</v>
      </c>
      <c r="I587" s="3">
        <f t="shared" si="50"/>
        <v>0</v>
      </c>
      <c r="J587" s="3">
        <f t="shared" si="51"/>
        <v>0</v>
      </c>
      <c r="K587" s="3" t="str">
        <f t="shared" si="52"/>
        <v>Sr85</v>
      </c>
      <c r="L587" s="3" cm="1">
        <f t="array" ref="L587">SUM(($J587*EXP(-$H587*12*3600*_xlfn.SEQUENCE(L$1-1))))+$J587</f>
        <v>0</v>
      </c>
      <c r="M587" s="3"/>
      <c r="N587" s="3"/>
    </row>
    <row r="588" spans="2:14" hidden="1" x14ac:dyDescent="0.2">
      <c r="B588" s="3">
        <v>38086</v>
      </c>
      <c r="C588" s="3">
        <v>0</v>
      </c>
      <c r="D588">
        <v>585</v>
      </c>
      <c r="E588" t="str">
        <f>VLOOKUP(B588,Nuclides!A:F,5,FALSE)</f>
        <v>Sr86</v>
      </c>
      <c r="F588" t="str">
        <f>VLOOKUP(B588,Nuclides!A:F,4,FALSE)</f>
        <v>STABLE</v>
      </c>
      <c r="G588" s="3" t="str">
        <f t="shared" si="48"/>
        <v>STABLE</v>
      </c>
      <c r="H588" s="3" t="e">
        <f t="shared" si="49"/>
        <v>#VALUE!</v>
      </c>
      <c r="I588" s="3" t="e">
        <f t="shared" si="50"/>
        <v>#VALUE!</v>
      </c>
      <c r="J588" s="3" t="e">
        <f t="shared" si="51"/>
        <v>#VALUE!</v>
      </c>
      <c r="K588" s="3" t="str">
        <f t="shared" si="52"/>
        <v>Sr86</v>
      </c>
      <c r="L588" s="3" t="e" cm="1">
        <f t="array" ref="L588">SUM(($J588*EXP(-$H588*12*3600*_xlfn.SEQUENCE(L$1-1))))+$J588</f>
        <v>#VALUE!</v>
      </c>
      <c r="M588" s="3"/>
      <c r="N588" s="3"/>
    </row>
    <row r="589" spans="2:14" hidden="1" x14ac:dyDescent="0.2">
      <c r="B589" s="3">
        <v>38087</v>
      </c>
      <c r="C589" s="3">
        <v>0</v>
      </c>
      <c r="D589">
        <v>586</v>
      </c>
      <c r="E589" t="str">
        <f>VLOOKUP(B589,Nuclides!A:F,5,FALSE)</f>
        <v>Sr87</v>
      </c>
      <c r="F589" t="str">
        <f>VLOOKUP(B589,Nuclides!A:F,4,FALSE)</f>
        <v>STABLE</v>
      </c>
      <c r="G589" s="3" t="str">
        <f t="shared" si="48"/>
        <v>STABLE</v>
      </c>
      <c r="H589" s="3" t="e">
        <f t="shared" si="49"/>
        <v>#VALUE!</v>
      </c>
      <c r="I589" s="3" t="e">
        <f t="shared" si="50"/>
        <v>#VALUE!</v>
      </c>
      <c r="J589" s="3" t="e">
        <f t="shared" si="51"/>
        <v>#VALUE!</v>
      </c>
      <c r="K589" s="3" t="str">
        <f t="shared" si="52"/>
        <v>Sr87</v>
      </c>
      <c r="L589" s="3" t="e" cm="1">
        <f t="array" ref="L589">SUM(($J589*EXP(-$H589*12*3600*_xlfn.SEQUENCE(L$1-1))))+$J589</f>
        <v>#VALUE!</v>
      </c>
      <c r="M589" s="3"/>
      <c r="N589" s="3"/>
    </row>
    <row r="590" spans="2:14" hidden="1" x14ac:dyDescent="0.2">
      <c r="B590" s="3">
        <v>38088</v>
      </c>
      <c r="C590" s="3">
        <v>0</v>
      </c>
      <c r="D590">
        <v>587</v>
      </c>
      <c r="E590" t="str">
        <f>VLOOKUP(B590,Nuclides!A:F,5,FALSE)</f>
        <v>Sr88</v>
      </c>
      <c r="F590" t="str">
        <f>VLOOKUP(B590,Nuclides!A:F,4,FALSE)</f>
        <v>STABLE</v>
      </c>
      <c r="G590" s="3" t="str">
        <f t="shared" si="48"/>
        <v>STABLE</v>
      </c>
      <c r="H590" s="3" t="e">
        <f t="shared" si="49"/>
        <v>#VALUE!</v>
      </c>
      <c r="I590" s="3" t="e">
        <f t="shared" si="50"/>
        <v>#VALUE!</v>
      </c>
      <c r="J590" s="3" t="e">
        <f t="shared" si="51"/>
        <v>#VALUE!</v>
      </c>
      <c r="K590" s="3" t="str">
        <f t="shared" si="52"/>
        <v>Sr88</v>
      </c>
      <c r="L590" s="3" t="e" cm="1">
        <f t="array" ref="L590">SUM(($J590*EXP(-$H590*12*3600*_xlfn.SEQUENCE(L$1-1))))+$J590</f>
        <v>#VALUE!</v>
      </c>
      <c r="M590" s="3"/>
      <c r="N590" s="3"/>
    </row>
    <row r="591" spans="2:14" hidden="1" x14ac:dyDescent="0.2">
      <c r="B591" s="3">
        <v>38089</v>
      </c>
      <c r="C591" s="3">
        <v>0</v>
      </c>
      <c r="D591">
        <v>588</v>
      </c>
      <c r="E591" t="str">
        <f>VLOOKUP(B591,Nuclides!A:F,5,FALSE)</f>
        <v>Sr89</v>
      </c>
      <c r="F591">
        <f>VLOOKUP(B591,Nuclides!A:F,4,FALSE)</f>
        <v>4368643.2</v>
      </c>
      <c r="G591" s="3" t="str">
        <f t="shared" si="48"/>
        <v>50.56d</v>
      </c>
      <c r="H591" s="3">
        <f t="shared" si="49"/>
        <v>1.5866417760094148E-7</v>
      </c>
      <c r="I591" s="3">
        <f t="shared" si="50"/>
        <v>0</v>
      </c>
      <c r="J591" s="3">
        <f t="shared" si="51"/>
        <v>0</v>
      </c>
      <c r="K591" s="3" t="str">
        <f t="shared" si="52"/>
        <v>Sr89</v>
      </c>
      <c r="L591" s="3" cm="1">
        <f t="array" ref="L591">SUM(($J591*EXP(-$H591*12*3600*_xlfn.SEQUENCE(L$1-1))))+$J591</f>
        <v>0</v>
      </c>
      <c r="M591" s="3"/>
      <c r="N591" s="3"/>
    </row>
    <row r="592" spans="2:14" hidden="1" x14ac:dyDescent="0.2">
      <c r="B592" s="3">
        <v>38090</v>
      </c>
      <c r="C592" s="3">
        <v>0</v>
      </c>
      <c r="D592">
        <v>589</v>
      </c>
      <c r="E592" t="str">
        <f>VLOOKUP(B592,Nuclides!A:F,5,FALSE)</f>
        <v>Sr90</v>
      </c>
      <c r="F592">
        <f>VLOOKUP(B592,Nuclides!A:F,4,FALSE)</f>
        <v>912014640</v>
      </c>
      <c r="G592" s="3" t="str">
        <f t="shared" si="48"/>
        <v>28.92y</v>
      </c>
      <c r="H592" s="3">
        <f t="shared" si="49"/>
        <v>7.6001760296298017E-10</v>
      </c>
      <c r="I592" s="3">
        <f t="shared" si="50"/>
        <v>0</v>
      </c>
      <c r="J592" s="3">
        <f t="shared" si="51"/>
        <v>0</v>
      </c>
      <c r="K592" s="3" t="str">
        <f t="shared" si="52"/>
        <v>Sr90</v>
      </c>
      <c r="L592" s="3" cm="1">
        <f t="array" ref="L592">SUM(($J592*EXP(-$H592*12*3600*_xlfn.SEQUENCE(L$1-1))))+$J592</f>
        <v>0</v>
      </c>
      <c r="M592" s="3"/>
      <c r="N592" s="3"/>
    </row>
    <row r="593" spans="2:14" hidden="1" x14ac:dyDescent="0.2">
      <c r="B593" s="3">
        <v>38091</v>
      </c>
      <c r="C593" s="3">
        <v>0</v>
      </c>
      <c r="D593">
        <v>590</v>
      </c>
      <c r="E593" t="str">
        <f>VLOOKUP(B593,Nuclides!A:F,5,FALSE)</f>
        <v>Sr91</v>
      </c>
      <c r="F593">
        <f>VLOOKUP(B593,Nuclides!A:F,4,FALSE)</f>
        <v>34740</v>
      </c>
      <c r="G593" s="3" t="str">
        <f t="shared" si="48"/>
        <v>9.65h</v>
      </c>
      <c r="H593" s="3">
        <f t="shared" si="49"/>
        <v>1.9952423159468777E-5</v>
      </c>
      <c r="I593" s="3">
        <f t="shared" si="50"/>
        <v>0</v>
      </c>
      <c r="J593" s="3">
        <f t="shared" si="51"/>
        <v>0</v>
      </c>
      <c r="K593" s="3" t="str">
        <f t="shared" si="52"/>
        <v>Sr91</v>
      </c>
      <c r="L593" s="3" cm="1">
        <f t="array" ref="L593">SUM(($J593*EXP(-$H593*12*3600*_xlfn.SEQUENCE(L$1-1))))+$J593</f>
        <v>0</v>
      </c>
      <c r="M593" s="3"/>
      <c r="N593" s="3"/>
    </row>
    <row r="594" spans="2:14" hidden="1" x14ac:dyDescent="0.2">
      <c r="B594" s="3">
        <v>38092</v>
      </c>
      <c r="C594" s="3">
        <v>0</v>
      </c>
      <c r="D594">
        <v>591</v>
      </c>
      <c r="E594" t="str">
        <f>VLOOKUP(B594,Nuclides!A:F,5,FALSE)</f>
        <v>Sr92</v>
      </c>
      <c r="F594">
        <f>VLOOKUP(B594,Nuclides!A:F,4,FALSE)</f>
        <v>9399.6</v>
      </c>
      <c r="G594" s="3" t="str">
        <f t="shared" si="48"/>
        <v>2.61h</v>
      </c>
      <c r="H594" s="3">
        <f t="shared" si="49"/>
        <v>7.3742199727642167E-5</v>
      </c>
      <c r="I594" s="3">
        <f t="shared" si="50"/>
        <v>0</v>
      </c>
      <c r="J594" s="3">
        <f t="shared" si="51"/>
        <v>0</v>
      </c>
      <c r="K594" s="3" t="str">
        <f t="shared" si="52"/>
        <v>Sr92</v>
      </c>
      <c r="L594" s="3" cm="1">
        <f t="array" ref="L594">SUM(($J594*EXP(-$H594*12*3600*_xlfn.SEQUENCE(L$1-1))))+$J594</f>
        <v>0</v>
      </c>
      <c r="M594" s="3"/>
      <c r="N594" s="3"/>
    </row>
    <row r="595" spans="2:14" hidden="1" x14ac:dyDescent="0.2">
      <c r="B595" s="3">
        <v>38093</v>
      </c>
      <c r="C595" s="3">
        <v>0</v>
      </c>
      <c r="D595">
        <v>592</v>
      </c>
      <c r="E595" t="str">
        <f>VLOOKUP(B595,Nuclides!A:F,5,FALSE)</f>
        <v>Sr93</v>
      </c>
      <c r="F595">
        <f>VLOOKUP(B595,Nuclides!A:F,4,FALSE)</f>
        <v>445.79999999999899</v>
      </c>
      <c r="G595" s="3" t="str">
        <f t="shared" si="48"/>
        <v>7.43min</v>
      </c>
      <c r="H595" s="3">
        <f t="shared" si="49"/>
        <v>1.5548388976221329E-3</v>
      </c>
      <c r="I595" s="3">
        <f t="shared" si="50"/>
        <v>0</v>
      </c>
      <c r="J595" s="3">
        <f t="shared" si="51"/>
        <v>0</v>
      </c>
      <c r="K595" s="3" t="str">
        <f t="shared" si="52"/>
        <v>Sr93</v>
      </c>
      <c r="L595" s="3" cm="1">
        <f t="array" ref="L595">SUM(($J595*EXP(-$H595*12*3600*_xlfn.SEQUENCE(L$1-1))))+$J595</f>
        <v>0</v>
      </c>
      <c r="M595" s="3"/>
      <c r="N595" s="3"/>
    </row>
    <row r="596" spans="2:14" hidden="1" x14ac:dyDescent="0.2">
      <c r="B596" s="3">
        <v>38094</v>
      </c>
      <c r="C596" s="3">
        <v>0</v>
      </c>
      <c r="D596">
        <v>593</v>
      </c>
      <c r="E596" t="str">
        <f>VLOOKUP(B596,Nuclides!A:F,5,FALSE)</f>
        <v>Sr94</v>
      </c>
      <c r="F596">
        <f>VLOOKUP(B596,Nuclides!A:F,4,FALSE)</f>
        <v>75.3</v>
      </c>
      <c r="G596" s="3" t="str">
        <f t="shared" si="48"/>
        <v>1.26min</v>
      </c>
      <c r="H596" s="3">
        <f t="shared" si="49"/>
        <v>9.2051418401055147E-3</v>
      </c>
      <c r="I596" s="3">
        <f t="shared" si="50"/>
        <v>0</v>
      </c>
      <c r="J596" s="3">
        <f t="shared" si="51"/>
        <v>0</v>
      </c>
      <c r="K596" s="3" t="str">
        <f t="shared" si="52"/>
        <v>Sr94</v>
      </c>
      <c r="L596" s="3" cm="1">
        <f t="array" ref="L596">SUM(($J596*EXP(-$H596*12*3600*_xlfn.SEQUENCE(L$1-1))))+$J596</f>
        <v>0</v>
      </c>
      <c r="M596" s="3"/>
      <c r="N596" s="3"/>
    </row>
    <row r="597" spans="2:14" hidden="1" x14ac:dyDescent="0.2">
      <c r="B597" s="3">
        <v>38095</v>
      </c>
      <c r="C597" s="3">
        <v>0</v>
      </c>
      <c r="D597">
        <v>594</v>
      </c>
      <c r="E597" t="str">
        <f>VLOOKUP(B597,Nuclides!A:F,5,FALSE)</f>
        <v>Sr95</v>
      </c>
      <c r="F597">
        <f>VLOOKUP(B597,Nuclides!A:F,4,FALSE)</f>
        <v>23.9</v>
      </c>
      <c r="G597" s="3" t="str">
        <f t="shared" si="48"/>
        <v>23.9s</v>
      </c>
      <c r="H597" s="3">
        <f t="shared" si="49"/>
        <v>2.9001974082006082E-2</v>
      </c>
      <c r="I597" s="3">
        <f t="shared" si="50"/>
        <v>0</v>
      </c>
      <c r="J597" s="3">
        <f t="shared" si="51"/>
        <v>0</v>
      </c>
      <c r="K597" s="3" t="str">
        <f t="shared" si="52"/>
        <v>Sr95</v>
      </c>
      <c r="L597" s="3" cm="1">
        <f t="array" ref="L597">SUM(($J597*EXP(-$H597*12*3600*_xlfn.SEQUENCE(L$1-1))))+$J597</f>
        <v>0</v>
      </c>
      <c r="M597" s="3"/>
      <c r="N597" s="3"/>
    </row>
    <row r="598" spans="2:14" hidden="1" x14ac:dyDescent="0.2">
      <c r="B598" s="3">
        <v>38096</v>
      </c>
      <c r="C598" s="3">
        <v>0</v>
      </c>
      <c r="D598">
        <v>595</v>
      </c>
      <c r="E598" t="str">
        <f>VLOOKUP(B598,Nuclides!A:F,5,FALSE)</f>
        <v>Sr96</v>
      </c>
      <c r="F598">
        <f>VLOOKUP(B598,Nuclides!A:F,4,FALSE)</f>
        <v>1.07</v>
      </c>
      <c r="G598" s="3" t="str">
        <f t="shared" si="48"/>
        <v>1.07s</v>
      </c>
      <c r="H598" s="3">
        <f t="shared" si="49"/>
        <v>0.64780110332705165</v>
      </c>
      <c r="I598" s="3">
        <f t="shared" si="50"/>
        <v>0</v>
      </c>
      <c r="J598" s="3">
        <f t="shared" si="51"/>
        <v>0</v>
      </c>
      <c r="K598" s="3" t="str">
        <f t="shared" si="52"/>
        <v>Sr96</v>
      </c>
      <c r="L598" s="3" cm="1">
        <f t="array" ref="L598">SUM(($J598*EXP(-$H598*12*3600*_xlfn.SEQUENCE(L$1-1))))+$J598</f>
        <v>0</v>
      </c>
      <c r="M598" s="3"/>
      <c r="N598" s="3"/>
    </row>
    <row r="599" spans="2:14" hidden="1" x14ac:dyDescent="0.2">
      <c r="B599" s="3">
        <v>38097</v>
      </c>
      <c r="C599" s="3">
        <v>0</v>
      </c>
      <c r="D599">
        <v>596</v>
      </c>
      <c r="E599" t="str">
        <f>VLOOKUP(B599,Nuclides!A:F,5,FALSE)</f>
        <v>Sr97</v>
      </c>
      <c r="F599">
        <f>VLOOKUP(B599,Nuclides!A:F,4,FALSE)</f>
        <v>0.42899999999999999</v>
      </c>
      <c r="G599" s="3" t="str">
        <f t="shared" si="48"/>
        <v>0.429s</v>
      </c>
      <c r="H599" s="3">
        <f t="shared" si="49"/>
        <v>1.6157276936129261</v>
      </c>
      <c r="I599" s="3">
        <f t="shared" si="50"/>
        <v>0</v>
      </c>
      <c r="J599" s="3">
        <f t="shared" si="51"/>
        <v>0</v>
      </c>
      <c r="K599" s="3" t="str">
        <f t="shared" si="52"/>
        <v>Sr97</v>
      </c>
      <c r="L599" s="3" cm="1">
        <f t="array" ref="L599">SUM(($J599*EXP(-$H599*12*3600*_xlfn.SEQUENCE(L$1-1))))+$J599</f>
        <v>0</v>
      </c>
      <c r="M599" s="3"/>
      <c r="N599" s="3"/>
    </row>
    <row r="600" spans="2:14" hidden="1" x14ac:dyDescent="0.2">
      <c r="B600" s="3">
        <v>38098</v>
      </c>
      <c r="C600" s="3">
        <v>0</v>
      </c>
      <c r="D600">
        <v>597</v>
      </c>
      <c r="E600" t="str">
        <f>VLOOKUP(B600,Nuclides!A:F,5,FALSE)</f>
        <v>Sr98</v>
      </c>
      <c r="F600">
        <f>VLOOKUP(B600,Nuclides!A:F,4,FALSE)</f>
        <v>0.65300000000000002</v>
      </c>
      <c r="G600" s="3" t="str">
        <f t="shared" si="48"/>
        <v>0.653s</v>
      </c>
      <c r="H600" s="3">
        <f t="shared" si="49"/>
        <v>1.0614811340887369</v>
      </c>
      <c r="I600" s="3">
        <f t="shared" si="50"/>
        <v>0</v>
      </c>
      <c r="J600" s="3">
        <f t="shared" si="51"/>
        <v>0</v>
      </c>
      <c r="K600" s="3" t="str">
        <f t="shared" si="52"/>
        <v>Sr98</v>
      </c>
      <c r="L600" s="3" cm="1">
        <f t="array" ref="L600">SUM(($J600*EXP(-$H600*12*3600*_xlfn.SEQUENCE(L$1-1))))+$J600</f>
        <v>0</v>
      </c>
      <c r="M600" s="3"/>
      <c r="N600" s="3"/>
    </row>
    <row r="601" spans="2:14" hidden="1" x14ac:dyDescent="0.2">
      <c r="B601" s="3">
        <v>38099</v>
      </c>
      <c r="C601" s="3">
        <v>0</v>
      </c>
      <c r="D601">
        <v>598</v>
      </c>
      <c r="E601" t="str">
        <f>VLOOKUP(B601,Nuclides!A:F,5,FALSE)</f>
        <v>Sr99</v>
      </c>
      <c r="F601">
        <f>VLOOKUP(B601,Nuclides!A:F,4,FALSE)</f>
        <v>0.26900000000000002</v>
      </c>
      <c r="G601" s="3" t="str">
        <f t="shared" si="48"/>
        <v>0.269s</v>
      </c>
      <c r="H601" s="3">
        <f t="shared" si="49"/>
        <v>2.5767553180667111</v>
      </c>
      <c r="I601" s="3">
        <f t="shared" si="50"/>
        <v>0</v>
      </c>
      <c r="J601" s="3">
        <f t="shared" si="51"/>
        <v>0</v>
      </c>
      <c r="K601" s="3" t="str">
        <f t="shared" si="52"/>
        <v>Sr99</v>
      </c>
      <c r="L601" s="3" cm="1">
        <f t="array" ref="L601">SUM(($J601*EXP(-$H601*12*3600*_xlfn.SEQUENCE(L$1-1))))+$J601</f>
        <v>0</v>
      </c>
      <c r="M601" s="3"/>
      <c r="N601" s="3"/>
    </row>
    <row r="602" spans="2:14" hidden="1" x14ac:dyDescent="0.2">
      <c r="B602" s="3">
        <v>38100</v>
      </c>
      <c r="C602" s="3">
        <v>0</v>
      </c>
      <c r="D602">
        <v>599</v>
      </c>
      <c r="E602" t="str">
        <f>VLOOKUP(B602,Nuclides!A:F,5,FALSE)</f>
        <v>Sr100</v>
      </c>
      <c r="F602">
        <f>VLOOKUP(B602,Nuclides!A:F,4,FALSE)</f>
        <v>0.20200000000000001</v>
      </c>
      <c r="G602" s="3" t="str">
        <f t="shared" si="48"/>
        <v>0.202s</v>
      </c>
      <c r="H602" s="3">
        <f t="shared" si="49"/>
        <v>3.431421685940323</v>
      </c>
      <c r="I602" s="3">
        <f t="shared" si="50"/>
        <v>0</v>
      </c>
      <c r="J602" s="3">
        <f t="shared" si="51"/>
        <v>0</v>
      </c>
      <c r="K602" s="3" t="str">
        <f t="shared" si="52"/>
        <v>Sr100</v>
      </c>
      <c r="L602" s="3" cm="1">
        <f t="array" ref="L602">SUM(($J602*EXP(-$H602*12*3600*_xlfn.SEQUENCE(L$1-1))))+$J602</f>
        <v>0</v>
      </c>
      <c r="M602" s="3"/>
      <c r="N602" s="3"/>
    </row>
    <row r="603" spans="2:14" hidden="1" x14ac:dyDescent="0.2">
      <c r="B603" s="3">
        <v>39080</v>
      </c>
      <c r="C603" s="3">
        <v>0</v>
      </c>
      <c r="D603">
        <v>600</v>
      </c>
      <c r="E603" t="str">
        <f>VLOOKUP(B603,Nuclides!A:F,5,FALSE)</f>
        <v>Y80</v>
      </c>
      <c r="F603">
        <f>VLOOKUP(B603,Nuclides!A:F,4,FALSE)</f>
        <v>30.1</v>
      </c>
      <c r="G603" s="3" t="str">
        <f t="shared" si="48"/>
        <v>30.1s</v>
      </c>
      <c r="H603" s="3">
        <f t="shared" si="49"/>
        <v>2.3028145533552997E-2</v>
      </c>
      <c r="I603" s="3">
        <f t="shared" si="50"/>
        <v>0</v>
      </c>
      <c r="J603" s="3">
        <f t="shared" si="51"/>
        <v>0</v>
      </c>
      <c r="K603" s="3" t="str">
        <f t="shared" si="52"/>
        <v>Y80</v>
      </c>
      <c r="L603" s="3" cm="1">
        <f t="array" ref="L603">SUM(($J603*EXP(-$H603*12*3600*_xlfn.SEQUENCE(L$1-1))))+$J603</f>
        <v>0</v>
      </c>
      <c r="M603" s="3"/>
      <c r="N603" s="3"/>
    </row>
    <row r="604" spans="2:14" hidden="1" x14ac:dyDescent="0.2">
      <c r="B604" s="3">
        <v>39081</v>
      </c>
      <c r="C604" s="3">
        <v>0</v>
      </c>
      <c r="D604">
        <v>601</v>
      </c>
      <c r="E604" t="str">
        <f>VLOOKUP(B604,Nuclides!A:F,5,FALSE)</f>
        <v>Y81</v>
      </c>
      <c r="F604">
        <f>VLOOKUP(B604,Nuclides!A:F,4,FALSE)</f>
        <v>70.400000000000006</v>
      </c>
      <c r="G604" s="3" t="str">
        <f t="shared" si="48"/>
        <v>1.17min</v>
      </c>
      <c r="H604" s="3">
        <f t="shared" si="49"/>
        <v>9.8458406329537673E-3</v>
      </c>
      <c r="I604" s="3">
        <f t="shared" si="50"/>
        <v>0</v>
      </c>
      <c r="J604" s="3">
        <f t="shared" si="51"/>
        <v>0</v>
      </c>
      <c r="K604" s="3" t="str">
        <f t="shared" si="52"/>
        <v>Y81</v>
      </c>
      <c r="L604" s="3" cm="1">
        <f t="array" ref="L604">SUM(($J604*EXP(-$H604*12*3600*_xlfn.SEQUENCE(L$1-1))))+$J604</f>
        <v>0</v>
      </c>
      <c r="M604" s="3"/>
      <c r="N604" s="3"/>
    </row>
    <row r="605" spans="2:14" hidden="1" x14ac:dyDescent="0.2">
      <c r="B605" s="3">
        <v>39082</v>
      </c>
      <c r="C605" s="3">
        <v>0</v>
      </c>
      <c r="D605">
        <v>602</v>
      </c>
      <c r="E605" t="str">
        <f>VLOOKUP(B605,Nuclides!A:F,5,FALSE)</f>
        <v>Y82</v>
      </c>
      <c r="F605">
        <f>VLOOKUP(B605,Nuclides!A:F,4,FALSE)</f>
        <v>8.3000000000000007</v>
      </c>
      <c r="G605" s="3" t="str">
        <f t="shared" si="48"/>
        <v>8.3s</v>
      </c>
      <c r="H605" s="3">
        <f t="shared" si="49"/>
        <v>8.3511708501198226E-2</v>
      </c>
      <c r="I605" s="3">
        <f t="shared" si="50"/>
        <v>0</v>
      </c>
      <c r="J605" s="3">
        <f t="shared" si="51"/>
        <v>0</v>
      </c>
      <c r="K605" s="3" t="str">
        <f t="shared" si="52"/>
        <v>Y82</v>
      </c>
      <c r="L605" s="3" cm="1">
        <f t="array" ref="L605">SUM(($J605*EXP(-$H605*12*3600*_xlfn.SEQUENCE(L$1-1))))+$J605</f>
        <v>0</v>
      </c>
      <c r="M605" s="3"/>
      <c r="N605" s="3"/>
    </row>
    <row r="606" spans="2:14" hidden="1" x14ac:dyDescent="0.2">
      <c r="B606" s="3">
        <v>39083</v>
      </c>
      <c r="C606" s="3">
        <v>0</v>
      </c>
      <c r="D606">
        <v>603</v>
      </c>
      <c r="E606" t="str">
        <f>VLOOKUP(B606,Nuclides!A:F,5,FALSE)</f>
        <v>Y83</v>
      </c>
      <c r="F606">
        <f>VLOOKUP(B606,Nuclides!A:F,4,FALSE)</f>
        <v>424.8</v>
      </c>
      <c r="G606" s="3" t="str">
        <f t="shared" si="48"/>
        <v>7.08min</v>
      </c>
      <c r="H606" s="3">
        <f t="shared" si="49"/>
        <v>1.6317024024480821E-3</v>
      </c>
      <c r="I606" s="3">
        <f t="shared" si="50"/>
        <v>0</v>
      </c>
      <c r="J606" s="3">
        <f t="shared" si="51"/>
        <v>0</v>
      </c>
      <c r="K606" s="3" t="str">
        <f t="shared" si="52"/>
        <v>Y83</v>
      </c>
      <c r="L606" s="3" cm="1">
        <f t="array" ref="L606">SUM(($J606*EXP(-$H606*12*3600*_xlfn.SEQUENCE(L$1-1))))+$J606</f>
        <v>0</v>
      </c>
      <c r="M606" s="3"/>
      <c r="N606" s="3"/>
    </row>
    <row r="607" spans="2:14" hidden="1" x14ac:dyDescent="0.2">
      <c r="B607" s="3">
        <v>39084</v>
      </c>
      <c r="C607" s="3">
        <v>0</v>
      </c>
      <c r="D607">
        <v>604</v>
      </c>
      <c r="E607" t="str">
        <f>VLOOKUP(B607,Nuclides!A:F,5,FALSE)</f>
        <v>Y84</v>
      </c>
      <c r="F607">
        <f>VLOOKUP(B607,Nuclides!A:F,4,FALSE)</f>
        <v>2370</v>
      </c>
      <c r="G607" s="3" t="str">
        <f t="shared" si="48"/>
        <v>39.5min</v>
      </c>
      <c r="H607" s="3">
        <f t="shared" si="49"/>
        <v>2.9246716479322586E-4</v>
      </c>
      <c r="I607" s="3">
        <f t="shared" si="50"/>
        <v>0</v>
      </c>
      <c r="J607" s="3">
        <f t="shared" si="51"/>
        <v>0</v>
      </c>
      <c r="K607" s="3" t="str">
        <f t="shared" si="52"/>
        <v>Y84</v>
      </c>
      <c r="L607" s="3" cm="1">
        <f t="array" ref="L607">SUM(($J607*EXP(-$H607*12*3600*_xlfn.SEQUENCE(L$1-1))))+$J607</f>
        <v>0</v>
      </c>
      <c r="M607" s="3"/>
      <c r="N607" s="3"/>
    </row>
    <row r="608" spans="2:14" hidden="1" x14ac:dyDescent="0.2">
      <c r="B608" s="3">
        <v>39085</v>
      </c>
      <c r="C608" s="3">
        <v>0</v>
      </c>
      <c r="D608">
        <v>605</v>
      </c>
      <c r="E608" t="str">
        <f>VLOOKUP(B608,Nuclides!A:F,5,FALSE)</f>
        <v>Y85</v>
      </c>
      <c r="F608">
        <f>VLOOKUP(B608,Nuclides!A:F,4,FALSE)</f>
        <v>9648</v>
      </c>
      <c r="G608" s="3" t="str">
        <f t="shared" si="48"/>
        <v>2.68h</v>
      </c>
      <c r="H608" s="3">
        <f t="shared" si="49"/>
        <v>7.184361324211705E-5</v>
      </c>
      <c r="I608" s="3">
        <f t="shared" si="50"/>
        <v>0</v>
      </c>
      <c r="J608" s="3">
        <f t="shared" si="51"/>
        <v>0</v>
      </c>
      <c r="K608" s="3" t="str">
        <f t="shared" si="52"/>
        <v>Y85</v>
      </c>
      <c r="L608" s="3" cm="1">
        <f t="array" ref="L608">SUM(($J608*EXP(-$H608*12*3600*_xlfn.SEQUENCE(L$1-1))))+$J608</f>
        <v>0</v>
      </c>
      <c r="M608" s="3"/>
      <c r="N608" s="3"/>
    </row>
    <row r="609" spans="2:14" hidden="1" x14ac:dyDescent="0.2">
      <c r="B609" s="3">
        <v>39086</v>
      </c>
      <c r="C609" s="3">
        <v>0</v>
      </c>
      <c r="D609">
        <v>606</v>
      </c>
      <c r="E609" t="str">
        <f>VLOOKUP(B609,Nuclides!A:F,5,FALSE)</f>
        <v>Y86</v>
      </c>
      <c r="F609">
        <f>VLOOKUP(B609,Nuclides!A:F,4,FALSE)</f>
        <v>53064</v>
      </c>
      <c r="G609" s="3" t="str">
        <f t="shared" si="48"/>
        <v>14.74h</v>
      </c>
      <c r="H609" s="3">
        <f t="shared" si="49"/>
        <v>1.3062475134930372E-5</v>
      </c>
      <c r="I609" s="3">
        <f t="shared" si="50"/>
        <v>0</v>
      </c>
      <c r="J609" s="3">
        <f t="shared" si="51"/>
        <v>0</v>
      </c>
      <c r="K609" s="3" t="str">
        <f t="shared" si="52"/>
        <v>Y86</v>
      </c>
      <c r="L609" s="3" cm="1">
        <f t="array" ref="L609">SUM(($J609*EXP(-$H609*12*3600*_xlfn.SEQUENCE(L$1-1))))+$J609</f>
        <v>0</v>
      </c>
      <c r="M609" s="3"/>
      <c r="N609" s="3"/>
    </row>
    <row r="610" spans="2:14" hidden="1" x14ac:dyDescent="0.2">
      <c r="B610" s="3">
        <v>39087</v>
      </c>
      <c r="C610" s="3">
        <v>0</v>
      </c>
      <c r="D610">
        <v>607</v>
      </c>
      <c r="E610" t="str">
        <f>VLOOKUP(B610,Nuclides!A:F,5,FALSE)</f>
        <v>Y87</v>
      </c>
      <c r="F610">
        <f>VLOOKUP(B610,Nuclides!A:F,4,FALSE)</f>
        <v>287280</v>
      </c>
      <c r="G610" s="3" t="str">
        <f t="shared" si="48"/>
        <v>3.33d</v>
      </c>
      <c r="H610" s="3">
        <f t="shared" si="49"/>
        <v>2.4127930261763619E-6</v>
      </c>
      <c r="I610" s="3">
        <f t="shared" si="50"/>
        <v>0</v>
      </c>
      <c r="J610" s="3">
        <f t="shared" si="51"/>
        <v>0</v>
      </c>
      <c r="K610" s="3" t="str">
        <f t="shared" si="52"/>
        <v>Y87</v>
      </c>
      <c r="L610" s="3" cm="1">
        <f t="array" ref="L610">SUM(($J610*EXP(-$H610*12*3600*_xlfn.SEQUENCE(L$1-1))))+$J610</f>
        <v>0</v>
      </c>
      <c r="M610" s="3"/>
      <c r="N610" s="3"/>
    </row>
    <row r="611" spans="2:14" hidden="1" x14ac:dyDescent="0.2">
      <c r="B611" s="3">
        <v>39088</v>
      </c>
      <c r="C611" s="3">
        <v>0</v>
      </c>
      <c r="D611">
        <v>608</v>
      </c>
      <c r="E611" t="str">
        <f>VLOOKUP(B611,Nuclides!A:F,5,FALSE)</f>
        <v>Y88</v>
      </c>
      <c r="F611">
        <f>VLOOKUP(B611,Nuclides!A:F,4,FALSE)</f>
        <v>9212486.4000000004</v>
      </c>
      <c r="G611" s="3" t="str">
        <f t="shared" si="48"/>
        <v>106.63d</v>
      </c>
      <c r="H611" s="3">
        <f t="shared" si="49"/>
        <v>7.5239967850584322E-8</v>
      </c>
      <c r="I611" s="3">
        <f t="shared" si="50"/>
        <v>0</v>
      </c>
      <c r="J611" s="3">
        <f t="shared" si="51"/>
        <v>0</v>
      </c>
      <c r="K611" s="3" t="str">
        <f t="shared" si="52"/>
        <v>Y88</v>
      </c>
      <c r="L611" s="3" cm="1">
        <f t="array" ref="L611">SUM(($J611*EXP(-$H611*12*3600*_xlfn.SEQUENCE(L$1-1))))+$J611</f>
        <v>0</v>
      </c>
      <c r="M611" s="3"/>
      <c r="N611" s="3"/>
    </row>
    <row r="612" spans="2:14" hidden="1" x14ac:dyDescent="0.2">
      <c r="B612" s="3">
        <v>39089</v>
      </c>
      <c r="C612" s="3">
        <v>0</v>
      </c>
      <c r="D612">
        <v>609</v>
      </c>
      <c r="E612" t="str">
        <f>VLOOKUP(B612,Nuclides!A:F,5,FALSE)</f>
        <v>Y89</v>
      </c>
      <c r="F612" t="str">
        <f>VLOOKUP(B612,Nuclides!A:F,4,FALSE)</f>
        <v>STABLE</v>
      </c>
      <c r="G612" s="3" t="str">
        <f t="shared" si="48"/>
        <v>STABLE</v>
      </c>
      <c r="H612" s="3" t="e">
        <f t="shared" si="49"/>
        <v>#VALUE!</v>
      </c>
      <c r="I612" s="3" t="e">
        <f t="shared" si="50"/>
        <v>#VALUE!</v>
      </c>
      <c r="J612" s="3" t="e">
        <f t="shared" si="51"/>
        <v>#VALUE!</v>
      </c>
      <c r="K612" s="3" t="str">
        <f t="shared" si="52"/>
        <v>Y89</v>
      </c>
      <c r="L612" s="3" t="e" cm="1">
        <f t="array" ref="L612">SUM(($J612*EXP(-$H612*12*3600*_xlfn.SEQUENCE(L$1-1))))+$J612</f>
        <v>#VALUE!</v>
      </c>
      <c r="M612" s="3"/>
      <c r="N612" s="3"/>
    </row>
    <row r="613" spans="2:14" hidden="1" x14ac:dyDescent="0.2">
      <c r="B613" s="3">
        <v>39090</v>
      </c>
      <c r="C613" s="3">
        <v>0</v>
      </c>
      <c r="D613">
        <v>610</v>
      </c>
      <c r="E613" t="str">
        <f>VLOOKUP(B613,Nuclides!A:F,5,FALSE)</f>
        <v>Y90</v>
      </c>
      <c r="F613">
        <f>VLOOKUP(B613,Nuclides!A:F,4,FALSE)</f>
        <v>230590.8</v>
      </c>
      <c r="G613" s="3" t="str">
        <f t="shared" si="48"/>
        <v>2.67d</v>
      </c>
      <c r="H613" s="3">
        <f t="shared" si="49"/>
        <v>3.0059619922388289E-6</v>
      </c>
      <c r="I613" s="3">
        <f t="shared" si="50"/>
        <v>0</v>
      </c>
      <c r="J613" s="3">
        <f t="shared" si="51"/>
        <v>0</v>
      </c>
      <c r="K613" s="3" t="str">
        <f t="shared" si="52"/>
        <v>Y90</v>
      </c>
      <c r="L613" s="3" cm="1">
        <f t="array" ref="L613">SUM(($J613*EXP(-$H613*12*3600*_xlfn.SEQUENCE(L$1-1))))+$J613</f>
        <v>0</v>
      </c>
      <c r="M613" s="3"/>
      <c r="N613" s="3"/>
    </row>
    <row r="614" spans="2:14" hidden="1" x14ac:dyDescent="0.2">
      <c r="B614" s="3">
        <v>39091</v>
      </c>
      <c r="C614" s="3">
        <v>0</v>
      </c>
      <c r="D614">
        <v>611</v>
      </c>
      <c r="E614" t="str">
        <f>VLOOKUP(B614,Nuclides!A:F,5,FALSE)</f>
        <v>Y91</v>
      </c>
      <c r="F614">
        <f>VLOOKUP(B614,Nuclides!A:F,4,FALSE)</f>
        <v>5055264</v>
      </c>
      <c r="G614" s="3" t="str">
        <f t="shared" si="48"/>
        <v>58.51d</v>
      </c>
      <c r="H614" s="3">
        <f t="shared" si="49"/>
        <v>1.3711394312145624E-7</v>
      </c>
      <c r="I614" s="3">
        <f t="shared" si="50"/>
        <v>0</v>
      </c>
      <c r="J614" s="3">
        <f t="shared" si="51"/>
        <v>0</v>
      </c>
      <c r="K614" s="3" t="str">
        <f t="shared" si="52"/>
        <v>Y91</v>
      </c>
      <c r="L614" s="3" cm="1">
        <f t="array" ref="L614">SUM(($J614*EXP(-$H614*12*3600*_xlfn.SEQUENCE(L$1-1))))+$J614</f>
        <v>0</v>
      </c>
      <c r="M614" s="3"/>
      <c r="N614" s="3"/>
    </row>
    <row r="615" spans="2:14" hidden="1" x14ac:dyDescent="0.2">
      <c r="B615" s="3">
        <v>39092</v>
      </c>
      <c r="C615" s="3">
        <v>0</v>
      </c>
      <c r="D615">
        <v>612</v>
      </c>
      <c r="E615" t="str">
        <f>VLOOKUP(B615,Nuclides!A:F,5,FALSE)</f>
        <v>Y92</v>
      </c>
      <c r="F615">
        <f>VLOOKUP(B615,Nuclides!A:F,4,FALSE)</f>
        <v>12744</v>
      </c>
      <c r="G615" s="3" t="str">
        <f t="shared" si="48"/>
        <v>3.54h</v>
      </c>
      <c r="H615" s="3">
        <f t="shared" si="49"/>
        <v>5.4390080081602739E-5</v>
      </c>
      <c r="I615" s="3">
        <f t="shared" si="50"/>
        <v>0</v>
      </c>
      <c r="J615" s="3">
        <f t="shared" si="51"/>
        <v>0</v>
      </c>
      <c r="K615" s="3" t="str">
        <f t="shared" si="52"/>
        <v>Y92</v>
      </c>
      <c r="L615" s="3" cm="1">
        <f t="array" ref="L615">SUM(($J615*EXP(-$H615*12*3600*_xlfn.SEQUENCE(L$1-1))))+$J615</f>
        <v>0</v>
      </c>
      <c r="M615" s="3"/>
      <c r="N615" s="3"/>
    </row>
    <row r="616" spans="2:14" hidden="1" x14ac:dyDescent="0.2">
      <c r="B616" s="3">
        <v>39093</v>
      </c>
      <c r="C616" s="3">
        <v>0</v>
      </c>
      <c r="D616">
        <v>613</v>
      </c>
      <c r="E616" t="str">
        <f>VLOOKUP(B616,Nuclides!A:F,5,FALSE)</f>
        <v>Y93</v>
      </c>
      <c r="F616">
        <f>VLOOKUP(B616,Nuclides!A:F,4,FALSE)</f>
        <v>36648</v>
      </c>
      <c r="G616" s="3" t="str">
        <f t="shared" si="48"/>
        <v>10.18h</v>
      </c>
      <c r="H616" s="3">
        <f t="shared" si="49"/>
        <v>1.891364277886775E-5</v>
      </c>
      <c r="I616" s="3">
        <f t="shared" si="50"/>
        <v>0</v>
      </c>
      <c r="J616" s="3">
        <f t="shared" si="51"/>
        <v>0</v>
      </c>
      <c r="K616" s="3" t="str">
        <f t="shared" si="52"/>
        <v>Y93</v>
      </c>
      <c r="L616" s="3" cm="1">
        <f t="array" ref="L616">SUM(($J616*EXP(-$H616*12*3600*_xlfn.SEQUENCE(L$1-1))))+$J616</f>
        <v>0</v>
      </c>
      <c r="M616" s="3"/>
      <c r="N616" s="3"/>
    </row>
    <row r="617" spans="2:14" hidden="1" x14ac:dyDescent="0.2">
      <c r="B617" s="3">
        <v>39094</v>
      </c>
      <c r="C617" s="3">
        <v>0</v>
      </c>
      <c r="D617">
        <v>614</v>
      </c>
      <c r="E617" t="str">
        <f>VLOOKUP(B617,Nuclides!A:F,5,FALSE)</f>
        <v>Y94</v>
      </c>
      <c r="F617">
        <f>VLOOKUP(B617,Nuclides!A:F,4,FALSE)</f>
        <v>1122</v>
      </c>
      <c r="G617" s="3" t="str">
        <f t="shared" si="48"/>
        <v>18.7min</v>
      </c>
      <c r="H617" s="3">
        <f t="shared" si="49"/>
        <v>6.1777823579317766E-4</v>
      </c>
      <c r="I617" s="3">
        <f t="shared" si="50"/>
        <v>0</v>
      </c>
      <c r="J617" s="3">
        <f t="shared" si="51"/>
        <v>0</v>
      </c>
      <c r="K617" s="3" t="str">
        <f t="shared" si="52"/>
        <v>Y94</v>
      </c>
      <c r="L617" s="3" cm="1">
        <f t="array" ref="L617">SUM(($J617*EXP(-$H617*12*3600*_xlfn.SEQUENCE(L$1-1))))+$J617</f>
        <v>0</v>
      </c>
      <c r="M617" s="3"/>
      <c r="N617" s="3"/>
    </row>
    <row r="618" spans="2:14" hidden="1" x14ac:dyDescent="0.2">
      <c r="B618" s="3">
        <v>39095</v>
      </c>
      <c r="C618" s="3">
        <v>0</v>
      </c>
      <c r="D618">
        <v>615</v>
      </c>
      <c r="E618" t="str">
        <f>VLOOKUP(B618,Nuclides!A:F,5,FALSE)</f>
        <v>Y95</v>
      </c>
      <c r="F618">
        <f>VLOOKUP(B618,Nuclides!A:F,4,FALSE)</f>
        <v>618</v>
      </c>
      <c r="G618" s="3" t="str">
        <f t="shared" si="48"/>
        <v>10.3min</v>
      </c>
      <c r="H618" s="3">
        <f t="shared" si="49"/>
        <v>1.1215973795468371E-3</v>
      </c>
      <c r="I618" s="3">
        <f t="shared" si="50"/>
        <v>0</v>
      </c>
      <c r="J618" s="3">
        <f t="shared" si="51"/>
        <v>0</v>
      </c>
      <c r="K618" s="3" t="str">
        <f t="shared" si="52"/>
        <v>Y95</v>
      </c>
      <c r="L618" s="3" cm="1">
        <f t="array" ref="L618">SUM(($J618*EXP(-$H618*12*3600*_xlfn.SEQUENCE(L$1-1))))+$J618</f>
        <v>0</v>
      </c>
      <c r="M618" s="3"/>
      <c r="N618" s="3"/>
    </row>
    <row r="619" spans="2:14" hidden="1" x14ac:dyDescent="0.2">
      <c r="B619" s="3">
        <v>39096</v>
      </c>
      <c r="C619" s="3">
        <v>0</v>
      </c>
      <c r="D619">
        <v>616</v>
      </c>
      <c r="E619" t="str">
        <f>VLOOKUP(B619,Nuclides!A:F,5,FALSE)</f>
        <v>Y96</v>
      </c>
      <c r="F619">
        <f>VLOOKUP(B619,Nuclides!A:F,4,FALSE)</f>
        <v>5.34</v>
      </c>
      <c r="G619" s="3" t="str">
        <f t="shared" si="48"/>
        <v>5.34s</v>
      </c>
      <c r="H619" s="3">
        <f t="shared" si="49"/>
        <v>0.12980284280148788</v>
      </c>
      <c r="I619" s="3">
        <f t="shared" si="50"/>
        <v>0</v>
      </c>
      <c r="J619" s="3">
        <f t="shared" si="51"/>
        <v>0</v>
      </c>
      <c r="K619" s="3" t="str">
        <f t="shared" si="52"/>
        <v>Y96</v>
      </c>
      <c r="L619" s="3" cm="1">
        <f t="array" ref="L619">SUM(($J619*EXP(-$H619*12*3600*_xlfn.SEQUENCE(L$1-1))))+$J619</f>
        <v>0</v>
      </c>
      <c r="M619" s="3"/>
      <c r="N619" s="3"/>
    </row>
    <row r="620" spans="2:14" hidden="1" x14ac:dyDescent="0.2">
      <c r="B620" s="3">
        <v>39097</v>
      </c>
      <c r="C620" s="3">
        <v>0</v>
      </c>
      <c r="D620">
        <v>617</v>
      </c>
      <c r="E620" t="str">
        <f>VLOOKUP(B620,Nuclides!A:F,5,FALSE)</f>
        <v>Y97</v>
      </c>
      <c r="F620">
        <f>VLOOKUP(B620,Nuclides!A:F,4,FALSE)</f>
        <v>3.75</v>
      </c>
      <c r="G620" s="3" t="str">
        <f t="shared" si="48"/>
        <v>3.75s</v>
      </c>
      <c r="H620" s="3">
        <f t="shared" si="49"/>
        <v>0.18483924814931874</v>
      </c>
      <c r="I620" s="3">
        <f t="shared" si="50"/>
        <v>0</v>
      </c>
      <c r="J620" s="3">
        <f t="shared" si="51"/>
        <v>0</v>
      </c>
      <c r="K620" s="3" t="str">
        <f t="shared" si="52"/>
        <v>Y97</v>
      </c>
      <c r="L620" s="3" cm="1">
        <f t="array" ref="L620">SUM(($J620*EXP(-$H620*12*3600*_xlfn.SEQUENCE(L$1-1))))+$J620</f>
        <v>0</v>
      </c>
      <c r="M620" s="3"/>
      <c r="N620" s="3"/>
    </row>
    <row r="621" spans="2:14" hidden="1" x14ac:dyDescent="0.2">
      <c r="B621" s="3">
        <v>39098</v>
      </c>
      <c r="C621" s="3">
        <v>0</v>
      </c>
      <c r="D621">
        <v>618</v>
      </c>
      <c r="E621" t="str">
        <f>VLOOKUP(B621,Nuclides!A:F,5,FALSE)</f>
        <v>Y98</v>
      </c>
      <c r="F621">
        <f>VLOOKUP(B621,Nuclides!A:F,4,FALSE)</f>
        <v>0.54800000000000004</v>
      </c>
      <c r="G621" s="3" t="str">
        <f t="shared" si="48"/>
        <v>0.548s</v>
      </c>
      <c r="H621" s="3">
        <f t="shared" si="49"/>
        <v>1.264867117810119</v>
      </c>
      <c r="I621" s="3">
        <f t="shared" si="50"/>
        <v>0</v>
      </c>
      <c r="J621" s="3">
        <f t="shared" si="51"/>
        <v>0</v>
      </c>
      <c r="K621" s="3" t="str">
        <f t="shared" si="52"/>
        <v>Y98</v>
      </c>
      <c r="L621" s="3" cm="1">
        <f t="array" ref="L621">SUM(($J621*EXP(-$H621*12*3600*_xlfn.SEQUENCE(L$1-1))))+$J621</f>
        <v>0</v>
      </c>
      <c r="M621" s="3"/>
      <c r="N621" s="3"/>
    </row>
    <row r="622" spans="2:14" hidden="1" x14ac:dyDescent="0.2">
      <c r="B622" s="3">
        <v>39099</v>
      </c>
      <c r="C622" s="3">
        <v>0</v>
      </c>
      <c r="D622">
        <v>619</v>
      </c>
      <c r="E622" t="str">
        <f>VLOOKUP(B622,Nuclides!A:F,5,FALSE)</f>
        <v>Y99</v>
      </c>
      <c r="F622">
        <f>VLOOKUP(B622,Nuclides!A:F,4,FALSE)</f>
        <v>1.484</v>
      </c>
      <c r="G622" s="3" t="str">
        <f t="shared" si="48"/>
        <v>1.484s</v>
      </c>
      <c r="H622" s="3">
        <f t="shared" si="49"/>
        <v>0.46708031035036746</v>
      </c>
      <c r="I622" s="3">
        <f t="shared" si="50"/>
        <v>0</v>
      </c>
      <c r="J622" s="3">
        <f t="shared" si="51"/>
        <v>0</v>
      </c>
      <c r="K622" s="3" t="str">
        <f t="shared" si="52"/>
        <v>Y99</v>
      </c>
      <c r="L622" s="3" cm="1">
        <f t="array" ref="L622">SUM(($J622*EXP(-$H622*12*3600*_xlfn.SEQUENCE(L$1-1))))+$J622</f>
        <v>0</v>
      </c>
      <c r="M622" s="3"/>
      <c r="N622" s="3"/>
    </row>
    <row r="623" spans="2:14" hidden="1" x14ac:dyDescent="0.2">
      <c r="B623" s="3">
        <v>39100</v>
      </c>
      <c r="C623" s="3">
        <v>0</v>
      </c>
      <c r="D623">
        <v>620</v>
      </c>
      <c r="E623" t="str">
        <f>VLOOKUP(B623,Nuclides!A:F,5,FALSE)</f>
        <v>Y100</v>
      </c>
      <c r="F623">
        <f>VLOOKUP(B623,Nuclides!A:F,4,FALSE)</f>
        <v>0.73499999999999999</v>
      </c>
      <c r="G623" s="3" t="str">
        <f t="shared" si="48"/>
        <v>0.735s</v>
      </c>
      <c r="H623" s="3">
        <f t="shared" si="49"/>
        <v>0.94305738851693233</v>
      </c>
      <c r="I623" s="3">
        <f t="shared" si="50"/>
        <v>0</v>
      </c>
      <c r="J623" s="3">
        <f t="shared" si="51"/>
        <v>0</v>
      </c>
      <c r="K623" s="3" t="str">
        <f t="shared" si="52"/>
        <v>Y100</v>
      </c>
      <c r="L623" s="3" cm="1">
        <f t="array" ref="L623">SUM(($J623*EXP(-$H623*12*3600*_xlfn.SEQUENCE(L$1-1))))+$J623</f>
        <v>0</v>
      </c>
      <c r="M623" s="3"/>
      <c r="N623" s="3"/>
    </row>
    <row r="624" spans="2:14" hidden="1" x14ac:dyDescent="0.2">
      <c r="B624" s="3">
        <v>39101</v>
      </c>
      <c r="C624" s="3">
        <v>0</v>
      </c>
      <c r="D624">
        <v>621</v>
      </c>
      <c r="E624" t="str">
        <f>VLOOKUP(B624,Nuclides!A:F,5,FALSE)</f>
        <v>Y101</v>
      </c>
      <c r="F624">
        <f>VLOOKUP(B624,Nuclides!A:F,4,FALSE)</f>
        <v>0.45</v>
      </c>
      <c r="G624" s="3" t="str">
        <f t="shared" si="48"/>
        <v>0.45s</v>
      </c>
      <c r="H624" s="3">
        <f t="shared" si="49"/>
        <v>1.5403270679109895</v>
      </c>
      <c r="I624" s="3">
        <f t="shared" si="50"/>
        <v>0</v>
      </c>
      <c r="J624" s="3">
        <f t="shared" si="51"/>
        <v>0</v>
      </c>
      <c r="K624" s="3" t="str">
        <f t="shared" si="52"/>
        <v>Y101</v>
      </c>
      <c r="L624" s="3" cm="1">
        <f t="array" ref="L624">SUM(($J624*EXP(-$H624*12*3600*_xlfn.SEQUENCE(L$1-1))))+$J624</f>
        <v>0</v>
      </c>
      <c r="M624" s="3"/>
      <c r="N624" s="3"/>
    </row>
    <row r="625" spans="2:14" hidden="1" x14ac:dyDescent="0.2">
      <c r="B625" s="3">
        <v>39102</v>
      </c>
      <c r="C625" s="3">
        <v>0</v>
      </c>
      <c r="D625">
        <v>622</v>
      </c>
      <c r="E625" t="str">
        <f>VLOOKUP(B625,Nuclides!A:F,5,FALSE)</f>
        <v>Y102</v>
      </c>
      <c r="F625">
        <f>VLOOKUP(B625,Nuclides!A:F,4,FALSE)</f>
        <v>0.36</v>
      </c>
      <c r="G625" s="3" t="str">
        <f t="shared" si="48"/>
        <v>0.36s</v>
      </c>
      <c r="H625" s="3">
        <f t="shared" si="49"/>
        <v>1.925408834888737</v>
      </c>
      <c r="I625" s="3">
        <f t="shared" si="50"/>
        <v>0</v>
      </c>
      <c r="J625" s="3">
        <f t="shared" si="51"/>
        <v>0</v>
      </c>
      <c r="K625" s="3" t="str">
        <f t="shared" si="52"/>
        <v>Y102</v>
      </c>
      <c r="L625" s="3" cm="1">
        <f t="array" ref="L625">SUM(($J625*EXP(-$H625*12*3600*_xlfn.SEQUENCE(L$1-1))))+$J625</f>
        <v>0</v>
      </c>
      <c r="M625" s="3"/>
      <c r="N625" s="3"/>
    </row>
    <row r="626" spans="2:14" hidden="1" x14ac:dyDescent="0.2">
      <c r="B626" s="3">
        <v>40081</v>
      </c>
      <c r="C626" s="3">
        <v>0</v>
      </c>
      <c r="D626">
        <v>623</v>
      </c>
      <c r="E626" t="str">
        <f>VLOOKUP(B626,Nuclides!A:F,5,FALSE)</f>
        <v>Zr81</v>
      </c>
      <c r="F626">
        <f>VLOOKUP(B626,Nuclides!A:F,4,FALSE)</f>
        <v>5.5</v>
      </c>
      <c r="G626" s="3" t="str">
        <f t="shared" si="48"/>
        <v>5.5s</v>
      </c>
      <c r="H626" s="3">
        <f t="shared" si="49"/>
        <v>0.12602676010180824</v>
      </c>
      <c r="I626" s="3">
        <f t="shared" si="50"/>
        <v>0</v>
      </c>
      <c r="J626" s="3">
        <f t="shared" si="51"/>
        <v>0</v>
      </c>
      <c r="K626" s="3" t="str">
        <f t="shared" si="52"/>
        <v>Zr81</v>
      </c>
      <c r="L626" s="3" cm="1">
        <f t="array" ref="L626">SUM(($J626*EXP(-$H626*12*3600*_xlfn.SEQUENCE(L$1-1))))+$J626</f>
        <v>0</v>
      </c>
      <c r="M626" s="3"/>
      <c r="N626" s="3"/>
    </row>
    <row r="627" spans="2:14" hidden="1" x14ac:dyDescent="0.2">
      <c r="B627" s="3">
        <v>40082</v>
      </c>
      <c r="C627" s="3">
        <v>0</v>
      </c>
      <c r="D627">
        <v>624</v>
      </c>
      <c r="E627" t="str">
        <f>VLOOKUP(B627,Nuclides!A:F,5,FALSE)</f>
        <v>Zr82</v>
      </c>
      <c r="F627">
        <f>VLOOKUP(B627,Nuclides!A:F,4,FALSE)</f>
        <v>32</v>
      </c>
      <c r="G627" s="3" t="str">
        <f t="shared" si="48"/>
        <v>32s</v>
      </c>
      <c r="H627" s="3">
        <f t="shared" si="49"/>
        <v>2.166084939249829E-2</v>
      </c>
      <c r="I627" s="3">
        <f t="shared" si="50"/>
        <v>0</v>
      </c>
      <c r="J627" s="3">
        <f t="shared" si="51"/>
        <v>0</v>
      </c>
      <c r="K627" s="3" t="str">
        <f t="shared" si="52"/>
        <v>Zr82</v>
      </c>
      <c r="L627" s="3" cm="1">
        <f t="array" ref="L627">SUM(($J627*EXP(-$H627*12*3600*_xlfn.SEQUENCE(L$1-1))))+$J627</f>
        <v>0</v>
      </c>
      <c r="M627" s="3"/>
      <c r="N627" s="3"/>
    </row>
    <row r="628" spans="2:14" hidden="1" x14ac:dyDescent="0.2">
      <c r="B628" s="3">
        <v>40083</v>
      </c>
      <c r="C628" s="3">
        <v>0</v>
      </c>
      <c r="D628">
        <v>625</v>
      </c>
      <c r="E628" t="str">
        <f>VLOOKUP(B628,Nuclides!A:F,5,FALSE)</f>
        <v>Zr83</v>
      </c>
      <c r="F628">
        <f>VLOOKUP(B628,Nuclides!A:F,4,FALSE)</f>
        <v>42</v>
      </c>
      <c r="G628" s="3" t="str">
        <f t="shared" si="48"/>
        <v>42s</v>
      </c>
      <c r="H628" s="3">
        <f t="shared" si="49"/>
        <v>1.6503504299046318E-2</v>
      </c>
      <c r="I628" s="3">
        <f t="shared" si="50"/>
        <v>0</v>
      </c>
      <c r="J628" s="3">
        <f t="shared" si="51"/>
        <v>0</v>
      </c>
      <c r="K628" s="3" t="str">
        <f t="shared" si="52"/>
        <v>Zr83</v>
      </c>
      <c r="L628" s="3" cm="1">
        <f t="array" ref="L628">SUM(($J628*EXP(-$H628*12*3600*_xlfn.SEQUENCE(L$1-1))))+$J628</f>
        <v>0</v>
      </c>
      <c r="M628" s="3"/>
      <c r="N628" s="3"/>
    </row>
    <row r="629" spans="2:14" hidden="1" x14ac:dyDescent="0.2">
      <c r="B629" s="3">
        <v>40084</v>
      </c>
      <c r="C629" s="3">
        <v>0</v>
      </c>
      <c r="D629">
        <v>626</v>
      </c>
      <c r="E629" t="str">
        <f>VLOOKUP(B629,Nuclides!A:F,5,FALSE)</f>
        <v>Zr84</v>
      </c>
      <c r="F629">
        <f>VLOOKUP(B629,Nuclides!A:F,4,FALSE)</f>
        <v>1548</v>
      </c>
      <c r="G629" s="3" t="str">
        <f t="shared" si="48"/>
        <v>25.8min</v>
      </c>
      <c r="H629" s="3">
        <f t="shared" si="49"/>
        <v>4.4776949648575278E-4</v>
      </c>
      <c r="I629" s="3">
        <f t="shared" si="50"/>
        <v>0</v>
      </c>
      <c r="J629" s="3">
        <f t="shared" si="51"/>
        <v>0</v>
      </c>
      <c r="K629" s="3" t="str">
        <f t="shared" si="52"/>
        <v>Zr84</v>
      </c>
      <c r="L629" s="3" cm="1">
        <f t="array" ref="L629">SUM(($J629*EXP(-$H629*12*3600*_xlfn.SEQUENCE(L$1-1))))+$J629</f>
        <v>0</v>
      </c>
      <c r="M629" s="3"/>
      <c r="N629" s="3"/>
    </row>
    <row r="630" spans="2:14" hidden="1" x14ac:dyDescent="0.2">
      <c r="B630" s="3">
        <v>40085</v>
      </c>
      <c r="C630" s="3">
        <v>0</v>
      </c>
      <c r="D630">
        <v>627</v>
      </c>
      <c r="E630" t="str">
        <f>VLOOKUP(B630,Nuclides!A:F,5,FALSE)</f>
        <v>Zr85</v>
      </c>
      <c r="F630">
        <f>VLOOKUP(B630,Nuclides!A:F,4,FALSE)</f>
        <v>471.6</v>
      </c>
      <c r="G630" s="3" t="str">
        <f t="shared" si="48"/>
        <v>7.86min</v>
      </c>
      <c r="H630" s="3">
        <f t="shared" si="49"/>
        <v>1.4697777365562876E-3</v>
      </c>
      <c r="I630" s="3">
        <f t="shared" si="50"/>
        <v>0</v>
      </c>
      <c r="J630" s="3">
        <f t="shared" si="51"/>
        <v>0</v>
      </c>
      <c r="K630" s="3" t="str">
        <f t="shared" si="52"/>
        <v>Zr85</v>
      </c>
      <c r="L630" s="3" cm="1">
        <f t="array" ref="L630">SUM(($J630*EXP(-$H630*12*3600*_xlfn.SEQUENCE(L$1-1))))+$J630</f>
        <v>0</v>
      </c>
      <c r="M630" s="3"/>
      <c r="N630" s="3"/>
    </row>
    <row r="631" spans="2:14" hidden="1" x14ac:dyDescent="0.2">
      <c r="B631" s="3">
        <v>40086</v>
      </c>
      <c r="C631" s="3">
        <v>0</v>
      </c>
      <c r="D631">
        <v>628</v>
      </c>
      <c r="E631" t="str">
        <f>VLOOKUP(B631,Nuclides!A:F,5,FALSE)</f>
        <v>Zr86</v>
      </c>
      <c r="F631">
        <f>VLOOKUP(B631,Nuclides!A:F,4,FALSE)</f>
        <v>59400</v>
      </c>
      <c r="G631" s="3" t="str">
        <f t="shared" si="48"/>
        <v>16.5h</v>
      </c>
      <c r="H631" s="3">
        <f t="shared" si="49"/>
        <v>1.1669144453871133E-5</v>
      </c>
      <c r="I631" s="3">
        <f t="shared" si="50"/>
        <v>0</v>
      </c>
      <c r="J631" s="3">
        <f t="shared" si="51"/>
        <v>0</v>
      </c>
      <c r="K631" s="3" t="str">
        <f t="shared" si="52"/>
        <v>Zr86</v>
      </c>
      <c r="L631" s="3" cm="1">
        <f t="array" ref="L631">SUM(($J631*EXP(-$H631*12*3600*_xlfn.SEQUENCE(L$1-1))))+$J631</f>
        <v>0</v>
      </c>
      <c r="M631" s="3"/>
      <c r="N631" s="3"/>
    </row>
    <row r="632" spans="2:14" hidden="1" x14ac:dyDescent="0.2">
      <c r="B632" s="3">
        <v>40087</v>
      </c>
      <c r="C632" s="3">
        <v>0</v>
      </c>
      <c r="D632">
        <v>629</v>
      </c>
      <c r="E632" t="str">
        <f>VLOOKUP(B632,Nuclides!A:F,5,FALSE)</f>
        <v>Zr87</v>
      </c>
      <c r="F632">
        <f>VLOOKUP(B632,Nuclides!A:F,4,FALSE)</f>
        <v>6048</v>
      </c>
      <c r="G632" s="3" t="str">
        <f t="shared" si="48"/>
        <v>1.68h</v>
      </c>
      <c r="H632" s="3">
        <f t="shared" si="49"/>
        <v>1.146076687433772E-4</v>
      </c>
      <c r="I632" s="3">
        <f t="shared" si="50"/>
        <v>0</v>
      </c>
      <c r="J632" s="3">
        <f t="shared" si="51"/>
        <v>0</v>
      </c>
      <c r="K632" s="3" t="str">
        <f t="shared" si="52"/>
        <v>Zr87</v>
      </c>
      <c r="L632" s="3" cm="1">
        <f t="array" ref="L632">SUM(($J632*EXP(-$H632*12*3600*_xlfn.SEQUENCE(L$1-1))))+$J632</f>
        <v>0</v>
      </c>
      <c r="M632" s="3"/>
      <c r="N632" s="3"/>
    </row>
    <row r="633" spans="2:14" hidden="1" x14ac:dyDescent="0.2">
      <c r="B633" s="3">
        <v>40088</v>
      </c>
      <c r="C633" s="3">
        <v>0</v>
      </c>
      <c r="D633">
        <v>630</v>
      </c>
      <c r="E633" t="str">
        <f>VLOOKUP(B633,Nuclides!A:F,5,FALSE)</f>
        <v>Zr88</v>
      </c>
      <c r="F633">
        <f>VLOOKUP(B633,Nuclides!A:F,4,FALSE)</f>
        <v>7205760</v>
      </c>
      <c r="G633" s="3" t="str">
        <f t="shared" si="48"/>
        <v>83.4d</v>
      </c>
      <c r="H633" s="3">
        <f t="shared" si="49"/>
        <v>9.6193486954872943E-8</v>
      </c>
      <c r="I633" s="3">
        <f t="shared" si="50"/>
        <v>0</v>
      </c>
      <c r="J633" s="3">
        <f t="shared" si="51"/>
        <v>0</v>
      </c>
      <c r="K633" s="3" t="str">
        <f t="shared" si="52"/>
        <v>Zr88</v>
      </c>
      <c r="L633" s="3" cm="1">
        <f t="array" ref="L633">SUM(($J633*EXP(-$H633*12*3600*_xlfn.SEQUENCE(L$1-1))))+$J633</f>
        <v>0</v>
      </c>
      <c r="M633" s="3"/>
      <c r="N633" s="3"/>
    </row>
    <row r="634" spans="2:14" hidden="1" x14ac:dyDescent="0.2">
      <c r="B634" s="3">
        <v>40089</v>
      </c>
      <c r="C634" s="3">
        <v>0</v>
      </c>
      <c r="D634">
        <v>631</v>
      </c>
      <c r="E634" t="str">
        <f>VLOOKUP(B634,Nuclides!A:F,5,FALSE)</f>
        <v>Zr89</v>
      </c>
      <c r="F634">
        <f>VLOOKUP(B634,Nuclides!A:F,4,FALSE)</f>
        <v>282276</v>
      </c>
      <c r="G634" s="3" t="str">
        <f t="shared" si="48"/>
        <v>3.27d</v>
      </c>
      <c r="H634" s="3">
        <f t="shared" si="49"/>
        <v>2.4555654060562899E-6</v>
      </c>
      <c r="I634" s="3">
        <f t="shared" si="50"/>
        <v>0</v>
      </c>
      <c r="J634" s="3">
        <f t="shared" si="51"/>
        <v>0</v>
      </c>
      <c r="K634" s="3" t="str">
        <f t="shared" si="52"/>
        <v>Zr89</v>
      </c>
      <c r="L634" s="3" cm="1">
        <f t="array" ref="L634">SUM(($J634*EXP(-$H634*12*3600*_xlfn.SEQUENCE(L$1-1))))+$J634</f>
        <v>0</v>
      </c>
      <c r="M634" s="3"/>
      <c r="N634" s="3"/>
    </row>
    <row r="635" spans="2:14" hidden="1" x14ac:dyDescent="0.2">
      <c r="B635" s="3">
        <v>40090</v>
      </c>
      <c r="C635" s="3">
        <v>0</v>
      </c>
      <c r="D635">
        <v>632</v>
      </c>
      <c r="E635" t="str">
        <f>VLOOKUP(B635,Nuclides!A:F,5,FALSE)</f>
        <v>Zr90</v>
      </c>
      <c r="F635" t="str">
        <f>VLOOKUP(B635,Nuclides!A:F,4,FALSE)</f>
        <v>STABLE</v>
      </c>
      <c r="G635" s="3" t="str">
        <f t="shared" si="48"/>
        <v>STABLE</v>
      </c>
      <c r="H635" s="3" t="e">
        <f t="shared" si="49"/>
        <v>#VALUE!</v>
      </c>
      <c r="I635" s="3" t="e">
        <f t="shared" si="50"/>
        <v>#VALUE!</v>
      </c>
      <c r="J635" s="3" t="e">
        <f t="shared" si="51"/>
        <v>#VALUE!</v>
      </c>
      <c r="K635" s="3" t="str">
        <f t="shared" si="52"/>
        <v>Zr90</v>
      </c>
      <c r="L635" s="3" t="e" cm="1">
        <f t="array" ref="L635">SUM(($J635*EXP(-$H635*12*3600*_xlfn.SEQUENCE(L$1-1))))+$J635</f>
        <v>#VALUE!</v>
      </c>
      <c r="M635" s="3"/>
      <c r="N635" s="3"/>
    </row>
    <row r="636" spans="2:14" hidden="1" x14ac:dyDescent="0.2">
      <c r="B636" s="3">
        <v>40091</v>
      </c>
      <c r="C636" s="3">
        <v>0</v>
      </c>
      <c r="D636">
        <v>633</v>
      </c>
      <c r="E636" t="str">
        <f>VLOOKUP(B636,Nuclides!A:F,5,FALSE)</f>
        <v>Zr91</v>
      </c>
      <c r="F636" t="str">
        <f>VLOOKUP(B636,Nuclides!A:F,4,FALSE)</f>
        <v>STABLE</v>
      </c>
      <c r="G636" s="3" t="str">
        <f t="shared" si="48"/>
        <v>STABLE</v>
      </c>
      <c r="H636" s="3" t="e">
        <f t="shared" si="49"/>
        <v>#VALUE!</v>
      </c>
      <c r="I636" s="3" t="e">
        <f t="shared" si="50"/>
        <v>#VALUE!</v>
      </c>
      <c r="J636" s="3" t="e">
        <f t="shared" si="51"/>
        <v>#VALUE!</v>
      </c>
      <c r="K636" s="3" t="str">
        <f t="shared" si="52"/>
        <v>Zr91</v>
      </c>
      <c r="L636" s="3" t="e" cm="1">
        <f t="array" ref="L636">SUM(($J636*EXP(-$H636*12*3600*_xlfn.SEQUENCE(L$1-1))))+$J636</f>
        <v>#VALUE!</v>
      </c>
      <c r="M636" s="3"/>
      <c r="N636" s="3"/>
    </row>
    <row r="637" spans="2:14" hidden="1" x14ac:dyDescent="0.2">
      <c r="B637" s="3">
        <v>40092</v>
      </c>
      <c r="C637" s="3">
        <v>0</v>
      </c>
      <c r="D637">
        <v>634</v>
      </c>
      <c r="E637" t="str">
        <f>VLOOKUP(B637,Nuclides!A:F,5,FALSE)</f>
        <v>Zr92</v>
      </c>
      <c r="F637" t="str">
        <f>VLOOKUP(B637,Nuclides!A:F,4,FALSE)</f>
        <v>STABLE</v>
      </c>
      <c r="G637" s="3" t="str">
        <f t="shared" si="48"/>
        <v>STABLE</v>
      </c>
      <c r="H637" s="3" t="e">
        <f t="shared" si="49"/>
        <v>#VALUE!</v>
      </c>
      <c r="I637" s="3" t="e">
        <f t="shared" si="50"/>
        <v>#VALUE!</v>
      </c>
      <c r="J637" s="3" t="e">
        <f t="shared" si="51"/>
        <v>#VALUE!</v>
      </c>
      <c r="K637" s="3" t="str">
        <f t="shared" si="52"/>
        <v>Zr92</v>
      </c>
      <c r="L637" s="3" t="e" cm="1">
        <f t="array" ref="L637">SUM(($J637*EXP(-$H637*12*3600*_xlfn.SEQUENCE(L$1-1))))+$J637</f>
        <v>#VALUE!</v>
      </c>
      <c r="M637" s="3"/>
      <c r="N637" s="3"/>
    </row>
    <row r="638" spans="2:14" hidden="1" x14ac:dyDescent="0.2">
      <c r="B638" s="3">
        <v>40093</v>
      </c>
      <c r="C638" s="3">
        <v>0</v>
      </c>
      <c r="D638">
        <v>635</v>
      </c>
      <c r="E638" t="str">
        <f>VLOOKUP(B638,Nuclides!A:F,5,FALSE)</f>
        <v>Zr93</v>
      </c>
      <c r="F638">
        <f>VLOOKUP(B638,Nuclides!A:F,4,FALSE)</f>
        <v>50807736000000</v>
      </c>
      <c r="G638" s="3" t="str">
        <f t="shared" si="48"/>
        <v>1611102.74y</v>
      </c>
      <c r="H638" s="3">
        <f t="shared" si="49"/>
        <v>1.3642552003496973E-14</v>
      </c>
      <c r="I638" s="3">
        <f t="shared" si="50"/>
        <v>0</v>
      </c>
      <c r="J638" s="3">
        <f t="shared" si="51"/>
        <v>0</v>
      </c>
      <c r="K638" s="3" t="str">
        <f t="shared" si="52"/>
        <v>Zr93</v>
      </c>
      <c r="L638" s="3" cm="1">
        <f t="array" ref="L638">SUM(($J638*EXP(-$H638*12*3600*_xlfn.SEQUENCE(L$1-1))))+$J638</f>
        <v>0</v>
      </c>
      <c r="M638" s="3"/>
      <c r="N638" s="3"/>
    </row>
    <row r="639" spans="2:14" hidden="1" x14ac:dyDescent="0.2">
      <c r="B639" s="3">
        <v>40094</v>
      </c>
      <c r="C639" s="3">
        <v>0</v>
      </c>
      <c r="D639">
        <v>636</v>
      </c>
      <c r="E639" t="str">
        <f>VLOOKUP(B639,Nuclides!A:F,5,FALSE)</f>
        <v>Zr94</v>
      </c>
      <c r="F639" t="str">
        <f>VLOOKUP(B639,Nuclides!A:F,4,FALSE)</f>
        <v>STABLE</v>
      </c>
      <c r="G639" s="3" t="str">
        <f t="shared" si="48"/>
        <v>STABLE</v>
      </c>
      <c r="H639" s="3" t="e">
        <f t="shared" si="49"/>
        <v>#VALUE!</v>
      </c>
      <c r="I639" s="3" t="e">
        <f t="shared" si="50"/>
        <v>#VALUE!</v>
      </c>
      <c r="J639" s="3" t="e">
        <f t="shared" si="51"/>
        <v>#VALUE!</v>
      </c>
      <c r="K639" s="3" t="str">
        <f t="shared" si="52"/>
        <v>Zr94</v>
      </c>
      <c r="L639" s="3" t="e" cm="1">
        <f t="array" ref="L639">SUM(($J639*EXP(-$H639*12*3600*_xlfn.SEQUENCE(L$1-1))))+$J639</f>
        <v>#VALUE!</v>
      </c>
      <c r="M639" s="3"/>
      <c r="N639" s="3"/>
    </row>
    <row r="640" spans="2:14" hidden="1" x14ac:dyDescent="0.2">
      <c r="B640" s="3">
        <v>40095</v>
      </c>
      <c r="C640" s="3">
        <v>0</v>
      </c>
      <c r="D640">
        <v>637</v>
      </c>
      <c r="E640" t="str">
        <f>VLOOKUP(B640,Nuclides!A:F,5,FALSE)</f>
        <v>Zr95</v>
      </c>
      <c r="F640">
        <f>VLOOKUP(B640,Nuclides!A:F,4,FALSE)</f>
        <v>5532364.7999999998</v>
      </c>
      <c r="G640" s="3" t="str">
        <f t="shared" si="48"/>
        <v>64.03d</v>
      </c>
      <c r="H640" s="3">
        <f t="shared" si="49"/>
        <v>1.2528949294159802E-7</v>
      </c>
      <c r="I640" s="3">
        <f t="shared" si="50"/>
        <v>0</v>
      </c>
      <c r="J640" s="3">
        <f t="shared" si="51"/>
        <v>0</v>
      </c>
      <c r="K640" s="3" t="str">
        <f t="shared" si="52"/>
        <v>Zr95</v>
      </c>
      <c r="L640" s="3" cm="1">
        <f t="array" ref="L640">SUM(($J640*EXP(-$H640*12*3600*_xlfn.SEQUENCE(L$1-1))))+$J640</f>
        <v>0</v>
      </c>
      <c r="M640" s="3"/>
      <c r="N640" s="3"/>
    </row>
    <row r="641" spans="2:14" hidden="1" x14ac:dyDescent="0.2">
      <c r="B641" s="3">
        <v>40096</v>
      </c>
      <c r="C641" s="3">
        <v>0</v>
      </c>
      <c r="D641">
        <v>638</v>
      </c>
      <c r="E641" t="str">
        <f>VLOOKUP(B641,Nuclides!A:F,5,FALSE)</f>
        <v>Zr96</v>
      </c>
      <c r="F641">
        <f>VLOOKUP(B641,Nuclides!A:F,4,FALSE)</f>
        <v>7.4160360000000004E+26</v>
      </c>
      <c r="G641" s="3" t="str">
        <f t="shared" si="48"/>
        <v>23516095890411000000y</v>
      </c>
      <c r="H641" s="3">
        <f t="shared" si="49"/>
        <v>9.3465994577149465E-28</v>
      </c>
      <c r="I641" s="3">
        <f t="shared" si="50"/>
        <v>0</v>
      </c>
      <c r="J641" s="3">
        <f t="shared" si="51"/>
        <v>0</v>
      </c>
      <c r="K641" s="3" t="str">
        <f t="shared" si="52"/>
        <v>Zr96</v>
      </c>
      <c r="L641" s="3" cm="1">
        <f t="array" ref="L641">SUM(($J641*EXP(-$H641*12*3600*_xlfn.SEQUENCE(L$1-1))))+$J641</f>
        <v>0</v>
      </c>
      <c r="M641" s="3"/>
      <c r="N641" s="3"/>
    </row>
    <row r="642" spans="2:14" hidden="1" x14ac:dyDescent="0.2">
      <c r="B642" s="3">
        <v>40097</v>
      </c>
      <c r="C642" s="3">
        <v>0</v>
      </c>
      <c r="D642">
        <v>639</v>
      </c>
      <c r="E642" t="str">
        <f>VLOOKUP(B642,Nuclides!A:F,5,FALSE)</f>
        <v>Zr97</v>
      </c>
      <c r="F642">
        <f>VLOOKUP(B642,Nuclides!A:F,4,FALSE)</f>
        <v>60296.3999999999</v>
      </c>
      <c r="G642" s="3" t="str">
        <f t="shared" si="48"/>
        <v>16.75h</v>
      </c>
      <c r="H642" s="3">
        <f t="shared" si="49"/>
        <v>1.149566442706275E-5</v>
      </c>
      <c r="I642" s="3">
        <f t="shared" si="50"/>
        <v>0</v>
      </c>
      <c r="J642" s="3">
        <f t="shared" si="51"/>
        <v>0</v>
      </c>
      <c r="K642" s="3" t="str">
        <f t="shared" si="52"/>
        <v>Zr97</v>
      </c>
      <c r="L642" s="3" cm="1">
        <f t="array" ref="L642">SUM(($J642*EXP(-$H642*12*3600*_xlfn.SEQUENCE(L$1-1))))+$J642</f>
        <v>0</v>
      </c>
      <c r="M642" s="3"/>
      <c r="N642" s="3"/>
    </row>
    <row r="643" spans="2:14" hidden="1" x14ac:dyDescent="0.2">
      <c r="B643" s="3">
        <v>40098</v>
      </c>
      <c r="C643" s="3">
        <v>0</v>
      </c>
      <c r="D643">
        <v>640</v>
      </c>
      <c r="E643" t="str">
        <f>VLOOKUP(B643,Nuclides!A:F,5,FALSE)</f>
        <v>Zr98</v>
      </c>
      <c r="F643">
        <f>VLOOKUP(B643,Nuclides!A:F,4,FALSE)</f>
        <v>30.7</v>
      </c>
      <c r="G643" s="3" t="str">
        <f t="shared" si="48"/>
        <v>30.7s</v>
      </c>
      <c r="H643" s="3">
        <f t="shared" si="49"/>
        <v>2.2578084057327207E-2</v>
      </c>
      <c r="I643" s="3">
        <f t="shared" si="50"/>
        <v>0</v>
      </c>
      <c r="J643" s="3">
        <f t="shared" si="51"/>
        <v>0</v>
      </c>
      <c r="K643" s="3" t="str">
        <f t="shared" si="52"/>
        <v>Zr98</v>
      </c>
      <c r="L643" s="3" cm="1">
        <f t="array" ref="L643">SUM(($J643*EXP(-$H643*12*3600*_xlfn.SEQUENCE(L$1-1))))+$J643</f>
        <v>0</v>
      </c>
      <c r="M643" s="3"/>
      <c r="N643" s="3"/>
    </row>
    <row r="644" spans="2:14" hidden="1" x14ac:dyDescent="0.2">
      <c r="B644" s="3">
        <v>40099</v>
      </c>
      <c r="C644" s="3">
        <v>0</v>
      </c>
      <c r="D644">
        <v>641</v>
      </c>
      <c r="E644" t="str">
        <f>VLOOKUP(B644,Nuclides!A:F,5,FALSE)</f>
        <v>Zr99</v>
      </c>
      <c r="F644">
        <f>VLOOKUP(B644,Nuclides!A:F,4,FALSE)</f>
        <v>2.1</v>
      </c>
      <c r="G644" s="3" t="str">
        <f t="shared" ref="G644:G707" si="53">IF(F644="STABLE", "STABLE", IF(F644&lt;60, F644&amp;"s", IF(F644&lt;3600, ROUND(F644/60,2)&amp;"min", IF(F644&lt;86400, ROUND(F644/3600,2)&amp;"h", IF(F644&lt;31536000, ROUND(F644/86400,2)&amp;"d", ROUND(F644/31536000,2)&amp;"y")))))</f>
        <v>2.1s</v>
      </c>
      <c r="H644" s="3">
        <f t="shared" ref="H644:H707" si="54">LN(2)/F644</f>
        <v>0.3300700859809263</v>
      </c>
      <c r="I644" s="3">
        <f t="shared" ref="I644:I707" si="55">100*6240000000000*C644*(1-EXP(-H644*2*3600))</f>
        <v>0</v>
      </c>
      <c r="J644" s="3">
        <f t="shared" ref="J644:J707" si="56">I644*EXP(-H644*10*3600)</f>
        <v>0</v>
      </c>
      <c r="K644" s="3" t="str">
        <f t="shared" ref="K644:K707" si="57">E644</f>
        <v>Zr99</v>
      </c>
      <c r="L644" s="3" cm="1">
        <f t="array" ref="L644">SUM(($J644*EXP(-$H644*12*3600*_xlfn.SEQUENCE(L$1-1))))+$J644</f>
        <v>0</v>
      </c>
      <c r="M644" s="3"/>
      <c r="N644" s="3"/>
    </row>
    <row r="645" spans="2:14" hidden="1" x14ac:dyDescent="0.2">
      <c r="B645" s="3">
        <v>40100</v>
      </c>
      <c r="C645" s="3">
        <v>0</v>
      </c>
      <c r="D645">
        <v>642</v>
      </c>
      <c r="E645" t="str">
        <f>VLOOKUP(B645,Nuclides!A:F,5,FALSE)</f>
        <v>Zr100</v>
      </c>
      <c r="F645">
        <f>VLOOKUP(B645,Nuclides!A:F,4,FALSE)</f>
        <v>7.1</v>
      </c>
      <c r="G645" s="3" t="str">
        <f t="shared" si="53"/>
        <v>7.1s</v>
      </c>
      <c r="H645" s="3">
        <f t="shared" si="54"/>
        <v>9.7626363459147228E-2</v>
      </c>
      <c r="I645" s="3">
        <f t="shared" si="55"/>
        <v>0</v>
      </c>
      <c r="J645" s="3">
        <f t="shared" si="56"/>
        <v>0</v>
      </c>
      <c r="K645" s="3" t="str">
        <f t="shared" si="57"/>
        <v>Zr100</v>
      </c>
      <c r="L645" s="3" cm="1">
        <f t="array" ref="L645">SUM(($J645*EXP(-$H645*12*3600*_xlfn.SEQUENCE(L$1-1))))+$J645</f>
        <v>0</v>
      </c>
      <c r="M645" s="3"/>
      <c r="N645" s="3"/>
    </row>
    <row r="646" spans="2:14" hidden="1" x14ac:dyDescent="0.2">
      <c r="B646" s="3">
        <v>40101</v>
      </c>
      <c r="C646" s="3">
        <v>0</v>
      </c>
      <c r="D646">
        <v>643</v>
      </c>
      <c r="E646" t="str">
        <f>VLOOKUP(B646,Nuclides!A:F,5,FALSE)</f>
        <v>Zr101</v>
      </c>
      <c r="F646">
        <f>VLOOKUP(B646,Nuclides!A:F,4,FALSE)</f>
        <v>2.2999999999999998</v>
      </c>
      <c r="G646" s="3" t="str">
        <f t="shared" si="53"/>
        <v>2.3s</v>
      </c>
      <c r="H646" s="3">
        <f t="shared" si="54"/>
        <v>0.30136833937388929</v>
      </c>
      <c r="I646" s="3">
        <f t="shared" si="55"/>
        <v>0</v>
      </c>
      <c r="J646" s="3">
        <f t="shared" si="56"/>
        <v>0</v>
      </c>
      <c r="K646" s="3" t="str">
        <f t="shared" si="57"/>
        <v>Zr101</v>
      </c>
      <c r="L646" s="3" cm="1">
        <f t="array" ref="L646">SUM(($J646*EXP(-$H646*12*3600*_xlfn.SEQUENCE(L$1-1))))+$J646</f>
        <v>0</v>
      </c>
      <c r="M646" s="3"/>
      <c r="N646" s="3"/>
    </row>
    <row r="647" spans="2:14" hidden="1" x14ac:dyDescent="0.2">
      <c r="B647" s="3">
        <v>40102</v>
      </c>
      <c r="C647" s="3">
        <v>0</v>
      </c>
      <c r="D647">
        <v>644</v>
      </c>
      <c r="E647" t="str">
        <f>VLOOKUP(B647,Nuclides!A:F,5,FALSE)</f>
        <v>Zr102</v>
      </c>
      <c r="F647">
        <f>VLOOKUP(B647,Nuclides!A:F,4,FALSE)</f>
        <v>2.9</v>
      </c>
      <c r="G647" s="3" t="str">
        <f t="shared" si="53"/>
        <v>2.9s</v>
      </c>
      <c r="H647" s="3">
        <f t="shared" si="54"/>
        <v>0.23901626915860183</v>
      </c>
      <c r="I647" s="3">
        <f t="shared" si="55"/>
        <v>0</v>
      </c>
      <c r="J647" s="3">
        <f t="shared" si="56"/>
        <v>0</v>
      </c>
      <c r="K647" s="3" t="str">
        <f t="shared" si="57"/>
        <v>Zr102</v>
      </c>
      <c r="L647" s="3" cm="1">
        <f t="array" ref="L647">SUM(($J647*EXP(-$H647*12*3600*_xlfn.SEQUENCE(L$1-1))))+$J647</f>
        <v>0</v>
      </c>
      <c r="M647" s="3"/>
      <c r="N647" s="3"/>
    </row>
    <row r="648" spans="2:14" hidden="1" x14ac:dyDescent="0.2">
      <c r="B648" s="3">
        <v>41084</v>
      </c>
      <c r="C648" s="3">
        <v>0</v>
      </c>
      <c r="D648">
        <v>645</v>
      </c>
      <c r="E648" t="str">
        <f>VLOOKUP(B648,Nuclides!A:F,5,FALSE)</f>
        <v>Nb84</v>
      </c>
      <c r="F648">
        <f>VLOOKUP(B648,Nuclides!A:F,4,FALSE)</f>
        <v>9.8000000000000007</v>
      </c>
      <c r="G648" s="3" t="str">
        <f t="shared" si="53"/>
        <v>9.8s</v>
      </c>
      <c r="H648" s="3">
        <f t="shared" si="54"/>
        <v>7.0729304138769919E-2</v>
      </c>
      <c r="I648" s="3">
        <f t="shared" si="55"/>
        <v>0</v>
      </c>
      <c r="J648" s="3">
        <f t="shared" si="56"/>
        <v>0</v>
      </c>
      <c r="K648" s="3" t="str">
        <f t="shared" si="57"/>
        <v>Nb84</v>
      </c>
      <c r="L648" s="3" cm="1">
        <f t="array" ref="L648">SUM(($J648*EXP(-$H648*12*3600*_xlfn.SEQUENCE(L$1-1))))+$J648</f>
        <v>0</v>
      </c>
      <c r="M648" s="3"/>
      <c r="N648" s="3"/>
    </row>
    <row r="649" spans="2:14" hidden="1" x14ac:dyDescent="0.2">
      <c r="B649" s="3">
        <v>41085</v>
      </c>
      <c r="C649" s="3">
        <v>0</v>
      </c>
      <c r="D649">
        <v>646</v>
      </c>
      <c r="E649" t="str">
        <f>VLOOKUP(B649,Nuclides!A:F,5,FALSE)</f>
        <v>Nb85</v>
      </c>
      <c r="F649">
        <f>VLOOKUP(B649,Nuclides!A:F,4,FALSE)</f>
        <v>20.5</v>
      </c>
      <c r="G649" s="3" t="str">
        <f t="shared" si="53"/>
        <v>20.5s</v>
      </c>
      <c r="H649" s="3">
        <f t="shared" si="54"/>
        <v>3.3812057588290013E-2</v>
      </c>
      <c r="I649" s="3">
        <f t="shared" si="55"/>
        <v>0</v>
      </c>
      <c r="J649" s="3">
        <f t="shared" si="56"/>
        <v>0</v>
      </c>
      <c r="K649" s="3" t="str">
        <f t="shared" si="57"/>
        <v>Nb85</v>
      </c>
      <c r="L649" s="3" cm="1">
        <f t="array" ref="L649">SUM(($J649*EXP(-$H649*12*3600*_xlfn.SEQUENCE(L$1-1))))+$J649</f>
        <v>0</v>
      </c>
      <c r="M649" s="3"/>
      <c r="N649" s="3"/>
    </row>
    <row r="650" spans="2:14" hidden="1" x14ac:dyDescent="0.2">
      <c r="B650" s="3">
        <v>41086</v>
      </c>
      <c r="C650" s="3">
        <v>0</v>
      </c>
      <c r="D650">
        <v>647</v>
      </c>
      <c r="E650" t="str">
        <f>VLOOKUP(B650,Nuclides!A:F,5,FALSE)</f>
        <v>Nb86</v>
      </c>
      <c r="F650">
        <f>VLOOKUP(B650,Nuclides!A:F,4,FALSE)</f>
        <v>88</v>
      </c>
      <c r="G650" s="3" t="str">
        <f t="shared" si="53"/>
        <v>1.47min</v>
      </c>
      <c r="H650" s="3">
        <f t="shared" si="54"/>
        <v>7.8766725063630152E-3</v>
      </c>
      <c r="I650" s="3">
        <f t="shared" si="55"/>
        <v>0</v>
      </c>
      <c r="J650" s="3">
        <f t="shared" si="56"/>
        <v>0</v>
      </c>
      <c r="K650" s="3" t="str">
        <f t="shared" si="57"/>
        <v>Nb86</v>
      </c>
      <c r="L650" s="3" cm="1">
        <f t="array" ref="L650">SUM(($J650*EXP(-$H650*12*3600*_xlfn.SEQUENCE(L$1-1))))+$J650</f>
        <v>0</v>
      </c>
      <c r="M650" s="3"/>
      <c r="N650" s="3"/>
    </row>
    <row r="651" spans="2:14" hidden="1" x14ac:dyDescent="0.2">
      <c r="B651" s="3">
        <v>41087</v>
      </c>
      <c r="C651" s="3">
        <v>0</v>
      </c>
      <c r="D651">
        <v>648</v>
      </c>
      <c r="E651" t="str">
        <f>VLOOKUP(B651,Nuclides!A:F,5,FALSE)</f>
        <v>Nb87</v>
      </c>
      <c r="F651">
        <f>VLOOKUP(B651,Nuclides!A:F,4,FALSE)</f>
        <v>222</v>
      </c>
      <c r="G651" s="3" t="str">
        <f t="shared" si="53"/>
        <v>3.7min</v>
      </c>
      <c r="H651" s="3">
        <f t="shared" si="54"/>
        <v>3.1222845971168706E-3</v>
      </c>
      <c r="I651" s="3">
        <f t="shared" si="55"/>
        <v>0</v>
      </c>
      <c r="J651" s="3">
        <f t="shared" si="56"/>
        <v>0</v>
      </c>
      <c r="K651" s="3" t="str">
        <f t="shared" si="57"/>
        <v>Nb87</v>
      </c>
      <c r="L651" s="3" cm="1">
        <f t="array" ref="L651">SUM(($J651*EXP(-$H651*12*3600*_xlfn.SEQUENCE(L$1-1))))+$J651</f>
        <v>0</v>
      </c>
      <c r="M651" s="3"/>
      <c r="N651" s="3"/>
    </row>
    <row r="652" spans="2:14" hidden="1" x14ac:dyDescent="0.2">
      <c r="B652" s="3">
        <v>41088</v>
      </c>
      <c r="C652" s="3">
        <v>0</v>
      </c>
      <c r="D652">
        <v>649</v>
      </c>
      <c r="E652" t="str">
        <f>VLOOKUP(B652,Nuclides!A:F,5,FALSE)</f>
        <v>Nb88</v>
      </c>
      <c r="F652">
        <f>VLOOKUP(B652,Nuclides!A:F,4,FALSE)</f>
        <v>873</v>
      </c>
      <c r="G652" s="3" t="str">
        <f t="shared" si="53"/>
        <v>14.55min</v>
      </c>
      <c r="H652" s="3">
        <f t="shared" si="54"/>
        <v>7.9398302469638638E-4</v>
      </c>
      <c r="I652" s="3">
        <f t="shared" si="55"/>
        <v>0</v>
      </c>
      <c r="J652" s="3">
        <f t="shared" si="56"/>
        <v>0</v>
      </c>
      <c r="K652" s="3" t="str">
        <f t="shared" si="57"/>
        <v>Nb88</v>
      </c>
      <c r="L652" s="3" cm="1">
        <f t="array" ref="L652">SUM(($J652*EXP(-$H652*12*3600*_xlfn.SEQUENCE(L$1-1))))+$J652</f>
        <v>0</v>
      </c>
      <c r="M652" s="3"/>
      <c r="N652" s="3"/>
    </row>
    <row r="653" spans="2:14" hidden="1" x14ac:dyDescent="0.2">
      <c r="B653" s="3">
        <v>41089</v>
      </c>
      <c r="C653" s="3">
        <v>0</v>
      </c>
      <c r="D653">
        <v>650</v>
      </c>
      <c r="E653" t="str">
        <f>VLOOKUP(B653,Nuclides!A:F,5,FALSE)</f>
        <v>Nb89</v>
      </c>
      <c r="F653">
        <f>VLOOKUP(B653,Nuclides!A:F,4,FALSE)</f>
        <v>7307.99999999999</v>
      </c>
      <c r="G653" s="3" t="str">
        <f t="shared" si="53"/>
        <v>2.03h</v>
      </c>
      <c r="H653" s="3">
        <f t="shared" si="54"/>
        <v>9.4847725856588155E-5</v>
      </c>
      <c r="I653" s="3">
        <f t="shared" si="55"/>
        <v>0</v>
      </c>
      <c r="J653" s="3">
        <f t="shared" si="56"/>
        <v>0</v>
      </c>
      <c r="K653" s="3" t="str">
        <f t="shared" si="57"/>
        <v>Nb89</v>
      </c>
      <c r="L653" s="3" cm="1">
        <f t="array" ref="L653">SUM(($J653*EXP(-$H653*12*3600*_xlfn.SEQUENCE(L$1-1))))+$J653</f>
        <v>0</v>
      </c>
      <c r="M653" s="3"/>
      <c r="N653" s="3"/>
    </row>
    <row r="654" spans="2:14" hidden="1" x14ac:dyDescent="0.2">
      <c r="B654" s="3">
        <v>41090</v>
      </c>
      <c r="C654" s="3">
        <v>0</v>
      </c>
      <c r="D654">
        <v>651</v>
      </c>
      <c r="E654" t="str">
        <f>VLOOKUP(B654,Nuclides!A:F,5,FALSE)</f>
        <v>Nb90</v>
      </c>
      <c r="F654">
        <f>VLOOKUP(B654,Nuclides!A:F,4,FALSE)</f>
        <v>52560</v>
      </c>
      <c r="G654" s="3" t="str">
        <f t="shared" si="53"/>
        <v>14.6h</v>
      </c>
      <c r="H654" s="3">
        <f t="shared" si="54"/>
        <v>1.3187731745813266E-5</v>
      </c>
      <c r="I654" s="3">
        <f t="shared" si="55"/>
        <v>0</v>
      </c>
      <c r="J654" s="3">
        <f t="shared" si="56"/>
        <v>0</v>
      </c>
      <c r="K654" s="3" t="str">
        <f t="shared" si="57"/>
        <v>Nb90</v>
      </c>
      <c r="L654" s="3" cm="1">
        <f t="array" ref="L654">SUM(($J654*EXP(-$H654*12*3600*_xlfn.SEQUENCE(L$1-1))))+$J654</f>
        <v>0</v>
      </c>
      <c r="M654" s="3"/>
      <c r="N654" s="3"/>
    </row>
    <row r="655" spans="2:14" hidden="1" x14ac:dyDescent="0.2">
      <c r="B655" s="3">
        <v>41091</v>
      </c>
      <c r="C655" s="3">
        <v>0</v>
      </c>
      <c r="D655">
        <v>652</v>
      </c>
      <c r="E655" t="str">
        <f>VLOOKUP(B655,Nuclides!A:F,5,FALSE)</f>
        <v>Nb91</v>
      </c>
      <c r="F655">
        <f>VLOOKUP(B655,Nuclides!A:F,4,FALSE)</f>
        <v>21459168000</v>
      </c>
      <c r="G655" s="3" t="str">
        <f t="shared" si="53"/>
        <v>680.47y</v>
      </c>
      <c r="H655" s="3">
        <f t="shared" si="54"/>
        <v>3.2300748125926655E-11</v>
      </c>
      <c r="I655" s="3">
        <f t="shared" si="55"/>
        <v>0</v>
      </c>
      <c r="J655" s="3">
        <f t="shared" si="56"/>
        <v>0</v>
      </c>
      <c r="K655" s="3" t="str">
        <f t="shared" si="57"/>
        <v>Nb91</v>
      </c>
      <c r="L655" s="3" cm="1">
        <f t="array" ref="L655">SUM(($J655*EXP(-$H655*12*3600*_xlfn.SEQUENCE(L$1-1))))+$J655</f>
        <v>0</v>
      </c>
      <c r="M655" s="3"/>
      <c r="N655" s="3"/>
    </row>
    <row r="656" spans="2:14" hidden="1" x14ac:dyDescent="0.2">
      <c r="B656" s="3">
        <v>41092</v>
      </c>
      <c r="C656" s="3">
        <v>0</v>
      </c>
      <c r="D656">
        <v>653</v>
      </c>
      <c r="E656" t="str">
        <f>VLOOKUP(B656,Nuclides!A:F,5,FALSE)</f>
        <v>Nb92</v>
      </c>
      <c r="F656">
        <f>VLOOKUP(B656,Nuclides!A:F,4,FALSE)</f>
        <v>1095048720000000</v>
      </c>
      <c r="G656" s="3" t="str">
        <f t="shared" si="53"/>
        <v>34723767.12y</v>
      </c>
      <c r="H656" s="3">
        <f t="shared" si="54"/>
        <v>6.3298296039279903E-16</v>
      </c>
      <c r="I656" s="3">
        <f t="shared" si="55"/>
        <v>0</v>
      </c>
      <c r="J656" s="3">
        <f t="shared" si="56"/>
        <v>0</v>
      </c>
      <c r="K656" s="3" t="str">
        <f t="shared" si="57"/>
        <v>Nb92</v>
      </c>
      <c r="L656" s="3" cm="1">
        <f t="array" ref="L656">SUM(($J656*EXP(-$H656*12*3600*_xlfn.SEQUENCE(L$1-1))))+$J656</f>
        <v>0</v>
      </c>
      <c r="M656" s="3"/>
      <c r="N656" s="3"/>
    </row>
    <row r="657" spans="2:14" hidden="1" x14ac:dyDescent="0.2">
      <c r="B657" s="3">
        <v>41093</v>
      </c>
      <c r="C657" s="3">
        <v>0</v>
      </c>
      <c r="D657">
        <v>654</v>
      </c>
      <c r="E657" t="str">
        <f>VLOOKUP(B657,Nuclides!A:F,5,FALSE)</f>
        <v>Nb93</v>
      </c>
      <c r="F657" t="str">
        <f>VLOOKUP(B657,Nuclides!A:F,4,FALSE)</f>
        <v>STABLE</v>
      </c>
      <c r="G657" s="3" t="str">
        <f t="shared" si="53"/>
        <v>STABLE</v>
      </c>
      <c r="H657" s="3" t="e">
        <f t="shared" si="54"/>
        <v>#VALUE!</v>
      </c>
      <c r="I657" s="3" t="e">
        <f t="shared" si="55"/>
        <v>#VALUE!</v>
      </c>
      <c r="J657" s="3" t="e">
        <f t="shared" si="56"/>
        <v>#VALUE!</v>
      </c>
      <c r="K657" s="3" t="str">
        <f t="shared" si="57"/>
        <v>Nb93</v>
      </c>
      <c r="L657" s="3" t="e" cm="1">
        <f t="array" ref="L657">SUM(($J657*EXP(-$H657*12*3600*_xlfn.SEQUENCE(L$1-1))))+$J657</f>
        <v>#VALUE!</v>
      </c>
      <c r="M657" s="3"/>
      <c r="N657" s="3"/>
    </row>
    <row r="658" spans="2:14" hidden="1" x14ac:dyDescent="0.2">
      <c r="B658" s="3">
        <v>41094</v>
      </c>
      <c r="C658" s="3">
        <v>0</v>
      </c>
      <c r="D658">
        <v>655</v>
      </c>
      <c r="E658" t="str">
        <f>VLOOKUP(B658,Nuclides!A:F,5,FALSE)</f>
        <v>Nb94</v>
      </c>
      <c r="F658">
        <f>VLOOKUP(B658,Nuclides!A:F,4,FALSE)</f>
        <v>640619280000</v>
      </c>
      <c r="G658" s="3" t="str">
        <f t="shared" si="53"/>
        <v>20313.9y</v>
      </c>
      <c r="H658" s="3">
        <f t="shared" si="54"/>
        <v>1.0819955037256219E-12</v>
      </c>
      <c r="I658" s="3">
        <f t="shared" si="55"/>
        <v>0</v>
      </c>
      <c r="J658" s="3">
        <f t="shared" si="56"/>
        <v>0</v>
      </c>
      <c r="K658" s="3" t="str">
        <f t="shared" si="57"/>
        <v>Nb94</v>
      </c>
      <c r="L658" s="3" cm="1">
        <f t="array" ref="L658">SUM(($J658*EXP(-$H658*12*3600*_xlfn.SEQUENCE(L$1-1))))+$J658</f>
        <v>0</v>
      </c>
      <c r="M658" s="3"/>
      <c r="N658" s="3"/>
    </row>
    <row r="659" spans="2:14" hidden="1" x14ac:dyDescent="0.2">
      <c r="B659" s="3">
        <v>41095</v>
      </c>
      <c r="C659" s="3">
        <v>0</v>
      </c>
      <c r="D659">
        <v>656</v>
      </c>
      <c r="E659" t="str">
        <f>VLOOKUP(B659,Nuclides!A:F,5,FALSE)</f>
        <v>Nb95</v>
      </c>
      <c r="F659">
        <f>VLOOKUP(B659,Nuclides!A:F,4,FALSE)</f>
        <v>3023222.4</v>
      </c>
      <c r="G659" s="3" t="str">
        <f t="shared" si="53"/>
        <v>34.99d</v>
      </c>
      <c r="H659" s="3">
        <f t="shared" si="54"/>
        <v>2.2927429373371449E-7</v>
      </c>
      <c r="I659" s="3">
        <f t="shared" si="55"/>
        <v>0</v>
      </c>
      <c r="J659" s="3">
        <f t="shared" si="56"/>
        <v>0</v>
      </c>
      <c r="K659" s="3" t="str">
        <f t="shared" si="57"/>
        <v>Nb95</v>
      </c>
      <c r="L659" s="3" cm="1">
        <f t="array" ref="L659">SUM(($J659*EXP(-$H659*12*3600*_xlfn.SEQUENCE(L$1-1))))+$J659</f>
        <v>0</v>
      </c>
      <c r="M659" s="3"/>
      <c r="N659" s="3"/>
    </row>
    <row r="660" spans="2:14" hidden="1" x14ac:dyDescent="0.2">
      <c r="B660" s="3">
        <v>41096</v>
      </c>
      <c r="C660" s="3">
        <v>0</v>
      </c>
      <c r="D660">
        <v>657</v>
      </c>
      <c r="E660" t="str">
        <f>VLOOKUP(B660,Nuclides!A:F,5,FALSE)</f>
        <v>Nb96</v>
      </c>
      <c r="F660">
        <f>VLOOKUP(B660,Nuclides!A:F,4,FALSE)</f>
        <v>84060</v>
      </c>
      <c r="G660" s="3" t="str">
        <f t="shared" si="53"/>
        <v>23.35h</v>
      </c>
      <c r="H660" s="3">
        <f t="shared" si="54"/>
        <v>8.2458622479175036E-6</v>
      </c>
      <c r="I660" s="3">
        <f t="shared" si="55"/>
        <v>0</v>
      </c>
      <c r="J660" s="3">
        <f t="shared" si="56"/>
        <v>0</v>
      </c>
      <c r="K660" s="3" t="str">
        <f t="shared" si="57"/>
        <v>Nb96</v>
      </c>
      <c r="L660" s="3" cm="1">
        <f t="array" ref="L660">SUM(($J660*EXP(-$H660*12*3600*_xlfn.SEQUENCE(L$1-1))))+$J660</f>
        <v>0</v>
      </c>
      <c r="M660" s="3"/>
      <c r="N660" s="3"/>
    </row>
    <row r="661" spans="2:14" hidden="1" x14ac:dyDescent="0.2">
      <c r="B661" s="3">
        <v>41097</v>
      </c>
      <c r="C661" s="3">
        <v>0</v>
      </c>
      <c r="D661">
        <v>658</v>
      </c>
      <c r="E661" t="str">
        <f>VLOOKUP(B661,Nuclides!A:F,5,FALSE)</f>
        <v>Nb97</v>
      </c>
      <c r="F661">
        <f>VLOOKUP(B661,Nuclides!A:F,4,FALSE)</f>
        <v>4326</v>
      </c>
      <c r="G661" s="3" t="str">
        <f t="shared" si="53"/>
        <v>1.2h</v>
      </c>
      <c r="H661" s="3">
        <f t="shared" si="54"/>
        <v>1.6022819707811958E-4</v>
      </c>
      <c r="I661" s="3">
        <f t="shared" si="55"/>
        <v>0</v>
      </c>
      <c r="J661" s="3">
        <f t="shared" si="56"/>
        <v>0</v>
      </c>
      <c r="K661" s="3" t="str">
        <f t="shared" si="57"/>
        <v>Nb97</v>
      </c>
      <c r="L661" s="3" cm="1">
        <f t="array" ref="L661">SUM(($J661*EXP(-$H661*12*3600*_xlfn.SEQUENCE(L$1-1))))+$J661</f>
        <v>0</v>
      </c>
      <c r="M661" s="3"/>
      <c r="N661" s="3"/>
    </row>
    <row r="662" spans="2:14" hidden="1" x14ac:dyDescent="0.2">
      <c r="B662" s="3">
        <v>41098</v>
      </c>
      <c r="C662" s="3">
        <v>0</v>
      </c>
      <c r="D662">
        <v>659</v>
      </c>
      <c r="E662" t="str">
        <f>VLOOKUP(B662,Nuclides!A:F,5,FALSE)</f>
        <v>Nb98</v>
      </c>
      <c r="F662">
        <f>VLOOKUP(B662,Nuclides!A:F,4,FALSE)</f>
        <v>2.86</v>
      </c>
      <c r="G662" s="3" t="str">
        <f t="shared" si="53"/>
        <v>2.86s</v>
      </c>
      <c r="H662" s="3">
        <f t="shared" si="54"/>
        <v>0.24235915404193892</v>
      </c>
      <c r="I662" s="3">
        <f t="shared" si="55"/>
        <v>0</v>
      </c>
      <c r="J662" s="3">
        <f t="shared" si="56"/>
        <v>0</v>
      </c>
      <c r="K662" s="3" t="str">
        <f t="shared" si="57"/>
        <v>Nb98</v>
      </c>
      <c r="L662" s="3" cm="1">
        <f t="array" ref="L662">SUM(($J662*EXP(-$H662*12*3600*_xlfn.SEQUENCE(L$1-1))))+$J662</f>
        <v>0</v>
      </c>
      <c r="M662" s="3"/>
      <c r="N662" s="3"/>
    </row>
    <row r="663" spans="2:14" hidden="1" x14ac:dyDescent="0.2">
      <c r="B663" s="3">
        <v>41099</v>
      </c>
      <c r="C663" s="3">
        <v>0</v>
      </c>
      <c r="D663">
        <v>660</v>
      </c>
      <c r="E663" t="str">
        <f>VLOOKUP(B663,Nuclides!A:F,5,FALSE)</f>
        <v>Nb99</v>
      </c>
      <c r="F663">
        <f>VLOOKUP(B663,Nuclides!A:F,4,FALSE)</f>
        <v>15</v>
      </c>
      <c r="G663" s="3" t="str">
        <f t="shared" si="53"/>
        <v>15s</v>
      </c>
      <c r="H663" s="3">
        <f t="shared" si="54"/>
        <v>4.6209812037329684E-2</v>
      </c>
      <c r="I663" s="3">
        <f t="shared" si="55"/>
        <v>0</v>
      </c>
      <c r="J663" s="3">
        <f t="shared" si="56"/>
        <v>0</v>
      </c>
      <c r="K663" s="3" t="str">
        <f t="shared" si="57"/>
        <v>Nb99</v>
      </c>
      <c r="L663" s="3" cm="1">
        <f t="array" ref="L663">SUM(($J663*EXP(-$H663*12*3600*_xlfn.SEQUENCE(L$1-1))))+$J663</f>
        <v>0</v>
      </c>
      <c r="M663" s="3"/>
      <c r="N663" s="3"/>
    </row>
    <row r="664" spans="2:14" hidden="1" x14ac:dyDescent="0.2">
      <c r="B664" s="3">
        <v>41100</v>
      </c>
      <c r="C664" s="3">
        <v>0</v>
      </c>
      <c r="D664">
        <v>661</v>
      </c>
      <c r="E664" t="str">
        <f>VLOOKUP(B664,Nuclides!A:F,5,FALSE)</f>
        <v>Nb100</v>
      </c>
      <c r="F664">
        <f>VLOOKUP(B664,Nuclides!A:F,4,FALSE)</f>
        <v>1.5</v>
      </c>
      <c r="G664" s="3" t="str">
        <f t="shared" si="53"/>
        <v>1.5s</v>
      </c>
      <c r="H664" s="3">
        <f t="shared" si="54"/>
        <v>0.46209812037329684</v>
      </c>
      <c r="I664" s="3">
        <f t="shared" si="55"/>
        <v>0</v>
      </c>
      <c r="J664" s="3">
        <f t="shared" si="56"/>
        <v>0</v>
      </c>
      <c r="K664" s="3" t="str">
        <f t="shared" si="57"/>
        <v>Nb100</v>
      </c>
      <c r="L664" s="3" cm="1">
        <f t="array" ref="L664">SUM(($J664*EXP(-$H664*12*3600*_xlfn.SEQUENCE(L$1-1))))+$J664</f>
        <v>0</v>
      </c>
      <c r="M664" s="3"/>
      <c r="N664" s="3"/>
    </row>
    <row r="665" spans="2:14" hidden="1" x14ac:dyDescent="0.2">
      <c r="B665" s="3">
        <v>41101</v>
      </c>
      <c r="C665" s="3">
        <v>0</v>
      </c>
      <c r="D665">
        <v>662</v>
      </c>
      <c r="E665" t="str">
        <f>VLOOKUP(B665,Nuclides!A:F,5,FALSE)</f>
        <v>Nb101</v>
      </c>
      <c r="F665">
        <f>VLOOKUP(B665,Nuclides!A:F,4,FALSE)</f>
        <v>7.1</v>
      </c>
      <c r="G665" s="3" t="str">
        <f t="shared" si="53"/>
        <v>7.1s</v>
      </c>
      <c r="H665" s="3">
        <f t="shared" si="54"/>
        <v>9.7626363459147228E-2</v>
      </c>
      <c r="I665" s="3">
        <f t="shared" si="55"/>
        <v>0</v>
      </c>
      <c r="J665" s="3">
        <f t="shared" si="56"/>
        <v>0</v>
      </c>
      <c r="K665" s="3" t="str">
        <f t="shared" si="57"/>
        <v>Nb101</v>
      </c>
      <c r="L665" s="3" cm="1">
        <f t="array" ref="L665">SUM(($J665*EXP(-$H665*12*3600*_xlfn.SEQUENCE(L$1-1))))+$J665</f>
        <v>0</v>
      </c>
      <c r="M665" s="3"/>
      <c r="N665" s="3"/>
    </row>
    <row r="666" spans="2:14" hidden="1" x14ac:dyDescent="0.2">
      <c r="B666" s="3">
        <v>41102</v>
      </c>
      <c r="C666" s="3">
        <v>0</v>
      </c>
      <c r="D666">
        <v>663</v>
      </c>
      <c r="E666" t="str">
        <f>VLOOKUP(B666,Nuclides!A:F,5,FALSE)</f>
        <v>Nb102</v>
      </c>
      <c r="F666">
        <f>VLOOKUP(B666,Nuclides!A:F,4,FALSE)</f>
        <v>4.3</v>
      </c>
      <c r="G666" s="3" t="str">
        <f t="shared" si="53"/>
        <v>4.3s</v>
      </c>
      <c r="H666" s="3">
        <f t="shared" si="54"/>
        <v>0.16119701873487099</v>
      </c>
      <c r="I666" s="3">
        <f t="shared" si="55"/>
        <v>0</v>
      </c>
      <c r="J666" s="3">
        <f t="shared" si="56"/>
        <v>0</v>
      </c>
      <c r="K666" s="3" t="str">
        <f t="shared" si="57"/>
        <v>Nb102</v>
      </c>
      <c r="L666" s="3" cm="1">
        <f t="array" ref="L666">SUM(($J666*EXP(-$H666*12*3600*_xlfn.SEQUENCE(L$1-1))))+$J666</f>
        <v>0</v>
      </c>
      <c r="M666" s="3"/>
      <c r="N666" s="3"/>
    </row>
    <row r="667" spans="2:14" hidden="1" x14ac:dyDescent="0.2">
      <c r="B667" s="3">
        <v>41103</v>
      </c>
      <c r="C667" s="3">
        <v>0</v>
      </c>
      <c r="D667">
        <v>664</v>
      </c>
      <c r="E667" t="str">
        <f>VLOOKUP(B667,Nuclides!A:F,5,FALSE)</f>
        <v>Nb103</v>
      </c>
      <c r="F667">
        <f>VLOOKUP(B667,Nuclides!A:F,4,FALSE)</f>
        <v>1.5</v>
      </c>
      <c r="G667" s="3" t="str">
        <f t="shared" si="53"/>
        <v>1.5s</v>
      </c>
      <c r="H667" s="3">
        <f t="shared" si="54"/>
        <v>0.46209812037329684</v>
      </c>
      <c r="I667" s="3">
        <f t="shared" si="55"/>
        <v>0</v>
      </c>
      <c r="J667" s="3">
        <f t="shared" si="56"/>
        <v>0</v>
      </c>
      <c r="K667" s="3" t="str">
        <f t="shared" si="57"/>
        <v>Nb103</v>
      </c>
      <c r="L667" s="3" cm="1">
        <f t="array" ref="L667">SUM(($J667*EXP(-$H667*12*3600*_xlfn.SEQUENCE(L$1-1))))+$J667</f>
        <v>0</v>
      </c>
      <c r="M667" s="3"/>
      <c r="N667" s="3"/>
    </row>
    <row r="668" spans="2:14" hidden="1" x14ac:dyDescent="0.2">
      <c r="B668" s="3">
        <v>41104</v>
      </c>
      <c r="C668" s="3">
        <v>0</v>
      </c>
      <c r="D668">
        <v>665</v>
      </c>
      <c r="E668" t="str">
        <f>VLOOKUP(B668,Nuclides!A:F,5,FALSE)</f>
        <v>Nb104</v>
      </c>
      <c r="F668">
        <f>VLOOKUP(B668,Nuclides!A:F,4,FALSE)</f>
        <v>4.9000000000000004</v>
      </c>
      <c r="G668" s="3" t="str">
        <f t="shared" si="53"/>
        <v>4.9s</v>
      </c>
      <c r="H668" s="3">
        <f t="shared" si="54"/>
        <v>0.14145860827753984</v>
      </c>
      <c r="I668" s="3">
        <f t="shared" si="55"/>
        <v>0</v>
      </c>
      <c r="J668" s="3">
        <f t="shared" si="56"/>
        <v>0</v>
      </c>
      <c r="K668" s="3" t="str">
        <f t="shared" si="57"/>
        <v>Nb104</v>
      </c>
      <c r="L668" s="3" cm="1">
        <f t="array" ref="L668">SUM(($J668*EXP(-$H668*12*3600*_xlfn.SEQUENCE(L$1-1))))+$J668</f>
        <v>0</v>
      </c>
      <c r="M668" s="3"/>
      <c r="N668" s="3"/>
    </row>
    <row r="669" spans="2:14" hidden="1" x14ac:dyDescent="0.2">
      <c r="B669" s="3">
        <v>41105</v>
      </c>
      <c r="C669" s="3">
        <v>0</v>
      </c>
      <c r="D669">
        <v>666</v>
      </c>
      <c r="E669" t="str">
        <f>VLOOKUP(B669,Nuclides!A:F,5,FALSE)</f>
        <v>Nb105</v>
      </c>
      <c r="F669">
        <f>VLOOKUP(B669,Nuclides!A:F,4,FALSE)</f>
        <v>2.95</v>
      </c>
      <c r="G669" s="3" t="str">
        <f t="shared" si="53"/>
        <v>2.95s</v>
      </c>
      <c r="H669" s="3">
        <f t="shared" si="54"/>
        <v>0.23496514595252382</v>
      </c>
      <c r="I669" s="3">
        <f t="shared" si="55"/>
        <v>0</v>
      </c>
      <c r="J669" s="3">
        <f t="shared" si="56"/>
        <v>0</v>
      </c>
      <c r="K669" s="3" t="str">
        <f t="shared" si="57"/>
        <v>Nb105</v>
      </c>
      <c r="L669" s="3" cm="1">
        <f t="array" ref="L669">SUM(($J669*EXP(-$H669*12*3600*_xlfn.SEQUENCE(L$1-1))))+$J669</f>
        <v>0</v>
      </c>
      <c r="M669" s="3"/>
      <c r="N669" s="3"/>
    </row>
    <row r="670" spans="2:14" hidden="1" x14ac:dyDescent="0.2">
      <c r="B670" s="3">
        <v>41106</v>
      </c>
      <c r="C670" s="3">
        <v>0</v>
      </c>
      <c r="D670">
        <v>667</v>
      </c>
      <c r="E670" t="str">
        <f>VLOOKUP(B670,Nuclides!A:F,5,FALSE)</f>
        <v>Nb106</v>
      </c>
      <c r="F670">
        <f>VLOOKUP(B670,Nuclides!A:F,4,FALSE)</f>
        <v>1.02</v>
      </c>
      <c r="G670" s="3" t="str">
        <f t="shared" si="53"/>
        <v>1.02s</v>
      </c>
      <c r="H670" s="3">
        <f t="shared" si="54"/>
        <v>0.67955605937249541</v>
      </c>
      <c r="I670" s="3">
        <f t="shared" si="55"/>
        <v>0</v>
      </c>
      <c r="J670" s="3">
        <f t="shared" si="56"/>
        <v>0</v>
      </c>
      <c r="K670" s="3" t="str">
        <f t="shared" si="57"/>
        <v>Nb106</v>
      </c>
      <c r="L670" s="3" cm="1">
        <f t="array" ref="L670">SUM(($J670*EXP(-$H670*12*3600*_xlfn.SEQUENCE(L$1-1))))+$J670</f>
        <v>0</v>
      </c>
      <c r="M670" s="3"/>
      <c r="N670" s="3"/>
    </row>
    <row r="671" spans="2:14" hidden="1" x14ac:dyDescent="0.2">
      <c r="B671" s="3">
        <v>42087</v>
      </c>
      <c r="C671" s="3">
        <v>0</v>
      </c>
      <c r="D671">
        <v>668</v>
      </c>
      <c r="E671" t="str">
        <f>VLOOKUP(B671,Nuclides!A:F,5,FALSE)</f>
        <v>Mo87</v>
      </c>
      <c r="F671">
        <f>VLOOKUP(B671,Nuclides!A:F,4,FALSE)</f>
        <v>14.02</v>
      </c>
      <c r="G671" s="3" t="str">
        <f t="shared" si="53"/>
        <v>14.02s</v>
      </c>
      <c r="H671" s="3">
        <f t="shared" si="54"/>
        <v>4.9439884490723632E-2</v>
      </c>
      <c r="I671" s="3">
        <f t="shared" si="55"/>
        <v>0</v>
      </c>
      <c r="J671" s="3">
        <f t="shared" si="56"/>
        <v>0</v>
      </c>
      <c r="K671" s="3" t="str">
        <f t="shared" si="57"/>
        <v>Mo87</v>
      </c>
      <c r="L671" s="3" cm="1">
        <f t="array" ref="L671">SUM(($J671*EXP(-$H671*12*3600*_xlfn.SEQUENCE(L$1-1))))+$J671</f>
        <v>0</v>
      </c>
      <c r="M671" s="3"/>
      <c r="N671" s="3"/>
    </row>
    <row r="672" spans="2:14" hidden="1" x14ac:dyDescent="0.2">
      <c r="B672" s="3">
        <v>42088</v>
      </c>
      <c r="C672" s="3">
        <v>0</v>
      </c>
      <c r="D672">
        <v>669</v>
      </c>
      <c r="E672" t="str">
        <f>VLOOKUP(B672,Nuclides!A:F,5,FALSE)</f>
        <v>Mo88</v>
      </c>
      <c r="F672">
        <f>VLOOKUP(B672,Nuclides!A:F,4,FALSE)</f>
        <v>480</v>
      </c>
      <c r="G672" s="3" t="str">
        <f t="shared" si="53"/>
        <v>8min</v>
      </c>
      <c r="H672" s="3">
        <f t="shared" si="54"/>
        <v>1.4440566261665526E-3</v>
      </c>
      <c r="I672" s="3">
        <f t="shared" si="55"/>
        <v>0</v>
      </c>
      <c r="J672" s="3">
        <f t="shared" si="56"/>
        <v>0</v>
      </c>
      <c r="K672" s="3" t="str">
        <f t="shared" si="57"/>
        <v>Mo88</v>
      </c>
      <c r="L672" s="3" cm="1">
        <f t="array" ref="L672">SUM(($J672*EXP(-$H672*12*3600*_xlfn.SEQUENCE(L$1-1))))+$J672</f>
        <v>0</v>
      </c>
      <c r="M672" s="3"/>
      <c r="N672" s="3"/>
    </row>
    <row r="673" spans="2:14" hidden="1" x14ac:dyDescent="0.2">
      <c r="B673" s="3">
        <v>42089</v>
      </c>
      <c r="C673" s="3">
        <v>0</v>
      </c>
      <c r="D673">
        <v>670</v>
      </c>
      <c r="E673" t="str">
        <f>VLOOKUP(B673,Nuclides!A:F,5,FALSE)</f>
        <v>Mo89</v>
      </c>
      <c r="F673">
        <f>VLOOKUP(B673,Nuclides!A:F,4,FALSE)</f>
        <v>126.6</v>
      </c>
      <c r="G673" s="3" t="str">
        <f t="shared" si="53"/>
        <v>2.11min</v>
      </c>
      <c r="H673" s="3">
        <f t="shared" si="54"/>
        <v>5.4750962129537541E-3</v>
      </c>
      <c r="I673" s="3">
        <f t="shared" si="55"/>
        <v>0</v>
      </c>
      <c r="J673" s="3">
        <f t="shared" si="56"/>
        <v>0</v>
      </c>
      <c r="K673" s="3" t="str">
        <f t="shared" si="57"/>
        <v>Mo89</v>
      </c>
      <c r="L673" s="3" cm="1">
        <f t="array" ref="L673">SUM(($J673*EXP(-$H673*12*3600*_xlfn.SEQUENCE(L$1-1))))+$J673</f>
        <v>0</v>
      </c>
      <c r="M673" s="3"/>
      <c r="N673" s="3"/>
    </row>
    <row r="674" spans="2:14" hidden="1" x14ac:dyDescent="0.2">
      <c r="B674" s="3">
        <v>42090</v>
      </c>
      <c r="C674" s="3">
        <v>0</v>
      </c>
      <c r="D674">
        <v>671</v>
      </c>
      <c r="E674" t="str">
        <f>VLOOKUP(B674,Nuclides!A:F,5,FALSE)</f>
        <v>Mo90</v>
      </c>
      <c r="F674">
        <f>VLOOKUP(B674,Nuclides!A:F,4,FALSE)</f>
        <v>20016</v>
      </c>
      <c r="G674" s="3" t="str">
        <f t="shared" si="53"/>
        <v>5.56h</v>
      </c>
      <c r="H674" s="3">
        <f t="shared" si="54"/>
        <v>3.4629655303754263E-5</v>
      </c>
      <c r="I674" s="3">
        <f t="shared" si="55"/>
        <v>0</v>
      </c>
      <c r="J674" s="3">
        <f t="shared" si="56"/>
        <v>0</v>
      </c>
      <c r="K674" s="3" t="str">
        <f t="shared" si="57"/>
        <v>Mo90</v>
      </c>
      <c r="L674" s="3" cm="1">
        <f t="array" ref="L674">SUM(($J674*EXP(-$H674*12*3600*_xlfn.SEQUENCE(L$1-1))))+$J674</f>
        <v>0</v>
      </c>
      <c r="M674" s="3"/>
      <c r="N674" s="3"/>
    </row>
    <row r="675" spans="2:14" hidden="1" x14ac:dyDescent="0.2">
      <c r="B675" s="3">
        <v>42091</v>
      </c>
      <c r="C675" s="3">
        <v>0</v>
      </c>
      <c r="D675">
        <v>672</v>
      </c>
      <c r="E675" t="str">
        <f>VLOOKUP(B675,Nuclides!A:F,5,FALSE)</f>
        <v>Mo91</v>
      </c>
      <c r="F675">
        <f>VLOOKUP(B675,Nuclides!A:F,4,FALSE)</f>
        <v>929.4</v>
      </c>
      <c r="G675" s="3" t="str">
        <f t="shared" si="53"/>
        <v>15.49min</v>
      </c>
      <c r="H675" s="3">
        <f t="shared" si="54"/>
        <v>7.4580071073805177E-4</v>
      </c>
      <c r="I675" s="3">
        <f t="shared" si="55"/>
        <v>0</v>
      </c>
      <c r="J675" s="3">
        <f t="shared" si="56"/>
        <v>0</v>
      </c>
      <c r="K675" s="3" t="str">
        <f t="shared" si="57"/>
        <v>Mo91</v>
      </c>
      <c r="L675" s="3" cm="1">
        <f t="array" ref="L675">SUM(($J675*EXP(-$H675*12*3600*_xlfn.SEQUENCE(L$1-1))))+$J675</f>
        <v>0</v>
      </c>
      <c r="M675" s="3"/>
      <c r="N675" s="3"/>
    </row>
    <row r="676" spans="2:14" hidden="1" x14ac:dyDescent="0.2">
      <c r="B676" s="3">
        <v>42092</v>
      </c>
      <c r="C676" s="3">
        <v>0</v>
      </c>
      <c r="D676">
        <v>673</v>
      </c>
      <c r="E676" t="str">
        <f>VLOOKUP(B676,Nuclides!A:F,5,FALSE)</f>
        <v>Mo92</v>
      </c>
      <c r="F676" t="str">
        <f>VLOOKUP(B676,Nuclides!A:F,4,FALSE)</f>
        <v>STABLE</v>
      </c>
      <c r="G676" s="3" t="str">
        <f t="shared" si="53"/>
        <v>STABLE</v>
      </c>
      <c r="H676" s="3" t="e">
        <f t="shared" si="54"/>
        <v>#VALUE!</v>
      </c>
      <c r="I676" s="3" t="e">
        <f t="shared" si="55"/>
        <v>#VALUE!</v>
      </c>
      <c r="J676" s="3" t="e">
        <f t="shared" si="56"/>
        <v>#VALUE!</v>
      </c>
      <c r="K676" s="3" t="str">
        <f t="shared" si="57"/>
        <v>Mo92</v>
      </c>
      <c r="L676" s="3" t="e" cm="1">
        <f t="array" ref="L676">SUM(($J676*EXP(-$H676*12*3600*_xlfn.SEQUENCE(L$1-1))))+$J676</f>
        <v>#VALUE!</v>
      </c>
      <c r="M676" s="3"/>
      <c r="N676" s="3"/>
    </row>
    <row r="677" spans="2:14" hidden="1" x14ac:dyDescent="0.2">
      <c r="B677" s="3">
        <v>42093</v>
      </c>
      <c r="C677" s="3">
        <v>0</v>
      </c>
      <c r="D677">
        <v>674</v>
      </c>
      <c r="E677" t="str">
        <f>VLOOKUP(B677,Nuclides!A:F,5,FALSE)</f>
        <v>Mo93</v>
      </c>
      <c r="F677">
        <f>VLOOKUP(B677,Nuclides!A:F,4,FALSE)</f>
        <v>126230400000</v>
      </c>
      <c r="G677" s="3" t="str">
        <f t="shared" si="53"/>
        <v>4002.74y</v>
      </c>
      <c r="H677" s="3">
        <f t="shared" si="54"/>
        <v>5.4911271814075315E-12</v>
      </c>
      <c r="I677" s="3">
        <f t="shared" si="55"/>
        <v>0</v>
      </c>
      <c r="J677" s="3">
        <f t="shared" si="56"/>
        <v>0</v>
      </c>
      <c r="K677" s="3" t="str">
        <f t="shared" si="57"/>
        <v>Mo93</v>
      </c>
      <c r="L677" s="3" cm="1">
        <f t="array" ref="L677">SUM(($J677*EXP(-$H677*12*3600*_xlfn.SEQUENCE(L$1-1))))+$J677</f>
        <v>0</v>
      </c>
      <c r="M677" s="3"/>
      <c r="N677" s="3"/>
    </row>
    <row r="678" spans="2:14" hidden="1" x14ac:dyDescent="0.2">
      <c r="B678" s="3">
        <v>42094</v>
      </c>
      <c r="C678" s="3">
        <v>0</v>
      </c>
      <c r="D678">
        <v>675</v>
      </c>
      <c r="E678" t="str">
        <f>VLOOKUP(B678,Nuclides!A:F,5,FALSE)</f>
        <v>Mo94</v>
      </c>
      <c r="F678" t="str">
        <f>VLOOKUP(B678,Nuclides!A:F,4,FALSE)</f>
        <v>STABLE</v>
      </c>
      <c r="G678" s="3" t="str">
        <f t="shared" si="53"/>
        <v>STABLE</v>
      </c>
      <c r="H678" s="3" t="e">
        <f t="shared" si="54"/>
        <v>#VALUE!</v>
      </c>
      <c r="I678" s="3" t="e">
        <f t="shared" si="55"/>
        <v>#VALUE!</v>
      </c>
      <c r="J678" s="3" t="e">
        <f t="shared" si="56"/>
        <v>#VALUE!</v>
      </c>
      <c r="K678" s="3" t="str">
        <f t="shared" si="57"/>
        <v>Mo94</v>
      </c>
      <c r="L678" s="3" t="e" cm="1">
        <f t="array" ref="L678">SUM(($J678*EXP(-$H678*12*3600*_xlfn.SEQUENCE(L$1-1))))+$J678</f>
        <v>#VALUE!</v>
      </c>
      <c r="M678" s="3"/>
      <c r="N678" s="3"/>
    </row>
    <row r="679" spans="2:14" hidden="1" x14ac:dyDescent="0.2">
      <c r="B679" s="3">
        <v>42095</v>
      </c>
      <c r="C679" s="3">
        <v>0</v>
      </c>
      <c r="D679">
        <v>676</v>
      </c>
      <c r="E679" t="str">
        <f>VLOOKUP(B679,Nuclides!A:F,5,FALSE)</f>
        <v>Mo95</v>
      </c>
      <c r="F679" t="str">
        <f>VLOOKUP(B679,Nuclides!A:F,4,FALSE)</f>
        <v>STABLE</v>
      </c>
      <c r="G679" s="3" t="str">
        <f t="shared" si="53"/>
        <v>STABLE</v>
      </c>
      <c r="H679" s="3" t="e">
        <f t="shared" si="54"/>
        <v>#VALUE!</v>
      </c>
      <c r="I679" s="3" t="e">
        <f t="shared" si="55"/>
        <v>#VALUE!</v>
      </c>
      <c r="J679" s="3" t="e">
        <f t="shared" si="56"/>
        <v>#VALUE!</v>
      </c>
      <c r="K679" s="3" t="str">
        <f t="shared" si="57"/>
        <v>Mo95</v>
      </c>
      <c r="L679" s="3" t="e" cm="1">
        <f t="array" ref="L679">SUM(($J679*EXP(-$H679*12*3600*_xlfn.SEQUENCE(L$1-1))))+$J679</f>
        <v>#VALUE!</v>
      </c>
      <c r="M679" s="3"/>
      <c r="N679" s="3"/>
    </row>
    <row r="680" spans="2:14" hidden="1" x14ac:dyDescent="0.2">
      <c r="B680" s="3">
        <v>42096</v>
      </c>
      <c r="C680" s="3">
        <v>0</v>
      </c>
      <c r="D680">
        <v>677</v>
      </c>
      <c r="E680" t="str">
        <f>VLOOKUP(B680,Nuclides!A:F,5,FALSE)</f>
        <v>Mo96</v>
      </c>
      <c r="F680" t="str">
        <f>VLOOKUP(B680,Nuclides!A:F,4,FALSE)</f>
        <v>STABLE</v>
      </c>
      <c r="G680" s="3" t="str">
        <f t="shared" si="53"/>
        <v>STABLE</v>
      </c>
      <c r="H680" s="3" t="e">
        <f t="shared" si="54"/>
        <v>#VALUE!</v>
      </c>
      <c r="I680" s="3" t="e">
        <f t="shared" si="55"/>
        <v>#VALUE!</v>
      </c>
      <c r="J680" s="3" t="e">
        <f t="shared" si="56"/>
        <v>#VALUE!</v>
      </c>
      <c r="K680" s="3" t="str">
        <f t="shared" si="57"/>
        <v>Mo96</v>
      </c>
      <c r="L680" s="3" t="e" cm="1">
        <f t="array" ref="L680">SUM(($J680*EXP(-$H680*12*3600*_xlfn.SEQUENCE(L$1-1))))+$J680</f>
        <v>#VALUE!</v>
      </c>
      <c r="M680" s="3"/>
      <c r="N680" s="3"/>
    </row>
    <row r="681" spans="2:14" hidden="1" x14ac:dyDescent="0.2">
      <c r="B681" s="3">
        <v>42097</v>
      </c>
      <c r="C681" s="3">
        <v>0</v>
      </c>
      <c r="D681">
        <v>678</v>
      </c>
      <c r="E681" t="str">
        <f>VLOOKUP(B681,Nuclides!A:F,5,FALSE)</f>
        <v>Mo97</v>
      </c>
      <c r="F681" t="str">
        <f>VLOOKUP(B681,Nuclides!A:F,4,FALSE)</f>
        <v>STABLE</v>
      </c>
      <c r="G681" s="3" t="str">
        <f t="shared" si="53"/>
        <v>STABLE</v>
      </c>
      <c r="H681" s="3" t="e">
        <f t="shared" si="54"/>
        <v>#VALUE!</v>
      </c>
      <c r="I681" s="3" t="e">
        <f t="shared" si="55"/>
        <v>#VALUE!</v>
      </c>
      <c r="J681" s="3" t="e">
        <f t="shared" si="56"/>
        <v>#VALUE!</v>
      </c>
      <c r="K681" s="3" t="str">
        <f t="shared" si="57"/>
        <v>Mo97</v>
      </c>
      <c r="L681" s="3" t="e" cm="1">
        <f t="array" ref="L681">SUM(($J681*EXP(-$H681*12*3600*_xlfn.SEQUENCE(L$1-1))))+$J681</f>
        <v>#VALUE!</v>
      </c>
      <c r="M681" s="3"/>
      <c r="N681" s="3"/>
    </row>
    <row r="682" spans="2:14" hidden="1" x14ac:dyDescent="0.2">
      <c r="B682" s="3">
        <v>42098</v>
      </c>
      <c r="C682" s="3">
        <v>0</v>
      </c>
      <c r="D682">
        <v>679</v>
      </c>
      <c r="E682" t="str">
        <f>VLOOKUP(B682,Nuclides!A:F,5,FALSE)</f>
        <v>Mo98</v>
      </c>
      <c r="F682" t="str">
        <f>VLOOKUP(B682,Nuclides!A:F,4,FALSE)</f>
        <v>STABLE</v>
      </c>
      <c r="G682" s="3" t="str">
        <f t="shared" si="53"/>
        <v>STABLE</v>
      </c>
      <c r="H682" s="3" t="e">
        <f t="shared" si="54"/>
        <v>#VALUE!</v>
      </c>
      <c r="I682" s="3" t="e">
        <f t="shared" si="55"/>
        <v>#VALUE!</v>
      </c>
      <c r="J682" s="3" t="e">
        <f t="shared" si="56"/>
        <v>#VALUE!</v>
      </c>
      <c r="K682" s="3" t="str">
        <f t="shared" si="57"/>
        <v>Mo98</v>
      </c>
      <c r="L682" s="3" t="e" cm="1">
        <f t="array" ref="L682">SUM(($J682*EXP(-$H682*12*3600*_xlfn.SEQUENCE(L$1-1))))+$J682</f>
        <v>#VALUE!</v>
      </c>
      <c r="M682" s="3"/>
      <c r="N682" s="3"/>
    </row>
    <row r="683" spans="2:14" hidden="1" x14ac:dyDescent="0.2">
      <c r="B683" s="3">
        <v>42099</v>
      </c>
      <c r="C683" s="3">
        <v>0</v>
      </c>
      <c r="D683">
        <v>680</v>
      </c>
      <c r="E683" t="str">
        <f>VLOOKUP(B683,Nuclides!A:F,5,FALSE)</f>
        <v>Mo99</v>
      </c>
      <c r="F683">
        <f>VLOOKUP(B683,Nuclides!A:F,4,FALSE)</f>
        <v>237513.60000000001</v>
      </c>
      <c r="G683" s="3" t="str">
        <f t="shared" si="53"/>
        <v>2.75d</v>
      </c>
      <c r="H683" s="3">
        <f t="shared" si="54"/>
        <v>2.9183473306789393E-6</v>
      </c>
      <c r="I683" s="3">
        <f t="shared" si="55"/>
        <v>0</v>
      </c>
      <c r="J683" s="3">
        <f t="shared" si="56"/>
        <v>0</v>
      </c>
      <c r="K683" s="3" t="str">
        <f t="shared" si="57"/>
        <v>Mo99</v>
      </c>
      <c r="L683" s="3" cm="1">
        <f t="array" ref="L683">SUM(($J683*EXP(-$H683*12*3600*_xlfn.SEQUENCE(L$1-1))))+$J683</f>
        <v>0</v>
      </c>
      <c r="M683" s="3"/>
      <c r="N683" s="3"/>
    </row>
    <row r="684" spans="2:14" hidden="1" x14ac:dyDescent="0.2">
      <c r="B684" s="3">
        <v>42100</v>
      </c>
      <c r="C684" s="3">
        <v>0</v>
      </c>
      <c r="D684">
        <v>681</v>
      </c>
      <c r="E684" t="str">
        <f>VLOOKUP(B684,Nuclides!A:F,5,FALSE)</f>
        <v>Mo100</v>
      </c>
      <c r="F684">
        <f>VLOOKUP(B684,Nuclides!A:F,4,FALSE)</f>
        <v>2.3037048000000002E+26</v>
      </c>
      <c r="G684" s="3" t="str">
        <f t="shared" si="53"/>
        <v>7305000000000000000y</v>
      </c>
      <c r="H684" s="3">
        <f t="shared" si="54"/>
        <v>3.0088368117301542E-27</v>
      </c>
      <c r="I684" s="3">
        <f t="shared" si="55"/>
        <v>0</v>
      </c>
      <c r="J684" s="3">
        <f t="shared" si="56"/>
        <v>0</v>
      </c>
      <c r="K684" s="3" t="str">
        <f t="shared" si="57"/>
        <v>Mo100</v>
      </c>
      <c r="L684" s="3" cm="1">
        <f t="array" ref="L684">SUM(($J684*EXP(-$H684*12*3600*_xlfn.SEQUENCE(L$1-1))))+$J684</f>
        <v>0</v>
      </c>
      <c r="M684" s="3"/>
      <c r="N684" s="3"/>
    </row>
    <row r="685" spans="2:14" hidden="1" x14ac:dyDescent="0.2">
      <c r="B685" s="3">
        <v>42101</v>
      </c>
      <c r="C685" s="3">
        <v>0</v>
      </c>
      <c r="D685">
        <v>682</v>
      </c>
      <c r="E685" t="str">
        <f>VLOOKUP(B685,Nuclides!A:F,5,FALSE)</f>
        <v>Mo101</v>
      </c>
      <c r="F685">
        <f>VLOOKUP(B685,Nuclides!A:F,4,FALSE)</f>
        <v>876.599999999999</v>
      </c>
      <c r="G685" s="3" t="str">
        <f t="shared" si="53"/>
        <v>14.61min</v>
      </c>
      <c r="H685" s="3">
        <f t="shared" si="54"/>
        <v>7.9072231412268543E-4</v>
      </c>
      <c r="I685" s="3">
        <f t="shared" si="55"/>
        <v>0</v>
      </c>
      <c r="J685" s="3">
        <f t="shared" si="56"/>
        <v>0</v>
      </c>
      <c r="K685" s="3" t="str">
        <f t="shared" si="57"/>
        <v>Mo101</v>
      </c>
      <c r="L685" s="3" cm="1">
        <f t="array" ref="L685">SUM(($J685*EXP(-$H685*12*3600*_xlfn.SEQUENCE(L$1-1))))+$J685</f>
        <v>0</v>
      </c>
      <c r="M685" s="3"/>
      <c r="N685" s="3"/>
    </row>
    <row r="686" spans="2:14" hidden="1" x14ac:dyDescent="0.2">
      <c r="B686" s="3">
        <v>42102</v>
      </c>
      <c r="C686" s="3">
        <v>0</v>
      </c>
      <c r="D686">
        <v>683</v>
      </c>
      <c r="E686" t="str">
        <f>VLOOKUP(B686,Nuclides!A:F,5,FALSE)</f>
        <v>Mo102</v>
      </c>
      <c r="F686">
        <f>VLOOKUP(B686,Nuclides!A:F,4,FALSE)</f>
        <v>678</v>
      </c>
      <c r="G686" s="3" t="str">
        <f t="shared" si="53"/>
        <v>11.3min</v>
      </c>
      <c r="H686" s="3">
        <f t="shared" si="54"/>
        <v>1.0223409742772054E-3</v>
      </c>
      <c r="I686" s="3">
        <f t="shared" si="55"/>
        <v>0</v>
      </c>
      <c r="J686" s="3">
        <f t="shared" si="56"/>
        <v>0</v>
      </c>
      <c r="K686" s="3" t="str">
        <f t="shared" si="57"/>
        <v>Mo102</v>
      </c>
      <c r="L686" s="3" cm="1">
        <f t="array" ref="L686">SUM(($J686*EXP(-$H686*12*3600*_xlfn.SEQUENCE(L$1-1))))+$J686</f>
        <v>0</v>
      </c>
      <c r="M686" s="3"/>
      <c r="N686" s="3"/>
    </row>
    <row r="687" spans="2:14" hidden="1" x14ac:dyDescent="0.2">
      <c r="B687" s="3">
        <v>42103</v>
      </c>
      <c r="C687" s="3">
        <v>0</v>
      </c>
      <c r="D687">
        <v>684</v>
      </c>
      <c r="E687" t="str">
        <f>VLOOKUP(B687,Nuclides!A:F,5,FALSE)</f>
        <v>Mo103</v>
      </c>
      <c r="F687">
        <f>VLOOKUP(B687,Nuclides!A:F,4,FALSE)</f>
        <v>67.5</v>
      </c>
      <c r="G687" s="3" t="str">
        <f t="shared" si="53"/>
        <v>1.13min</v>
      </c>
      <c r="H687" s="3">
        <f t="shared" si="54"/>
        <v>1.0268847119406597E-2</v>
      </c>
      <c r="I687" s="3">
        <f t="shared" si="55"/>
        <v>0</v>
      </c>
      <c r="J687" s="3">
        <f t="shared" si="56"/>
        <v>0</v>
      </c>
      <c r="K687" s="3" t="str">
        <f t="shared" si="57"/>
        <v>Mo103</v>
      </c>
      <c r="L687" s="3" cm="1">
        <f t="array" ref="L687">SUM(($J687*EXP(-$H687*12*3600*_xlfn.SEQUENCE(L$1-1))))+$J687</f>
        <v>0</v>
      </c>
      <c r="M687" s="3"/>
      <c r="N687" s="3"/>
    </row>
    <row r="688" spans="2:14" hidden="1" x14ac:dyDescent="0.2">
      <c r="B688" s="3">
        <v>42104</v>
      </c>
      <c r="C688" s="3">
        <v>0</v>
      </c>
      <c r="D688">
        <v>685</v>
      </c>
      <c r="E688" t="str">
        <f>VLOOKUP(B688,Nuclides!A:F,5,FALSE)</f>
        <v>Mo104</v>
      </c>
      <c r="F688">
        <f>VLOOKUP(B688,Nuclides!A:F,4,FALSE)</f>
        <v>60</v>
      </c>
      <c r="G688" s="3" t="str">
        <f t="shared" si="53"/>
        <v>1min</v>
      </c>
      <c r="H688" s="3">
        <f t="shared" si="54"/>
        <v>1.1552453009332421E-2</v>
      </c>
      <c r="I688" s="3">
        <f t="shared" si="55"/>
        <v>0</v>
      </c>
      <c r="J688" s="3">
        <f t="shared" si="56"/>
        <v>0</v>
      </c>
      <c r="K688" s="3" t="str">
        <f t="shared" si="57"/>
        <v>Mo104</v>
      </c>
      <c r="L688" s="3" cm="1">
        <f t="array" ref="L688">SUM(($J688*EXP(-$H688*12*3600*_xlfn.SEQUENCE(L$1-1))))+$J688</f>
        <v>0</v>
      </c>
      <c r="M688" s="3"/>
      <c r="N688" s="3"/>
    </row>
    <row r="689" spans="2:14" hidden="1" x14ac:dyDescent="0.2">
      <c r="B689" s="3">
        <v>42105</v>
      </c>
      <c r="C689" s="3">
        <v>0</v>
      </c>
      <c r="D689">
        <v>686</v>
      </c>
      <c r="E689" t="str">
        <f>VLOOKUP(B689,Nuclides!A:F,5,FALSE)</f>
        <v>Mo105</v>
      </c>
      <c r="F689">
        <f>VLOOKUP(B689,Nuclides!A:F,4,FALSE)</f>
        <v>35.6</v>
      </c>
      <c r="G689" s="3" t="str">
        <f t="shared" si="53"/>
        <v>35.6s</v>
      </c>
      <c r="H689" s="3">
        <f t="shared" si="54"/>
        <v>1.9470426420223182E-2</v>
      </c>
      <c r="I689" s="3">
        <f t="shared" si="55"/>
        <v>0</v>
      </c>
      <c r="J689" s="3">
        <f t="shared" si="56"/>
        <v>0</v>
      </c>
      <c r="K689" s="3" t="str">
        <f t="shared" si="57"/>
        <v>Mo105</v>
      </c>
      <c r="L689" s="3" cm="1">
        <f t="array" ref="L689">SUM(($J689*EXP(-$H689*12*3600*_xlfn.SEQUENCE(L$1-1))))+$J689</f>
        <v>0</v>
      </c>
      <c r="M689" s="3"/>
      <c r="N689" s="3"/>
    </row>
    <row r="690" spans="2:14" hidden="1" x14ac:dyDescent="0.2">
      <c r="B690" s="3">
        <v>42106</v>
      </c>
      <c r="C690" s="3">
        <v>0</v>
      </c>
      <c r="D690">
        <v>687</v>
      </c>
      <c r="E690" t="str">
        <f>VLOOKUP(B690,Nuclides!A:F,5,FALSE)</f>
        <v>Mo106</v>
      </c>
      <c r="F690">
        <f>VLOOKUP(B690,Nuclides!A:F,4,FALSE)</f>
        <v>8.73</v>
      </c>
      <c r="G690" s="3" t="str">
        <f t="shared" si="53"/>
        <v>8.73s</v>
      </c>
      <c r="H690" s="3">
        <f t="shared" si="54"/>
        <v>7.9398302469638637E-2</v>
      </c>
      <c r="I690" s="3">
        <f t="shared" si="55"/>
        <v>0</v>
      </c>
      <c r="J690" s="3">
        <f t="shared" si="56"/>
        <v>0</v>
      </c>
      <c r="K690" s="3" t="str">
        <f t="shared" si="57"/>
        <v>Mo106</v>
      </c>
      <c r="L690" s="3" cm="1">
        <f t="array" ref="L690">SUM(($J690*EXP(-$H690*12*3600*_xlfn.SEQUENCE(L$1-1))))+$J690</f>
        <v>0</v>
      </c>
      <c r="M690" s="3"/>
      <c r="N690" s="3"/>
    </row>
    <row r="691" spans="2:14" hidden="1" x14ac:dyDescent="0.2">
      <c r="B691" s="3">
        <v>42107</v>
      </c>
      <c r="C691" s="3">
        <v>0</v>
      </c>
      <c r="D691">
        <v>688</v>
      </c>
      <c r="E691" t="str">
        <f>VLOOKUP(B691,Nuclides!A:F,5,FALSE)</f>
        <v>Mo107</v>
      </c>
      <c r="F691">
        <f>VLOOKUP(B691,Nuclides!A:F,4,FALSE)</f>
        <v>3.5</v>
      </c>
      <c r="G691" s="3" t="str">
        <f t="shared" si="53"/>
        <v>3.5s</v>
      </c>
      <c r="H691" s="3">
        <f t="shared" si="54"/>
        <v>0.19804205158855578</v>
      </c>
      <c r="I691" s="3">
        <f t="shared" si="55"/>
        <v>0</v>
      </c>
      <c r="J691" s="3">
        <f t="shared" si="56"/>
        <v>0</v>
      </c>
      <c r="K691" s="3" t="str">
        <f t="shared" si="57"/>
        <v>Mo107</v>
      </c>
      <c r="L691" s="3" cm="1">
        <f t="array" ref="L691">SUM(($J691*EXP(-$H691*12*3600*_xlfn.SEQUENCE(L$1-1))))+$J691</f>
        <v>0</v>
      </c>
      <c r="M691" s="3"/>
      <c r="N691" s="3"/>
    </row>
    <row r="692" spans="2:14" hidden="1" x14ac:dyDescent="0.2">
      <c r="B692" s="3">
        <v>42108</v>
      </c>
      <c r="C692" s="3">
        <v>0</v>
      </c>
      <c r="D692">
        <v>689</v>
      </c>
      <c r="E692" t="str">
        <f>VLOOKUP(B692,Nuclides!A:F,5,FALSE)</f>
        <v>Mo108</v>
      </c>
      <c r="F692">
        <f>VLOOKUP(B692,Nuclides!A:F,4,FALSE)</f>
        <v>1.0900000000000001</v>
      </c>
      <c r="G692" s="3" t="str">
        <f t="shared" si="53"/>
        <v>1.09s</v>
      </c>
      <c r="H692" s="3">
        <f t="shared" si="54"/>
        <v>0.63591484455040848</v>
      </c>
      <c r="I692" s="3">
        <f t="shared" si="55"/>
        <v>0</v>
      </c>
      <c r="J692" s="3">
        <f t="shared" si="56"/>
        <v>0</v>
      </c>
      <c r="K692" s="3" t="str">
        <f t="shared" si="57"/>
        <v>Mo108</v>
      </c>
      <c r="L692" s="3" cm="1">
        <f t="array" ref="L692">SUM(($J692*EXP(-$H692*12*3600*_xlfn.SEQUENCE(L$1-1))))+$J692</f>
        <v>0</v>
      </c>
      <c r="M692" s="3"/>
      <c r="N692" s="3"/>
    </row>
    <row r="693" spans="2:14" hidden="1" x14ac:dyDescent="0.2">
      <c r="B693" s="3">
        <v>43090</v>
      </c>
      <c r="C693" s="3">
        <v>0</v>
      </c>
      <c r="D693">
        <v>690</v>
      </c>
      <c r="E693" t="str">
        <f>VLOOKUP(B693,Nuclides!A:F,5,FALSE)</f>
        <v>Tc90</v>
      </c>
      <c r="F693">
        <f>VLOOKUP(B693,Nuclides!A:F,4,FALSE)</f>
        <v>8.6999999999999993</v>
      </c>
      <c r="G693" s="3" t="str">
        <f t="shared" si="53"/>
        <v>8.7s</v>
      </c>
      <c r="H693" s="3">
        <f t="shared" si="54"/>
        <v>7.9672089719533948E-2</v>
      </c>
      <c r="I693" s="3">
        <f t="shared" si="55"/>
        <v>0</v>
      </c>
      <c r="J693" s="3">
        <f t="shared" si="56"/>
        <v>0</v>
      </c>
      <c r="K693" s="3" t="str">
        <f t="shared" si="57"/>
        <v>Tc90</v>
      </c>
      <c r="L693" s="3" cm="1">
        <f t="array" ref="L693">SUM(($J693*EXP(-$H693*12*3600*_xlfn.SEQUENCE(L$1-1))))+$J693</f>
        <v>0</v>
      </c>
      <c r="M693" s="3"/>
      <c r="N693" s="3"/>
    </row>
    <row r="694" spans="2:14" hidden="1" x14ac:dyDescent="0.2">
      <c r="B694" s="3">
        <v>43091</v>
      </c>
      <c r="C694" s="3">
        <v>0</v>
      </c>
      <c r="D694">
        <v>691</v>
      </c>
      <c r="E694" t="str">
        <f>VLOOKUP(B694,Nuclides!A:F,5,FALSE)</f>
        <v>Tc91</v>
      </c>
      <c r="F694">
        <f>VLOOKUP(B694,Nuclides!A:F,4,FALSE)</f>
        <v>188.4</v>
      </c>
      <c r="G694" s="3" t="str">
        <f t="shared" si="53"/>
        <v>3.14min</v>
      </c>
      <c r="H694" s="3">
        <f t="shared" si="54"/>
        <v>3.6791251622077773E-3</v>
      </c>
      <c r="I694" s="3">
        <f t="shared" si="55"/>
        <v>0</v>
      </c>
      <c r="J694" s="3">
        <f t="shared" si="56"/>
        <v>0</v>
      </c>
      <c r="K694" s="3" t="str">
        <f t="shared" si="57"/>
        <v>Tc91</v>
      </c>
      <c r="L694" s="3" cm="1">
        <f t="array" ref="L694">SUM(($J694*EXP(-$H694*12*3600*_xlfn.SEQUENCE(L$1-1))))+$J694</f>
        <v>0</v>
      </c>
      <c r="M694" s="3"/>
      <c r="N694" s="3"/>
    </row>
    <row r="695" spans="2:14" hidden="1" x14ac:dyDescent="0.2">
      <c r="B695" s="3">
        <v>43092</v>
      </c>
      <c r="C695" s="3">
        <v>0</v>
      </c>
      <c r="D695">
        <v>692</v>
      </c>
      <c r="E695" t="str">
        <f>VLOOKUP(B695,Nuclides!A:F,5,FALSE)</f>
        <v>Tc92</v>
      </c>
      <c r="F695">
        <f>VLOOKUP(B695,Nuclides!A:F,4,FALSE)</f>
        <v>255</v>
      </c>
      <c r="G695" s="3" t="str">
        <f t="shared" si="53"/>
        <v>4.25min</v>
      </c>
      <c r="H695" s="3">
        <f t="shared" si="54"/>
        <v>2.7182242374899817E-3</v>
      </c>
      <c r="I695" s="3">
        <f t="shared" si="55"/>
        <v>0</v>
      </c>
      <c r="J695" s="3">
        <f t="shared" si="56"/>
        <v>0</v>
      </c>
      <c r="K695" s="3" t="str">
        <f t="shared" si="57"/>
        <v>Tc92</v>
      </c>
      <c r="L695" s="3" cm="1">
        <f t="array" ref="L695">SUM(($J695*EXP(-$H695*12*3600*_xlfn.SEQUENCE(L$1-1))))+$J695</f>
        <v>0</v>
      </c>
      <c r="M695" s="3"/>
      <c r="N695" s="3"/>
    </row>
    <row r="696" spans="2:14" hidden="1" x14ac:dyDescent="0.2">
      <c r="B696" s="3">
        <v>43093</v>
      </c>
      <c r="C696" s="3">
        <v>0</v>
      </c>
      <c r="D696">
        <v>693</v>
      </c>
      <c r="E696" t="str">
        <f>VLOOKUP(B696,Nuclides!A:F,5,FALSE)</f>
        <v>Tc93</v>
      </c>
      <c r="F696">
        <f>VLOOKUP(B696,Nuclides!A:F,4,FALSE)</f>
        <v>9900</v>
      </c>
      <c r="G696" s="3" t="str">
        <f t="shared" si="53"/>
        <v>2.75h</v>
      </c>
      <c r="H696" s="3">
        <f t="shared" si="54"/>
        <v>7.0014866723226796E-5</v>
      </c>
      <c r="I696" s="3">
        <f t="shared" si="55"/>
        <v>0</v>
      </c>
      <c r="J696" s="3">
        <f t="shared" si="56"/>
        <v>0</v>
      </c>
      <c r="K696" s="3" t="str">
        <f t="shared" si="57"/>
        <v>Tc93</v>
      </c>
      <c r="L696" s="3" cm="1">
        <f t="array" ref="L696">SUM(($J696*EXP(-$H696*12*3600*_xlfn.SEQUENCE(L$1-1))))+$J696</f>
        <v>0</v>
      </c>
      <c r="M696" s="3"/>
      <c r="N696" s="3"/>
    </row>
    <row r="697" spans="2:14" hidden="1" x14ac:dyDescent="0.2">
      <c r="B697" s="3">
        <v>43094</v>
      </c>
      <c r="C697" s="3">
        <v>0</v>
      </c>
      <c r="D697">
        <v>694</v>
      </c>
      <c r="E697" t="str">
        <f>VLOOKUP(B697,Nuclides!A:F,5,FALSE)</f>
        <v>Tc94</v>
      </c>
      <c r="F697">
        <f>VLOOKUP(B697,Nuclides!A:F,4,FALSE)</f>
        <v>17580</v>
      </c>
      <c r="G697" s="3" t="str">
        <f t="shared" si="53"/>
        <v>4.88h</v>
      </c>
      <c r="H697" s="3">
        <f t="shared" si="54"/>
        <v>3.9428167267346149E-5</v>
      </c>
      <c r="I697" s="3">
        <f t="shared" si="55"/>
        <v>0</v>
      </c>
      <c r="J697" s="3">
        <f t="shared" si="56"/>
        <v>0</v>
      </c>
      <c r="K697" s="3" t="str">
        <f t="shared" si="57"/>
        <v>Tc94</v>
      </c>
      <c r="L697" s="3" cm="1">
        <f t="array" ref="L697">SUM(($J697*EXP(-$H697*12*3600*_xlfn.SEQUENCE(L$1-1))))+$J697</f>
        <v>0</v>
      </c>
      <c r="M697" s="3"/>
      <c r="N697" s="3"/>
    </row>
    <row r="698" spans="2:14" hidden="1" x14ac:dyDescent="0.2">
      <c r="B698" s="3">
        <v>43095</v>
      </c>
      <c r="C698" s="3">
        <v>0</v>
      </c>
      <c r="D698">
        <v>695</v>
      </c>
      <c r="E698" t="str">
        <f>VLOOKUP(B698,Nuclides!A:F,5,FALSE)</f>
        <v>Tc95</v>
      </c>
      <c r="F698">
        <f>VLOOKUP(B698,Nuclides!A:F,4,FALSE)</f>
        <v>72000</v>
      </c>
      <c r="G698" s="3" t="str">
        <f t="shared" si="53"/>
        <v>20h</v>
      </c>
      <c r="H698" s="3">
        <f t="shared" si="54"/>
        <v>9.6270441744436842E-6</v>
      </c>
      <c r="I698" s="3">
        <f t="shared" si="55"/>
        <v>0</v>
      </c>
      <c r="J698" s="3">
        <f t="shared" si="56"/>
        <v>0</v>
      </c>
      <c r="K698" s="3" t="str">
        <f t="shared" si="57"/>
        <v>Tc95</v>
      </c>
      <c r="L698" s="3" cm="1">
        <f t="array" ref="L698">SUM(($J698*EXP(-$H698*12*3600*_xlfn.SEQUENCE(L$1-1))))+$J698</f>
        <v>0</v>
      </c>
      <c r="M698" s="3"/>
      <c r="N698" s="3"/>
    </row>
    <row r="699" spans="2:14" hidden="1" x14ac:dyDescent="0.2">
      <c r="B699" s="3">
        <v>43096</v>
      </c>
      <c r="C699" s="3">
        <v>0</v>
      </c>
      <c r="D699">
        <v>696</v>
      </c>
      <c r="E699" t="str">
        <f>VLOOKUP(B699,Nuclides!A:F,5,FALSE)</f>
        <v>Tc96</v>
      </c>
      <c r="F699">
        <f>VLOOKUP(B699,Nuclides!A:F,4,FALSE)</f>
        <v>369792</v>
      </c>
      <c r="G699" s="3" t="str">
        <f t="shared" si="53"/>
        <v>4.28d</v>
      </c>
      <c r="H699" s="3">
        <f t="shared" si="54"/>
        <v>1.8744244887935522E-6</v>
      </c>
      <c r="I699" s="3">
        <f t="shared" si="55"/>
        <v>0</v>
      </c>
      <c r="J699" s="3">
        <f t="shared" si="56"/>
        <v>0</v>
      </c>
      <c r="K699" s="3" t="str">
        <f t="shared" si="57"/>
        <v>Tc96</v>
      </c>
      <c r="L699" s="3" cm="1">
        <f t="array" ref="L699">SUM(($J699*EXP(-$H699*12*3600*_xlfn.SEQUENCE(L$1-1))))+$J699</f>
        <v>0</v>
      </c>
      <c r="M699" s="3"/>
      <c r="N699" s="3"/>
    </row>
    <row r="700" spans="2:14" hidden="1" x14ac:dyDescent="0.2">
      <c r="B700" s="3">
        <v>43097</v>
      </c>
      <c r="C700" s="3">
        <v>0</v>
      </c>
      <c r="D700">
        <v>697</v>
      </c>
      <c r="E700" t="str">
        <f>VLOOKUP(B700,Nuclides!A:F,5,FALSE)</f>
        <v>Tc97</v>
      </c>
      <c r="F700">
        <f>VLOOKUP(B700,Nuclides!A:F,4,FALSE)</f>
        <v>132857496000000</v>
      </c>
      <c r="G700" s="3" t="str">
        <f t="shared" si="53"/>
        <v>4212883.56y</v>
      </c>
      <c r="H700" s="3">
        <f t="shared" si="54"/>
        <v>5.2172229752090563E-15</v>
      </c>
      <c r="I700" s="3">
        <f t="shared" si="55"/>
        <v>0</v>
      </c>
      <c r="J700" s="3">
        <f t="shared" si="56"/>
        <v>0</v>
      </c>
      <c r="K700" s="3" t="str">
        <f t="shared" si="57"/>
        <v>Tc97</v>
      </c>
      <c r="L700" s="3" cm="1">
        <f t="array" ref="L700">SUM(($J700*EXP(-$H700*12*3600*_xlfn.SEQUENCE(L$1-1))))+$J700</f>
        <v>0</v>
      </c>
      <c r="M700" s="3"/>
      <c r="N700" s="3"/>
    </row>
    <row r="701" spans="2:14" hidden="1" x14ac:dyDescent="0.2">
      <c r="B701" s="3">
        <v>43098</v>
      </c>
      <c r="C701" s="3">
        <v>0</v>
      </c>
      <c r="D701">
        <v>698</v>
      </c>
      <c r="E701" t="str">
        <f>VLOOKUP(B701,Nuclides!A:F,5,FALSE)</f>
        <v>Tc98</v>
      </c>
      <c r="F701">
        <f>VLOOKUP(B701,Nuclides!A:F,4,FALSE)</f>
        <v>132541920000000</v>
      </c>
      <c r="G701" s="3" t="str">
        <f t="shared" si="53"/>
        <v>4202876.71y</v>
      </c>
      <c r="H701" s="3">
        <f t="shared" si="54"/>
        <v>5.2296449346738394E-15</v>
      </c>
      <c r="I701" s="3">
        <f t="shared" si="55"/>
        <v>0</v>
      </c>
      <c r="J701" s="3">
        <f t="shared" si="56"/>
        <v>0</v>
      </c>
      <c r="K701" s="3" t="str">
        <f t="shared" si="57"/>
        <v>Tc98</v>
      </c>
      <c r="L701" s="3" cm="1">
        <f t="array" ref="L701">SUM(($J701*EXP(-$H701*12*3600*_xlfn.SEQUENCE(L$1-1))))+$J701</f>
        <v>0</v>
      </c>
      <c r="M701" s="3"/>
      <c r="N701" s="3"/>
    </row>
    <row r="702" spans="2:14" hidden="1" x14ac:dyDescent="0.2">
      <c r="B702" s="3">
        <v>43099</v>
      </c>
      <c r="C702" s="3">
        <v>0</v>
      </c>
      <c r="D702">
        <v>699</v>
      </c>
      <c r="E702" t="str">
        <f>VLOOKUP(B702,Nuclides!A:F,5,FALSE)</f>
        <v>Tc99</v>
      </c>
      <c r="F702">
        <f>VLOOKUP(B702,Nuclides!A:F,4,FALSE)</f>
        <v>6661809360000</v>
      </c>
      <c r="G702" s="3" t="str">
        <f t="shared" si="53"/>
        <v>211244.59y</v>
      </c>
      <c r="H702" s="3">
        <f t="shared" si="54"/>
        <v>1.040478859575089E-13</v>
      </c>
      <c r="I702" s="3">
        <f t="shared" si="55"/>
        <v>0</v>
      </c>
      <c r="J702" s="3">
        <f t="shared" si="56"/>
        <v>0</v>
      </c>
      <c r="K702" s="3" t="str">
        <f t="shared" si="57"/>
        <v>Tc99</v>
      </c>
      <c r="L702" s="3" cm="1">
        <f t="array" ref="L702">SUM(($J702*EXP(-$H702*12*3600*_xlfn.SEQUENCE(L$1-1))))+$J702</f>
        <v>0</v>
      </c>
      <c r="M702" s="3"/>
      <c r="N702" s="3"/>
    </row>
    <row r="703" spans="2:14" hidden="1" x14ac:dyDescent="0.2">
      <c r="B703" s="3">
        <v>43100</v>
      </c>
      <c r="C703" s="3">
        <v>0</v>
      </c>
      <c r="D703">
        <v>700</v>
      </c>
      <c r="E703" t="str">
        <f>VLOOKUP(B703,Nuclides!A:F,5,FALSE)</f>
        <v>Tc100</v>
      </c>
      <c r="F703">
        <f>VLOOKUP(B703,Nuclides!A:F,4,FALSE)</f>
        <v>15.46</v>
      </c>
      <c r="G703" s="3" t="str">
        <f t="shared" si="53"/>
        <v>15.46s</v>
      </c>
      <c r="H703" s="3">
        <f t="shared" si="54"/>
        <v>4.4834875844757129E-2</v>
      </c>
      <c r="I703" s="3">
        <f t="shared" si="55"/>
        <v>0</v>
      </c>
      <c r="J703" s="3">
        <f t="shared" si="56"/>
        <v>0</v>
      </c>
      <c r="K703" s="3" t="str">
        <f t="shared" si="57"/>
        <v>Tc100</v>
      </c>
      <c r="L703" s="3" cm="1">
        <f t="array" ref="L703">SUM(($J703*EXP(-$H703*12*3600*_xlfn.SEQUENCE(L$1-1))))+$J703</f>
        <v>0</v>
      </c>
      <c r="M703" s="3"/>
      <c r="N703" s="3"/>
    </row>
    <row r="704" spans="2:14" hidden="1" x14ac:dyDescent="0.2">
      <c r="B704" s="3">
        <v>43101</v>
      </c>
      <c r="C704" s="3">
        <v>0</v>
      </c>
      <c r="D704">
        <v>701</v>
      </c>
      <c r="E704" t="str">
        <f>VLOOKUP(B704,Nuclides!A:F,5,FALSE)</f>
        <v>Tc101</v>
      </c>
      <c r="F704">
        <f>VLOOKUP(B704,Nuclides!A:F,4,FALSE)</f>
        <v>841.19999999999902</v>
      </c>
      <c r="G704" s="3" t="str">
        <f t="shared" si="53"/>
        <v>14.02min</v>
      </c>
      <c r="H704" s="3">
        <f t="shared" si="54"/>
        <v>8.239980748453948E-4</v>
      </c>
      <c r="I704" s="3">
        <f t="shared" si="55"/>
        <v>0</v>
      </c>
      <c r="J704" s="3">
        <f t="shared" si="56"/>
        <v>0</v>
      </c>
      <c r="K704" s="3" t="str">
        <f t="shared" si="57"/>
        <v>Tc101</v>
      </c>
      <c r="L704" s="3" cm="1">
        <f t="array" ref="L704">SUM(($J704*EXP(-$H704*12*3600*_xlfn.SEQUENCE(L$1-1))))+$J704</f>
        <v>0</v>
      </c>
      <c r="M704" s="3"/>
      <c r="N704" s="3"/>
    </row>
    <row r="705" spans="2:14" hidden="1" x14ac:dyDescent="0.2">
      <c r="B705" s="3">
        <v>43102</v>
      </c>
      <c r="C705" s="3">
        <v>0</v>
      </c>
      <c r="D705">
        <v>702</v>
      </c>
      <c r="E705" t="str">
        <f>VLOOKUP(B705,Nuclides!A:F,5,FALSE)</f>
        <v>Tc102</v>
      </c>
      <c r="F705">
        <f>VLOOKUP(B705,Nuclides!A:F,4,FALSE)</f>
        <v>5.28</v>
      </c>
      <c r="G705" s="3" t="str">
        <f t="shared" si="53"/>
        <v>5.28s</v>
      </c>
      <c r="H705" s="3">
        <f t="shared" si="54"/>
        <v>0.13127787510605024</v>
      </c>
      <c r="I705" s="3">
        <f t="shared" si="55"/>
        <v>0</v>
      </c>
      <c r="J705" s="3">
        <f t="shared" si="56"/>
        <v>0</v>
      </c>
      <c r="K705" s="3" t="str">
        <f t="shared" si="57"/>
        <v>Tc102</v>
      </c>
      <c r="L705" s="3" cm="1">
        <f t="array" ref="L705">SUM(($J705*EXP(-$H705*12*3600*_xlfn.SEQUENCE(L$1-1))))+$J705</f>
        <v>0</v>
      </c>
      <c r="M705" s="3"/>
      <c r="N705" s="3"/>
    </row>
    <row r="706" spans="2:14" hidden="1" x14ac:dyDescent="0.2">
      <c r="B706" s="3">
        <v>43103</v>
      </c>
      <c r="C706" s="3">
        <v>0</v>
      </c>
      <c r="D706">
        <v>703</v>
      </c>
      <c r="E706" t="str">
        <f>VLOOKUP(B706,Nuclides!A:F,5,FALSE)</f>
        <v>Tc103</v>
      </c>
      <c r="F706">
        <f>VLOOKUP(B706,Nuclides!A:F,4,FALSE)</f>
        <v>54.2</v>
      </c>
      <c r="G706" s="3" t="str">
        <f t="shared" si="53"/>
        <v>54.2s</v>
      </c>
      <c r="H706" s="3">
        <f t="shared" si="54"/>
        <v>1.2788693368264673E-2</v>
      </c>
      <c r="I706" s="3">
        <f t="shared" si="55"/>
        <v>0</v>
      </c>
      <c r="J706" s="3">
        <f t="shared" si="56"/>
        <v>0</v>
      </c>
      <c r="K706" s="3" t="str">
        <f t="shared" si="57"/>
        <v>Tc103</v>
      </c>
      <c r="L706" s="3" cm="1">
        <f t="array" ref="L706">SUM(($J706*EXP(-$H706*12*3600*_xlfn.SEQUENCE(L$1-1))))+$J706</f>
        <v>0</v>
      </c>
      <c r="M706" s="3"/>
      <c r="N706" s="3"/>
    </row>
    <row r="707" spans="2:14" hidden="1" x14ac:dyDescent="0.2">
      <c r="B707" s="3">
        <v>43104</v>
      </c>
      <c r="C707" s="3">
        <v>0</v>
      </c>
      <c r="D707">
        <v>704</v>
      </c>
      <c r="E707" t="str">
        <f>VLOOKUP(B707,Nuclides!A:F,5,FALSE)</f>
        <v>Tc104</v>
      </c>
      <c r="F707">
        <f>VLOOKUP(B707,Nuclides!A:F,4,FALSE)</f>
        <v>1098</v>
      </c>
      <c r="G707" s="3" t="str">
        <f t="shared" si="53"/>
        <v>18.3min</v>
      </c>
      <c r="H707" s="3">
        <f t="shared" si="54"/>
        <v>6.3128158520942197E-4</v>
      </c>
      <c r="I707" s="3">
        <f t="shared" si="55"/>
        <v>0</v>
      </c>
      <c r="J707" s="3">
        <f t="shared" si="56"/>
        <v>0</v>
      </c>
      <c r="K707" s="3" t="str">
        <f t="shared" si="57"/>
        <v>Tc104</v>
      </c>
      <c r="L707" s="3" cm="1">
        <f t="array" ref="L707">SUM(($J707*EXP(-$H707*12*3600*_xlfn.SEQUENCE(L$1-1))))+$J707</f>
        <v>0</v>
      </c>
      <c r="M707" s="3"/>
      <c r="N707" s="3"/>
    </row>
    <row r="708" spans="2:14" hidden="1" x14ac:dyDescent="0.2">
      <c r="B708" s="3">
        <v>43105</v>
      </c>
      <c r="C708" s="3">
        <v>0</v>
      </c>
      <c r="D708">
        <v>705</v>
      </c>
      <c r="E708" t="str">
        <f>VLOOKUP(B708,Nuclides!A:F,5,FALSE)</f>
        <v>Tc105</v>
      </c>
      <c r="F708">
        <f>VLOOKUP(B708,Nuclides!A:F,4,FALSE)</f>
        <v>456</v>
      </c>
      <c r="G708" s="3" t="str">
        <f t="shared" ref="G708:G771" si="58">IF(F708="STABLE", "STABLE", IF(F708&lt;60, F708&amp;"s", IF(F708&lt;3600, ROUND(F708/60,2)&amp;"min", IF(F708&lt;86400, ROUND(F708/3600,2)&amp;"h", IF(F708&lt;31536000, ROUND(F708/86400,2)&amp;"d", ROUND(F708/31536000,2)&amp;"y")))))</f>
        <v>7.6min</v>
      </c>
      <c r="H708" s="3">
        <f t="shared" ref="H708:H771" si="59">LN(2)/F708</f>
        <v>1.520059606491108E-3</v>
      </c>
      <c r="I708" s="3">
        <f t="shared" ref="I708:I771" si="60">100*6240000000000*C708*(1-EXP(-H708*2*3600))</f>
        <v>0</v>
      </c>
      <c r="J708" s="3">
        <f t="shared" ref="J708:J771" si="61">I708*EXP(-H708*10*3600)</f>
        <v>0</v>
      </c>
      <c r="K708" s="3" t="str">
        <f t="shared" ref="K708:K771" si="62">E708</f>
        <v>Tc105</v>
      </c>
      <c r="L708" s="3" cm="1">
        <f t="array" ref="L708">SUM(($J708*EXP(-$H708*12*3600*_xlfn.SEQUENCE(L$1-1))))+$J708</f>
        <v>0</v>
      </c>
      <c r="M708" s="3"/>
      <c r="N708" s="3"/>
    </row>
    <row r="709" spans="2:14" hidden="1" x14ac:dyDescent="0.2">
      <c r="B709" s="3">
        <v>43106</v>
      </c>
      <c r="C709" s="3">
        <v>0</v>
      </c>
      <c r="D709">
        <v>706</v>
      </c>
      <c r="E709" t="str">
        <f>VLOOKUP(B709,Nuclides!A:F,5,FALSE)</f>
        <v>Tc106</v>
      </c>
      <c r="F709">
        <f>VLOOKUP(B709,Nuclides!A:F,4,FALSE)</f>
        <v>35.6</v>
      </c>
      <c r="G709" s="3" t="str">
        <f t="shared" si="58"/>
        <v>35.6s</v>
      </c>
      <c r="H709" s="3">
        <f t="shared" si="59"/>
        <v>1.9470426420223182E-2</v>
      </c>
      <c r="I709" s="3">
        <f t="shared" si="60"/>
        <v>0</v>
      </c>
      <c r="J709" s="3">
        <f t="shared" si="61"/>
        <v>0</v>
      </c>
      <c r="K709" s="3" t="str">
        <f t="shared" si="62"/>
        <v>Tc106</v>
      </c>
      <c r="L709" s="3" cm="1">
        <f t="array" ref="L709">SUM(($J709*EXP(-$H709*12*3600*_xlfn.SEQUENCE(L$1-1))))+$J709</f>
        <v>0</v>
      </c>
      <c r="M709" s="3"/>
      <c r="N709" s="3"/>
    </row>
    <row r="710" spans="2:14" hidden="1" x14ac:dyDescent="0.2">
      <c r="B710" s="3">
        <v>43107</v>
      </c>
      <c r="C710" s="3">
        <v>0</v>
      </c>
      <c r="D710">
        <v>707</v>
      </c>
      <c r="E710" t="str">
        <f>VLOOKUP(B710,Nuclides!A:F,5,FALSE)</f>
        <v>Tc107</v>
      </c>
      <c r="F710">
        <f>VLOOKUP(B710,Nuclides!A:F,4,FALSE)</f>
        <v>21.2</v>
      </c>
      <c r="G710" s="3" t="str">
        <f t="shared" si="58"/>
        <v>21.2s</v>
      </c>
      <c r="H710" s="3">
        <f t="shared" si="59"/>
        <v>3.2695621724525725E-2</v>
      </c>
      <c r="I710" s="3">
        <f t="shared" si="60"/>
        <v>0</v>
      </c>
      <c r="J710" s="3">
        <f t="shared" si="61"/>
        <v>0</v>
      </c>
      <c r="K710" s="3" t="str">
        <f t="shared" si="62"/>
        <v>Tc107</v>
      </c>
      <c r="L710" s="3" cm="1">
        <f t="array" ref="L710">SUM(($J710*EXP(-$H710*12*3600*_xlfn.SEQUENCE(L$1-1))))+$J710</f>
        <v>0</v>
      </c>
      <c r="M710" s="3"/>
      <c r="N710" s="3"/>
    </row>
    <row r="711" spans="2:14" hidden="1" x14ac:dyDescent="0.2">
      <c r="B711" s="3">
        <v>43108</v>
      </c>
      <c r="C711" s="3">
        <v>0</v>
      </c>
      <c r="D711">
        <v>708</v>
      </c>
      <c r="E711" t="str">
        <f>VLOOKUP(B711,Nuclides!A:F,5,FALSE)</f>
        <v>Tc108</v>
      </c>
      <c r="F711">
        <f>VLOOKUP(B711,Nuclides!A:F,4,FALSE)</f>
        <v>5.17</v>
      </c>
      <c r="G711" s="3" t="str">
        <f t="shared" si="58"/>
        <v>5.17s</v>
      </c>
      <c r="H711" s="3">
        <f t="shared" si="59"/>
        <v>0.13407102138490237</v>
      </c>
      <c r="I711" s="3">
        <f t="shared" si="60"/>
        <v>0</v>
      </c>
      <c r="J711" s="3">
        <f t="shared" si="61"/>
        <v>0</v>
      </c>
      <c r="K711" s="3" t="str">
        <f t="shared" si="62"/>
        <v>Tc108</v>
      </c>
      <c r="L711" s="3" cm="1">
        <f t="array" ref="L711">SUM(($J711*EXP(-$H711*12*3600*_xlfn.SEQUENCE(L$1-1))))+$J711</f>
        <v>0</v>
      </c>
      <c r="M711" s="3"/>
      <c r="N711" s="3"/>
    </row>
    <row r="712" spans="2:14" hidden="1" x14ac:dyDescent="0.2">
      <c r="B712" s="3">
        <v>43109</v>
      </c>
      <c r="C712" s="3">
        <v>0</v>
      </c>
      <c r="D712">
        <v>709</v>
      </c>
      <c r="E712" t="str">
        <f>VLOOKUP(B712,Nuclides!A:F,5,FALSE)</f>
        <v>Tc109</v>
      </c>
      <c r="F712">
        <f>VLOOKUP(B712,Nuclides!A:F,4,FALSE)</f>
        <v>0.86</v>
      </c>
      <c r="G712" s="3" t="str">
        <f t="shared" si="58"/>
        <v>0.86s</v>
      </c>
      <c r="H712" s="3">
        <f t="shared" si="59"/>
        <v>0.805985093674355</v>
      </c>
      <c r="I712" s="3">
        <f t="shared" si="60"/>
        <v>0</v>
      </c>
      <c r="J712" s="3">
        <f t="shared" si="61"/>
        <v>0</v>
      </c>
      <c r="K712" s="3" t="str">
        <f t="shared" si="62"/>
        <v>Tc109</v>
      </c>
      <c r="L712" s="3" cm="1">
        <f t="array" ref="L712">SUM(($J712*EXP(-$H712*12*3600*_xlfn.SEQUENCE(L$1-1))))+$J712</f>
        <v>0</v>
      </c>
      <c r="M712" s="3"/>
      <c r="N712" s="3"/>
    </row>
    <row r="713" spans="2:14" hidden="1" x14ac:dyDescent="0.2">
      <c r="B713" s="3">
        <v>43110</v>
      </c>
      <c r="C713" s="3">
        <v>0</v>
      </c>
      <c r="D713">
        <v>710</v>
      </c>
      <c r="E713" t="str">
        <f>VLOOKUP(B713,Nuclides!A:F,5,FALSE)</f>
        <v>Tc110</v>
      </c>
      <c r="F713">
        <f>VLOOKUP(B713,Nuclides!A:F,4,FALSE)</f>
        <v>0.92</v>
      </c>
      <c r="G713" s="3" t="str">
        <f t="shared" si="58"/>
        <v>0.92s</v>
      </c>
      <c r="H713" s="3">
        <f t="shared" si="59"/>
        <v>0.75342084843472312</v>
      </c>
      <c r="I713" s="3">
        <f t="shared" si="60"/>
        <v>0</v>
      </c>
      <c r="J713" s="3">
        <f t="shared" si="61"/>
        <v>0</v>
      </c>
      <c r="K713" s="3" t="str">
        <f t="shared" si="62"/>
        <v>Tc110</v>
      </c>
      <c r="L713" s="3" cm="1">
        <f t="array" ref="L713">SUM(($J713*EXP(-$H713*12*3600*_xlfn.SEQUENCE(L$1-1))))+$J713</f>
        <v>0</v>
      </c>
      <c r="M713" s="3"/>
      <c r="N713" s="3"/>
    </row>
    <row r="714" spans="2:14" hidden="1" x14ac:dyDescent="0.2">
      <c r="B714" s="3">
        <v>44092</v>
      </c>
      <c r="C714" s="3">
        <v>0</v>
      </c>
      <c r="D714">
        <v>711</v>
      </c>
      <c r="E714" t="str">
        <f>VLOOKUP(B714,Nuclides!A:F,5,FALSE)</f>
        <v>Ru92</v>
      </c>
      <c r="F714">
        <f>VLOOKUP(B714,Nuclides!A:F,4,FALSE)</f>
        <v>219</v>
      </c>
      <c r="G714" s="3" t="str">
        <f t="shared" si="58"/>
        <v>3.65min</v>
      </c>
      <c r="H714" s="3">
        <f t="shared" si="59"/>
        <v>3.1650556189951841E-3</v>
      </c>
      <c r="I714" s="3">
        <f t="shared" si="60"/>
        <v>0</v>
      </c>
      <c r="J714" s="3">
        <f t="shared" si="61"/>
        <v>0</v>
      </c>
      <c r="K714" s="3" t="str">
        <f t="shared" si="62"/>
        <v>Ru92</v>
      </c>
      <c r="L714" s="3" cm="1">
        <f t="array" ref="L714">SUM(($J714*EXP(-$H714*12*3600*_xlfn.SEQUENCE(L$1-1))))+$J714</f>
        <v>0</v>
      </c>
      <c r="M714" s="3"/>
      <c r="N714" s="3"/>
    </row>
    <row r="715" spans="2:14" hidden="1" x14ac:dyDescent="0.2">
      <c r="B715" s="3">
        <v>44093</v>
      </c>
      <c r="C715" s="3">
        <v>0</v>
      </c>
      <c r="D715">
        <v>712</v>
      </c>
      <c r="E715" t="str">
        <f>VLOOKUP(B715,Nuclides!A:F,5,FALSE)</f>
        <v>Ru93</v>
      </c>
      <c r="F715">
        <f>VLOOKUP(B715,Nuclides!A:F,4,FALSE)</f>
        <v>59.7</v>
      </c>
      <c r="G715" s="3" t="str">
        <f t="shared" si="58"/>
        <v>59.7s</v>
      </c>
      <c r="H715" s="3">
        <f t="shared" si="59"/>
        <v>1.1610505537017509E-2</v>
      </c>
      <c r="I715" s="3">
        <f t="shared" si="60"/>
        <v>0</v>
      </c>
      <c r="J715" s="3">
        <f t="shared" si="61"/>
        <v>0</v>
      </c>
      <c r="K715" s="3" t="str">
        <f t="shared" si="62"/>
        <v>Ru93</v>
      </c>
      <c r="L715" s="3" cm="1">
        <f t="array" ref="L715">SUM(($J715*EXP(-$H715*12*3600*_xlfn.SEQUENCE(L$1-1))))+$J715</f>
        <v>0</v>
      </c>
      <c r="M715" s="3"/>
      <c r="N715" s="3"/>
    </row>
    <row r="716" spans="2:14" hidden="1" x14ac:dyDescent="0.2">
      <c r="B716" s="3">
        <v>44094</v>
      </c>
      <c r="C716" s="3">
        <v>0</v>
      </c>
      <c r="D716">
        <v>713</v>
      </c>
      <c r="E716" t="str">
        <f>VLOOKUP(B716,Nuclides!A:F,5,FALSE)</f>
        <v>Ru94</v>
      </c>
      <c r="F716">
        <f>VLOOKUP(B716,Nuclides!A:F,4,FALSE)</f>
        <v>3108</v>
      </c>
      <c r="G716" s="3" t="str">
        <f t="shared" si="58"/>
        <v>51.8min</v>
      </c>
      <c r="H716" s="3">
        <f t="shared" si="59"/>
        <v>2.2302032836549077E-4</v>
      </c>
      <c r="I716" s="3">
        <f t="shared" si="60"/>
        <v>0</v>
      </c>
      <c r="J716" s="3">
        <f t="shared" si="61"/>
        <v>0</v>
      </c>
      <c r="K716" s="3" t="str">
        <f t="shared" si="62"/>
        <v>Ru94</v>
      </c>
      <c r="L716" s="3" cm="1">
        <f t="array" ref="L716">SUM(($J716*EXP(-$H716*12*3600*_xlfn.SEQUENCE(L$1-1))))+$J716</f>
        <v>0</v>
      </c>
      <c r="M716" s="3"/>
      <c r="N716" s="3"/>
    </row>
    <row r="717" spans="2:14" hidden="1" x14ac:dyDescent="0.2">
      <c r="B717" s="3">
        <v>44095</v>
      </c>
      <c r="C717" s="3">
        <v>0</v>
      </c>
      <c r="D717">
        <v>714</v>
      </c>
      <c r="E717" t="str">
        <f>VLOOKUP(B717,Nuclides!A:F,5,FALSE)</f>
        <v>Ru95</v>
      </c>
      <c r="F717">
        <f>VLOOKUP(B717,Nuclides!A:F,4,FALSE)</f>
        <v>5914.8</v>
      </c>
      <c r="G717" s="3" t="str">
        <f t="shared" si="58"/>
        <v>1.64h</v>
      </c>
      <c r="H717" s="3">
        <f t="shared" si="59"/>
        <v>1.171886083316334E-4</v>
      </c>
      <c r="I717" s="3">
        <f t="shared" si="60"/>
        <v>0</v>
      </c>
      <c r="J717" s="3">
        <f t="shared" si="61"/>
        <v>0</v>
      </c>
      <c r="K717" s="3" t="str">
        <f t="shared" si="62"/>
        <v>Ru95</v>
      </c>
      <c r="L717" s="3" cm="1">
        <f t="array" ref="L717">SUM(($J717*EXP(-$H717*12*3600*_xlfn.SEQUENCE(L$1-1))))+$J717</f>
        <v>0</v>
      </c>
      <c r="M717" s="3"/>
      <c r="N717" s="3"/>
    </row>
    <row r="718" spans="2:14" hidden="1" x14ac:dyDescent="0.2">
      <c r="B718" s="3">
        <v>44096</v>
      </c>
      <c r="C718" s="3">
        <v>0</v>
      </c>
      <c r="D718">
        <v>715</v>
      </c>
      <c r="E718" t="str">
        <f>VLOOKUP(B718,Nuclides!A:F,5,FALSE)</f>
        <v>Ru96</v>
      </c>
      <c r="F718" t="str">
        <f>VLOOKUP(B718,Nuclides!A:F,4,FALSE)</f>
        <v>STABLE</v>
      </c>
      <c r="G718" s="3" t="str">
        <f t="shared" si="58"/>
        <v>STABLE</v>
      </c>
      <c r="H718" s="3" t="e">
        <f t="shared" si="59"/>
        <v>#VALUE!</v>
      </c>
      <c r="I718" s="3" t="e">
        <f t="shared" si="60"/>
        <v>#VALUE!</v>
      </c>
      <c r="J718" s="3" t="e">
        <f t="shared" si="61"/>
        <v>#VALUE!</v>
      </c>
      <c r="K718" s="3" t="str">
        <f t="shared" si="62"/>
        <v>Ru96</v>
      </c>
      <c r="L718" s="3" t="e" cm="1">
        <f t="array" ref="L718">SUM(($J718*EXP(-$H718*12*3600*_xlfn.SEQUENCE(L$1-1))))+$J718</f>
        <v>#VALUE!</v>
      </c>
      <c r="M718" s="3"/>
      <c r="N718" s="3"/>
    </row>
    <row r="719" spans="2:14" hidden="1" x14ac:dyDescent="0.2">
      <c r="B719" s="3">
        <v>44097</v>
      </c>
      <c r="C719" s="3">
        <v>0</v>
      </c>
      <c r="D719">
        <v>716</v>
      </c>
      <c r="E719" t="str">
        <f>VLOOKUP(B719,Nuclides!A:F,5,FALSE)</f>
        <v>Ru97</v>
      </c>
      <c r="F719">
        <f>VLOOKUP(B719,Nuclides!A:F,4,FALSE)</f>
        <v>244512</v>
      </c>
      <c r="G719" s="3" t="str">
        <f t="shared" si="58"/>
        <v>2.83d</v>
      </c>
      <c r="H719" s="3">
        <f t="shared" si="59"/>
        <v>2.8348186614969625E-6</v>
      </c>
      <c r="I719" s="3">
        <f t="shared" si="60"/>
        <v>0</v>
      </c>
      <c r="J719" s="3">
        <f t="shared" si="61"/>
        <v>0</v>
      </c>
      <c r="K719" s="3" t="str">
        <f t="shared" si="62"/>
        <v>Ru97</v>
      </c>
      <c r="L719" s="3" cm="1">
        <f t="array" ref="L719">SUM(($J719*EXP(-$H719*12*3600*_xlfn.SEQUENCE(L$1-1))))+$J719</f>
        <v>0</v>
      </c>
      <c r="M719" s="3"/>
      <c r="N719" s="3"/>
    </row>
    <row r="720" spans="2:14" hidden="1" x14ac:dyDescent="0.2">
      <c r="B720" s="3">
        <v>44098</v>
      </c>
      <c r="C720" s="3">
        <v>0</v>
      </c>
      <c r="D720">
        <v>717</v>
      </c>
      <c r="E720" t="str">
        <f>VLOOKUP(B720,Nuclides!A:F,5,FALSE)</f>
        <v>Ru98</v>
      </c>
      <c r="F720" t="str">
        <f>VLOOKUP(B720,Nuclides!A:F,4,FALSE)</f>
        <v>STABLE</v>
      </c>
      <c r="G720" s="3" t="str">
        <f t="shared" si="58"/>
        <v>STABLE</v>
      </c>
      <c r="H720" s="3" t="e">
        <f t="shared" si="59"/>
        <v>#VALUE!</v>
      </c>
      <c r="I720" s="3" t="e">
        <f t="shared" si="60"/>
        <v>#VALUE!</v>
      </c>
      <c r="J720" s="3" t="e">
        <f t="shared" si="61"/>
        <v>#VALUE!</v>
      </c>
      <c r="K720" s="3" t="str">
        <f t="shared" si="62"/>
        <v>Ru98</v>
      </c>
      <c r="L720" s="3" t="e" cm="1">
        <f t="array" ref="L720">SUM(($J720*EXP(-$H720*12*3600*_xlfn.SEQUENCE(L$1-1))))+$J720</f>
        <v>#VALUE!</v>
      </c>
      <c r="M720" s="3"/>
      <c r="N720" s="3"/>
    </row>
    <row r="721" spans="2:14" hidden="1" x14ac:dyDescent="0.2">
      <c r="B721" s="3">
        <v>44099</v>
      </c>
      <c r="C721" s="3">
        <v>0</v>
      </c>
      <c r="D721">
        <v>718</v>
      </c>
      <c r="E721" t="str">
        <f>VLOOKUP(B721,Nuclides!A:F,5,FALSE)</f>
        <v>Ru99</v>
      </c>
      <c r="F721" t="str">
        <f>VLOOKUP(B721,Nuclides!A:F,4,FALSE)</f>
        <v>STABLE</v>
      </c>
      <c r="G721" s="3" t="str">
        <f t="shared" si="58"/>
        <v>STABLE</v>
      </c>
      <c r="H721" s="3" t="e">
        <f t="shared" si="59"/>
        <v>#VALUE!</v>
      </c>
      <c r="I721" s="3" t="e">
        <f t="shared" si="60"/>
        <v>#VALUE!</v>
      </c>
      <c r="J721" s="3" t="e">
        <f t="shared" si="61"/>
        <v>#VALUE!</v>
      </c>
      <c r="K721" s="3" t="str">
        <f t="shared" si="62"/>
        <v>Ru99</v>
      </c>
      <c r="L721" s="3" t="e" cm="1">
        <f t="array" ref="L721">SUM(($J721*EXP(-$H721*12*3600*_xlfn.SEQUENCE(L$1-1))))+$J721</f>
        <v>#VALUE!</v>
      </c>
      <c r="M721" s="3"/>
      <c r="N721" s="3"/>
    </row>
    <row r="722" spans="2:14" hidden="1" x14ac:dyDescent="0.2">
      <c r="B722" s="3">
        <v>44100</v>
      </c>
      <c r="C722" s="3">
        <v>0</v>
      </c>
      <c r="D722">
        <v>719</v>
      </c>
      <c r="E722" t="str">
        <f>VLOOKUP(B722,Nuclides!A:F,5,FALSE)</f>
        <v>Ru100</v>
      </c>
      <c r="F722" t="str">
        <f>VLOOKUP(B722,Nuclides!A:F,4,FALSE)</f>
        <v>STABLE</v>
      </c>
      <c r="G722" s="3" t="str">
        <f t="shared" si="58"/>
        <v>STABLE</v>
      </c>
      <c r="H722" s="3" t="e">
        <f t="shared" si="59"/>
        <v>#VALUE!</v>
      </c>
      <c r="I722" s="3" t="e">
        <f t="shared" si="60"/>
        <v>#VALUE!</v>
      </c>
      <c r="J722" s="3" t="e">
        <f t="shared" si="61"/>
        <v>#VALUE!</v>
      </c>
      <c r="K722" s="3" t="str">
        <f t="shared" si="62"/>
        <v>Ru100</v>
      </c>
      <c r="L722" s="3" t="e" cm="1">
        <f t="array" ref="L722">SUM(($J722*EXP(-$H722*12*3600*_xlfn.SEQUENCE(L$1-1))))+$J722</f>
        <v>#VALUE!</v>
      </c>
      <c r="M722" s="3"/>
      <c r="N722" s="3"/>
    </row>
    <row r="723" spans="2:14" hidden="1" x14ac:dyDescent="0.2">
      <c r="B723" s="3">
        <v>44101</v>
      </c>
      <c r="C723" s="3">
        <v>0</v>
      </c>
      <c r="D723">
        <v>720</v>
      </c>
      <c r="E723" t="str">
        <f>VLOOKUP(B723,Nuclides!A:F,5,FALSE)</f>
        <v>Ru101</v>
      </c>
      <c r="F723" t="str">
        <f>VLOOKUP(B723,Nuclides!A:F,4,FALSE)</f>
        <v>STABLE</v>
      </c>
      <c r="G723" s="3" t="str">
        <f t="shared" si="58"/>
        <v>STABLE</v>
      </c>
      <c r="H723" s="3" t="e">
        <f t="shared" si="59"/>
        <v>#VALUE!</v>
      </c>
      <c r="I723" s="3" t="e">
        <f t="shared" si="60"/>
        <v>#VALUE!</v>
      </c>
      <c r="J723" s="3" t="e">
        <f t="shared" si="61"/>
        <v>#VALUE!</v>
      </c>
      <c r="K723" s="3" t="str">
        <f t="shared" si="62"/>
        <v>Ru101</v>
      </c>
      <c r="L723" s="3" t="e" cm="1">
        <f t="array" ref="L723">SUM(($J723*EXP(-$H723*12*3600*_xlfn.SEQUENCE(L$1-1))))+$J723</f>
        <v>#VALUE!</v>
      </c>
      <c r="M723" s="3"/>
      <c r="N723" s="3"/>
    </row>
    <row r="724" spans="2:14" hidden="1" x14ac:dyDescent="0.2">
      <c r="B724" s="3">
        <v>44102</v>
      </c>
      <c r="C724" s="3">
        <v>0</v>
      </c>
      <c r="D724">
        <v>721</v>
      </c>
      <c r="E724" t="str">
        <f>VLOOKUP(B724,Nuclides!A:F,5,FALSE)</f>
        <v>Ru102</v>
      </c>
      <c r="F724" t="str">
        <f>VLOOKUP(B724,Nuclides!A:F,4,FALSE)</f>
        <v>STABLE</v>
      </c>
      <c r="G724" s="3" t="str">
        <f t="shared" si="58"/>
        <v>STABLE</v>
      </c>
      <c r="H724" s="3" t="e">
        <f t="shared" si="59"/>
        <v>#VALUE!</v>
      </c>
      <c r="I724" s="3" t="e">
        <f t="shared" si="60"/>
        <v>#VALUE!</v>
      </c>
      <c r="J724" s="3" t="e">
        <f t="shared" si="61"/>
        <v>#VALUE!</v>
      </c>
      <c r="K724" s="3" t="str">
        <f t="shared" si="62"/>
        <v>Ru102</v>
      </c>
      <c r="L724" s="3" t="e" cm="1">
        <f t="array" ref="L724">SUM(($J724*EXP(-$H724*12*3600*_xlfn.SEQUENCE(L$1-1))))+$J724</f>
        <v>#VALUE!</v>
      </c>
      <c r="M724" s="3"/>
      <c r="N724" s="3"/>
    </row>
    <row r="725" spans="2:14" hidden="1" x14ac:dyDescent="0.2">
      <c r="B725" s="3">
        <v>44103</v>
      </c>
      <c r="C725" s="3">
        <v>0</v>
      </c>
      <c r="D725">
        <v>722</v>
      </c>
      <c r="E725" t="str">
        <f>VLOOKUP(B725,Nuclides!A:F,5,FALSE)</f>
        <v>Ru103</v>
      </c>
      <c r="F725">
        <f>VLOOKUP(B725,Nuclides!A:F,4,FALSE)</f>
        <v>3390940.8</v>
      </c>
      <c r="G725" s="3" t="str">
        <f t="shared" si="58"/>
        <v>39.25d</v>
      </c>
      <c r="H725" s="3">
        <f t="shared" si="59"/>
        <v>2.0441146615120656E-7</v>
      </c>
      <c r="I725" s="3">
        <f t="shared" si="60"/>
        <v>0</v>
      </c>
      <c r="J725" s="3">
        <f t="shared" si="61"/>
        <v>0</v>
      </c>
      <c r="K725" s="3" t="str">
        <f t="shared" si="62"/>
        <v>Ru103</v>
      </c>
      <c r="L725" s="3" cm="1">
        <f t="array" ref="L725">SUM(($J725*EXP(-$H725*12*3600*_xlfn.SEQUENCE(L$1-1))))+$J725</f>
        <v>0</v>
      </c>
      <c r="M725" s="3"/>
      <c r="N725" s="3"/>
    </row>
    <row r="726" spans="2:14" hidden="1" x14ac:dyDescent="0.2">
      <c r="B726" s="3">
        <v>44104</v>
      </c>
      <c r="C726" s="3">
        <v>0</v>
      </c>
      <c r="D726">
        <v>723</v>
      </c>
      <c r="E726" t="str">
        <f>VLOOKUP(B726,Nuclides!A:F,5,FALSE)</f>
        <v>Ru104</v>
      </c>
      <c r="F726" t="str">
        <f>VLOOKUP(B726,Nuclides!A:F,4,FALSE)</f>
        <v>STABLE</v>
      </c>
      <c r="G726" s="3" t="str">
        <f t="shared" si="58"/>
        <v>STABLE</v>
      </c>
      <c r="H726" s="3" t="e">
        <f t="shared" si="59"/>
        <v>#VALUE!</v>
      </c>
      <c r="I726" s="3" t="e">
        <f t="shared" si="60"/>
        <v>#VALUE!</v>
      </c>
      <c r="J726" s="3" t="e">
        <f t="shared" si="61"/>
        <v>#VALUE!</v>
      </c>
      <c r="K726" s="3" t="str">
        <f t="shared" si="62"/>
        <v>Ru104</v>
      </c>
      <c r="L726" s="3" t="e" cm="1">
        <f t="array" ref="L726">SUM(($J726*EXP(-$H726*12*3600*_xlfn.SEQUENCE(L$1-1))))+$J726</f>
        <v>#VALUE!</v>
      </c>
      <c r="M726" s="3"/>
      <c r="N726" s="3"/>
    </row>
    <row r="727" spans="2:14" hidden="1" x14ac:dyDescent="0.2">
      <c r="B727" s="3">
        <v>44105</v>
      </c>
      <c r="C727" s="3">
        <v>0</v>
      </c>
      <c r="D727">
        <v>724</v>
      </c>
      <c r="E727" t="str">
        <f>VLOOKUP(B727,Nuclides!A:F,5,FALSE)</f>
        <v>Ru105</v>
      </c>
      <c r="F727">
        <f>VLOOKUP(B727,Nuclides!A:F,4,FALSE)</f>
        <v>15984</v>
      </c>
      <c r="G727" s="3" t="str">
        <f t="shared" si="58"/>
        <v>4.44h</v>
      </c>
      <c r="H727" s="3">
        <f t="shared" si="59"/>
        <v>4.3365063848845423E-5</v>
      </c>
      <c r="I727" s="3">
        <f t="shared" si="60"/>
        <v>0</v>
      </c>
      <c r="J727" s="3">
        <f t="shared" si="61"/>
        <v>0</v>
      </c>
      <c r="K727" s="3" t="str">
        <f t="shared" si="62"/>
        <v>Ru105</v>
      </c>
      <c r="L727" s="3" cm="1">
        <f t="array" ref="L727">SUM(($J727*EXP(-$H727*12*3600*_xlfn.SEQUENCE(L$1-1))))+$J727</f>
        <v>0</v>
      </c>
      <c r="M727" s="3"/>
      <c r="N727" s="3"/>
    </row>
    <row r="728" spans="2:14" hidden="1" x14ac:dyDescent="0.2">
      <c r="B728" s="3">
        <v>44106</v>
      </c>
      <c r="C728" s="3">
        <v>0</v>
      </c>
      <c r="D728">
        <v>725</v>
      </c>
      <c r="E728" t="str">
        <f>VLOOKUP(B728,Nuclides!A:F,5,FALSE)</f>
        <v>Ru106</v>
      </c>
      <c r="F728">
        <f>VLOOKUP(B728,Nuclides!A:F,4,FALSE)</f>
        <v>32123520</v>
      </c>
      <c r="G728" s="3" t="str">
        <f t="shared" si="58"/>
        <v>1.02y</v>
      </c>
      <c r="H728" s="3">
        <f t="shared" si="59"/>
        <v>2.1577560010856383E-8</v>
      </c>
      <c r="I728" s="3">
        <f t="shared" si="60"/>
        <v>0</v>
      </c>
      <c r="J728" s="3">
        <f t="shared" si="61"/>
        <v>0</v>
      </c>
      <c r="K728" s="3" t="str">
        <f t="shared" si="62"/>
        <v>Ru106</v>
      </c>
      <c r="L728" s="3" cm="1">
        <f t="array" ref="L728">SUM(($J728*EXP(-$H728*12*3600*_xlfn.SEQUENCE(L$1-1))))+$J728</f>
        <v>0</v>
      </c>
      <c r="M728" s="3"/>
      <c r="N728" s="3"/>
    </row>
    <row r="729" spans="2:14" hidden="1" x14ac:dyDescent="0.2">
      <c r="B729" s="3">
        <v>44107</v>
      </c>
      <c r="C729" s="3">
        <v>0</v>
      </c>
      <c r="D729">
        <v>726</v>
      </c>
      <c r="E729" t="str">
        <f>VLOOKUP(B729,Nuclides!A:F,5,FALSE)</f>
        <v>Ru107</v>
      </c>
      <c r="F729">
        <f>VLOOKUP(B729,Nuclides!A:F,4,FALSE)</f>
        <v>225</v>
      </c>
      <c r="G729" s="3" t="str">
        <f t="shared" si="58"/>
        <v>3.75min</v>
      </c>
      <c r="H729" s="3">
        <f t="shared" si="59"/>
        <v>3.080654135821979E-3</v>
      </c>
      <c r="I729" s="3">
        <f t="shared" si="60"/>
        <v>0</v>
      </c>
      <c r="J729" s="3">
        <f t="shared" si="61"/>
        <v>0</v>
      </c>
      <c r="K729" s="3" t="str">
        <f t="shared" si="62"/>
        <v>Ru107</v>
      </c>
      <c r="L729" s="3" cm="1">
        <f t="array" ref="L729">SUM(($J729*EXP(-$H729*12*3600*_xlfn.SEQUENCE(L$1-1))))+$J729</f>
        <v>0</v>
      </c>
      <c r="M729" s="3"/>
      <c r="N729" s="3"/>
    </row>
    <row r="730" spans="2:14" hidden="1" x14ac:dyDescent="0.2">
      <c r="B730" s="3">
        <v>44108</v>
      </c>
      <c r="C730" s="3">
        <v>0</v>
      </c>
      <c r="D730">
        <v>727</v>
      </c>
      <c r="E730" t="str">
        <f>VLOOKUP(B730,Nuclides!A:F,5,FALSE)</f>
        <v>Ru108</v>
      </c>
      <c r="F730">
        <f>VLOOKUP(B730,Nuclides!A:F,4,FALSE)</f>
        <v>273</v>
      </c>
      <c r="G730" s="3" t="str">
        <f t="shared" si="58"/>
        <v>4.55min</v>
      </c>
      <c r="H730" s="3">
        <f t="shared" si="59"/>
        <v>2.5390006613917409E-3</v>
      </c>
      <c r="I730" s="3">
        <f t="shared" si="60"/>
        <v>0</v>
      </c>
      <c r="J730" s="3">
        <f t="shared" si="61"/>
        <v>0</v>
      </c>
      <c r="K730" s="3" t="str">
        <f t="shared" si="62"/>
        <v>Ru108</v>
      </c>
      <c r="L730" s="3" cm="1">
        <f t="array" ref="L730">SUM(($J730*EXP(-$H730*12*3600*_xlfn.SEQUENCE(L$1-1))))+$J730</f>
        <v>0</v>
      </c>
      <c r="M730" s="3"/>
      <c r="N730" s="3"/>
    </row>
    <row r="731" spans="2:14" hidden="1" x14ac:dyDescent="0.2">
      <c r="B731" s="3">
        <v>44109</v>
      </c>
      <c r="C731" s="3">
        <v>0</v>
      </c>
      <c r="D731">
        <v>728</v>
      </c>
      <c r="E731" t="str">
        <f>VLOOKUP(B731,Nuclides!A:F,5,FALSE)</f>
        <v>Ru109</v>
      </c>
      <c r="F731">
        <f>VLOOKUP(B731,Nuclides!A:F,4,FALSE)</f>
        <v>34.5</v>
      </c>
      <c r="G731" s="3" t="str">
        <f t="shared" si="58"/>
        <v>34.5s</v>
      </c>
      <c r="H731" s="3">
        <f t="shared" si="59"/>
        <v>2.009122262492595E-2</v>
      </c>
      <c r="I731" s="3">
        <f t="shared" si="60"/>
        <v>0</v>
      </c>
      <c r="J731" s="3">
        <f t="shared" si="61"/>
        <v>0</v>
      </c>
      <c r="K731" s="3" t="str">
        <f t="shared" si="62"/>
        <v>Ru109</v>
      </c>
      <c r="L731" s="3" cm="1">
        <f t="array" ref="L731">SUM(($J731*EXP(-$H731*12*3600*_xlfn.SEQUENCE(L$1-1))))+$J731</f>
        <v>0</v>
      </c>
      <c r="M731" s="3"/>
      <c r="N731" s="3"/>
    </row>
    <row r="732" spans="2:14" hidden="1" x14ac:dyDescent="0.2">
      <c r="B732" s="3">
        <v>44110</v>
      </c>
      <c r="C732" s="3">
        <v>0</v>
      </c>
      <c r="D732">
        <v>729</v>
      </c>
      <c r="E732" t="str">
        <f>VLOOKUP(B732,Nuclides!A:F,5,FALSE)</f>
        <v>Ru110</v>
      </c>
      <c r="F732">
        <f>VLOOKUP(B732,Nuclides!A:F,4,FALSE)</f>
        <v>11.6</v>
      </c>
      <c r="G732" s="3" t="str">
        <f t="shared" si="58"/>
        <v>11.6s</v>
      </c>
      <c r="H732" s="3">
        <f t="shared" si="59"/>
        <v>5.9754067289650457E-2</v>
      </c>
      <c r="I732" s="3">
        <f t="shared" si="60"/>
        <v>0</v>
      </c>
      <c r="J732" s="3">
        <f t="shared" si="61"/>
        <v>0</v>
      </c>
      <c r="K732" s="3" t="str">
        <f t="shared" si="62"/>
        <v>Ru110</v>
      </c>
      <c r="L732" s="3" cm="1">
        <f t="array" ref="L732">SUM(($J732*EXP(-$H732*12*3600*_xlfn.SEQUENCE(L$1-1))))+$J732</f>
        <v>0</v>
      </c>
      <c r="M732" s="3"/>
      <c r="N732" s="3"/>
    </row>
    <row r="733" spans="2:14" hidden="1" x14ac:dyDescent="0.2">
      <c r="B733" s="3">
        <v>44111</v>
      </c>
      <c r="C733" s="3">
        <v>0</v>
      </c>
      <c r="D733">
        <v>730</v>
      </c>
      <c r="E733" t="str">
        <f>VLOOKUP(B733,Nuclides!A:F,5,FALSE)</f>
        <v>Ru111</v>
      </c>
      <c r="F733">
        <f>VLOOKUP(B733,Nuclides!A:F,4,FALSE)</f>
        <v>2.12</v>
      </c>
      <c r="G733" s="3" t="str">
        <f t="shared" si="58"/>
        <v>2.12s</v>
      </c>
      <c r="H733" s="3">
        <f t="shared" si="59"/>
        <v>0.3269562172452572</v>
      </c>
      <c r="I733" s="3">
        <f t="shared" si="60"/>
        <v>0</v>
      </c>
      <c r="J733" s="3">
        <f t="shared" si="61"/>
        <v>0</v>
      </c>
      <c r="K733" s="3" t="str">
        <f t="shared" si="62"/>
        <v>Ru111</v>
      </c>
      <c r="L733" s="3" cm="1">
        <f t="array" ref="L733">SUM(($J733*EXP(-$H733*12*3600*_xlfn.SEQUENCE(L$1-1))))+$J733</f>
        <v>0</v>
      </c>
      <c r="M733" s="3"/>
      <c r="N733" s="3"/>
    </row>
    <row r="734" spans="2:14" hidden="1" x14ac:dyDescent="0.2">
      <c r="B734" s="3">
        <v>44112</v>
      </c>
      <c r="C734" s="3">
        <v>0</v>
      </c>
      <c r="D734">
        <v>731</v>
      </c>
      <c r="E734" t="str">
        <f>VLOOKUP(B734,Nuclides!A:F,5,FALSE)</f>
        <v>Ru112</v>
      </c>
      <c r="F734">
        <f>VLOOKUP(B734,Nuclides!A:F,4,FALSE)</f>
        <v>1.75</v>
      </c>
      <c r="G734" s="3" t="str">
        <f t="shared" si="58"/>
        <v>1.75s</v>
      </c>
      <c r="H734" s="3">
        <f t="shared" si="59"/>
        <v>0.39608410317711157</v>
      </c>
      <c r="I734" s="3">
        <f t="shared" si="60"/>
        <v>0</v>
      </c>
      <c r="J734" s="3">
        <f t="shared" si="61"/>
        <v>0</v>
      </c>
      <c r="K734" s="3" t="str">
        <f t="shared" si="62"/>
        <v>Ru112</v>
      </c>
      <c r="L734" s="3" cm="1">
        <f t="array" ref="L734">SUM(($J734*EXP(-$H734*12*3600*_xlfn.SEQUENCE(L$1-1))))+$J734</f>
        <v>0</v>
      </c>
      <c r="M734" s="3"/>
      <c r="N734" s="3"/>
    </row>
    <row r="735" spans="2:14" hidden="1" x14ac:dyDescent="0.2">
      <c r="B735" s="3">
        <v>44113</v>
      </c>
      <c r="C735" s="3">
        <v>0</v>
      </c>
      <c r="D735">
        <v>732</v>
      </c>
      <c r="E735" t="str">
        <f>VLOOKUP(B735,Nuclides!A:F,5,FALSE)</f>
        <v>Ru113</v>
      </c>
      <c r="F735">
        <f>VLOOKUP(B735,Nuclides!A:F,4,FALSE)</f>
        <v>0.8</v>
      </c>
      <c r="G735" s="3" t="str">
        <f t="shared" si="58"/>
        <v>0.8s</v>
      </c>
      <c r="H735" s="3">
        <f t="shared" si="59"/>
        <v>0.86643397569993152</v>
      </c>
      <c r="I735" s="3">
        <f t="shared" si="60"/>
        <v>0</v>
      </c>
      <c r="J735" s="3">
        <f t="shared" si="61"/>
        <v>0</v>
      </c>
      <c r="K735" s="3" t="str">
        <f t="shared" si="62"/>
        <v>Ru113</v>
      </c>
      <c r="L735" s="3" cm="1">
        <f t="array" ref="L735">SUM(($J735*EXP(-$H735*12*3600*_xlfn.SEQUENCE(L$1-1))))+$J735</f>
        <v>0</v>
      </c>
      <c r="M735" s="3"/>
      <c r="N735" s="3"/>
    </row>
    <row r="736" spans="2:14" hidden="1" x14ac:dyDescent="0.2">
      <c r="B736" s="3">
        <v>45094</v>
      </c>
      <c r="C736" s="3">
        <v>0</v>
      </c>
      <c r="D736">
        <v>733</v>
      </c>
      <c r="E736" t="str">
        <f>VLOOKUP(B736,Nuclides!A:F,5,FALSE)</f>
        <v>Rh94</v>
      </c>
      <c r="F736">
        <f>VLOOKUP(B736,Nuclides!A:F,4,FALSE)</f>
        <v>66</v>
      </c>
      <c r="G736" s="3" t="str">
        <f t="shared" si="58"/>
        <v>1.1min</v>
      </c>
      <c r="H736" s="3">
        <f t="shared" si="59"/>
        <v>1.050223000848402E-2</v>
      </c>
      <c r="I736" s="3">
        <f t="shared" si="60"/>
        <v>0</v>
      </c>
      <c r="J736" s="3">
        <f t="shared" si="61"/>
        <v>0</v>
      </c>
      <c r="K736" s="3" t="str">
        <f t="shared" si="62"/>
        <v>Rh94</v>
      </c>
      <c r="L736" s="3" cm="1">
        <f t="array" ref="L736">SUM(($J736*EXP(-$H736*12*3600*_xlfn.SEQUENCE(L$1-1))))+$J736</f>
        <v>0</v>
      </c>
      <c r="M736" s="3"/>
      <c r="N736" s="3"/>
    </row>
    <row r="737" spans="2:14" hidden="1" x14ac:dyDescent="0.2">
      <c r="B737" s="3">
        <v>45095</v>
      </c>
      <c r="C737" s="3">
        <v>0</v>
      </c>
      <c r="D737">
        <v>734</v>
      </c>
      <c r="E737" t="str">
        <f>VLOOKUP(B737,Nuclides!A:F,5,FALSE)</f>
        <v>Rh95</v>
      </c>
      <c r="F737">
        <f>VLOOKUP(B737,Nuclides!A:F,4,FALSE)</f>
        <v>301.2</v>
      </c>
      <c r="G737" s="3" t="str">
        <f t="shared" si="58"/>
        <v>5.02min</v>
      </c>
      <c r="H737" s="3">
        <f t="shared" si="59"/>
        <v>2.3012854600263787E-3</v>
      </c>
      <c r="I737" s="3">
        <f t="shared" si="60"/>
        <v>0</v>
      </c>
      <c r="J737" s="3">
        <f t="shared" si="61"/>
        <v>0</v>
      </c>
      <c r="K737" s="3" t="str">
        <f t="shared" si="62"/>
        <v>Rh95</v>
      </c>
      <c r="L737" s="3" cm="1">
        <f t="array" ref="L737">SUM(($J737*EXP(-$H737*12*3600*_xlfn.SEQUENCE(L$1-1))))+$J737</f>
        <v>0</v>
      </c>
      <c r="M737" s="3"/>
      <c r="N737" s="3"/>
    </row>
    <row r="738" spans="2:14" hidden="1" x14ac:dyDescent="0.2">
      <c r="B738" s="3">
        <v>45096</v>
      </c>
      <c r="C738" s="3">
        <v>0</v>
      </c>
      <c r="D738">
        <v>735</v>
      </c>
      <c r="E738" t="str">
        <f>VLOOKUP(B738,Nuclides!A:F,5,FALSE)</f>
        <v>Rh96</v>
      </c>
      <c r="F738">
        <f>VLOOKUP(B738,Nuclides!A:F,4,FALSE)</f>
        <v>594</v>
      </c>
      <c r="G738" s="3" t="str">
        <f t="shared" si="58"/>
        <v>9.9min</v>
      </c>
      <c r="H738" s="3">
        <f t="shared" si="59"/>
        <v>1.1669144453871133E-3</v>
      </c>
      <c r="I738" s="3">
        <f t="shared" si="60"/>
        <v>0</v>
      </c>
      <c r="J738" s="3">
        <f t="shared" si="61"/>
        <v>0</v>
      </c>
      <c r="K738" s="3" t="str">
        <f t="shared" si="62"/>
        <v>Rh96</v>
      </c>
      <c r="L738" s="3" cm="1">
        <f t="array" ref="L738">SUM(($J738*EXP(-$H738*12*3600*_xlfn.SEQUENCE(L$1-1))))+$J738</f>
        <v>0</v>
      </c>
      <c r="M738" s="3"/>
      <c r="N738" s="3"/>
    </row>
    <row r="739" spans="2:14" hidden="1" x14ac:dyDescent="0.2">
      <c r="B739" s="3">
        <v>45097</v>
      </c>
      <c r="C739" s="3">
        <v>0</v>
      </c>
      <c r="D739">
        <v>736</v>
      </c>
      <c r="E739" t="str">
        <f>VLOOKUP(B739,Nuclides!A:F,5,FALSE)</f>
        <v>Rh97</v>
      </c>
      <c r="F739">
        <f>VLOOKUP(B739,Nuclides!A:F,4,FALSE)</f>
        <v>1842</v>
      </c>
      <c r="G739" s="3" t="str">
        <f t="shared" si="58"/>
        <v>30.7min</v>
      </c>
      <c r="H739" s="3">
        <f t="shared" si="59"/>
        <v>3.7630140095545346E-4</v>
      </c>
      <c r="I739" s="3">
        <f t="shared" si="60"/>
        <v>0</v>
      </c>
      <c r="J739" s="3">
        <f t="shared" si="61"/>
        <v>0</v>
      </c>
      <c r="K739" s="3" t="str">
        <f t="shared" si="62"/>
        <v>Rh97</v>
      </c>
      <c r="L739" s="3" cm="1">
        <f t="array" ref="L739">SUM(($J739*EXP(-$H739*12*3600*_xlfn.SEQUENCE(L$1-1))))+$J739</f>
        <v>0</v>
      </c>
      <c r="M739" s="3"/>
      <c r="N739" s="3"/>
    </row>
    <row r="740" spans="2:14" hidden="1" x14ac:dyDescent="0.2">
      <c r="B740" s="3">
        <v>45098</v>
      </c>
      <c r="C740" s="3">
        <v>0</v>
      </c>
      <c r="D740">
        <v>737</v>
      </c>
      <c r="E740" t="str">
        <f>VLOOKUP(B740,Nuclides!A:F,5,FALSE)</f>
        <v>Rh98</v>
      </c>
      <c r="F740">
        <f>VLOOKUP(B740,Nuclides!A:F,4,FALSE)</f>
        <v>523.20000000000005</v>
      </c>
      <c r="G740" s="3" t="str">
        <f t="shared" si="58"/>
        <v>8.72min</v>
      </c>
      <c r="H740" s="3">
        <f t="shared" si="59"/>
        <v>1.3248225928133509E-3</v>
      </c>
      <c r="I740" s="3">
        <f t="shared" si="60"/>
        <v>0</v>
      </c>
      <c r="J740" s="3">
        <f t="shared" si="61"/>
        <v>0</v>
      </c>
      <c r="K740" s="3" t="str">
        <f t="shared" si="62"/>
        <v>Rh98</v>
      </c>
      <c r="L740" s="3" cm="1">
        <f t="array" ref="L740">SUM(($J740*EXP(-$H740*12*3600*_xlfn.SEQUENCE(L$1-1))))+$J740</f>
        <v>0</v>
      </c>
      <c r="M740" s="3"/>
      <c r="N740" s="3"/>
    </row>
    <row r="741" spans="2:14" hidden="1" x14ac:dyDescent="0.2">
      <c r="B741" s="3">
        <v>45099</v>
      </c>
      <c r="C741" s="3">
        <v>0</v>
      </c>
      <c r="D741">
        <v>738</v>
      </c>
      <c r="E741" t="str">
        <f>VLOOKUP(B741,Nuclides!A:F,5,FALSE)</f>
        <v>Rh99</v>
      </c>
      <c r="F741">
        <f>VLOOKUP(B741,Nuclides!A:F,4,FALSE)</f>
        <v>1391040</v>
      </c>
      <c r="G741" s="3" t="str">
        <f t="shared" si="58"/>
        <v>16.1d</v>
      </c>
      <c r="H741" s="3">
        <f t="shared" si="59"/>
        <v>4.9829421192772694E-7</v>
      </c>
      <c r="I741" s="3">
        <f t="shared" si="60"/>
        <v>0</v>
      </c>
      <c r="J741" s="3">
        <f t="shared" si="61"/>
        <v>0</v>
      </c>
      <c r="K741" s="3" t="str">
        <f t="shared" si="62"/>
        <v>Rh99</v>
      </c>
      <c r="L741" s="3" cm="1">
        <f t="array" ref="L741">SUM(($J741*EXP(-$H741*12*3600*_xlfn.SEQUENCE(L$1-1))))+$J741</f>
        <v>0</v>
      </c>
      <c r="M741" s="3"/>
      <c r="N741" s="3"/>
    </row>
    <row r="742" spans="2:14" hidden="1" x14ac:dyDescent="0.2">
      <c r="B742" s="3">
        <v>45100</v>
      </c>
      <c r="C742" s="3">
        <v>0</v>
      </c>
      <c r="D742">
        <v>739</v>
      </c>
      <c r="E742" t="str">
        <f>VLOOKUP(B742,Nuclides!A:F,5,FALSE)</f>
        <v>Rh100</v>
      </c>
      <c r="F742">
        <f>VLOOKUP(B742,Nuclides!A:F,4,FALSE)</f>
        <v>74880</v>
      </c>
      <c r="G742" s="3" t="str">
        <f t="shared" si="58"/>
        <v>20.8h</v>
      </c>
      <c r="H742" s="3">
        <f t="shared" si="59"/>
        <v>9.2567732446573882E-6</v>
      </c>
      <c r="I742" s="3">
        <f t="shared" si="60"/>
        <v>0</v>
      </c>
      <c r="J742" s="3">
        <f t="shared" si="61"/>
        <v>0</v>
      </c>
      <c r="K742" s="3" t="str">
        <f t="shared" si="62"/>
        <v>Rh100</v>
      </c>
      <c r="L742" s="3" cm="1">
        <f t="array" ref="L742">SUM(($J742*EXP(-$H742*12*3600*_xlfn.SEQUENCE(L$1-1))))+$J742</f>
        <v>0</v>
      </c>
      <c r="M742" s="3"/>
      <c r="N742" s="3"/>
    </row>
    <row r="743" spans="2:14" hidden="1" x14ac:dyDescent="0.2">
      <c r="B743" s="3">
        <v>45101</v>
      </c>
      <c r="C743" s="3">
        <v>0</v>
      </c>
      <c r="D743">
        <v>740</v>
      </c>
      <c r="E743" t="str">
        <f>VLOOKUP(B743,Nuclides!A:F,5,FALSE)</f>
        <v>Rh101</v>
      </c>
      <c r="F743">
        <f>VLOOKUP(B743,Nuclides!A:F,4,FALSE)</f>
        <v>104140080</v>
      </c>
      <c r="G743" s="3" t="str">
        <f t="shared" si="58"/>
        <v>3.3y</v>
      </c>
      <c r="H743" s="3">
        <f t="shared" si="59"/>
        <v>6.6559117350394321E-9</v>
      </c>
      <c r="I743" s="3">
        <f t="shared" si="60"/>
        <v>0</v>
      </c>
      <c r="J743" s="3">
        <f t="shared" si="61"/>
        <v>0</v>
      </c>
      <c r="K743" s="3" t="str">
        <f t="shared" si="62"/>
        <v>Rh101</v>
      </c>
      <c r="L743" s="3" cm="1">
        <f t="array" ref="L743">SUM(($J743*EXP(-$H743*12*3600*_xlfn.SEQUENCE(L$1-1))))+$J743</f>
        <v>0</v>
      </c>
      <c r="M743" s="3"/>
      <c r="N743" s="3"/>
    </row>
    <row r="744" spans="2:14" hidden="1" x14ac:dyDescent="0.2">
      <c r="B744" s="3">
        <v>45102</v>
      </c>
      <c r="C744" s="3">
        <v>0</v>
      </c>
      <c r="D744">
        <v>741</v>
      </c>
      <c r="E744" t="str">
        <f>VLOOKUP(B744,Nuclides!A:F,5,FALSE)</f>
        <v>Rh102</v>
      </c>
      <c r="F744">
        <f>VLOOKUP(B744,Nuclides!A:F,4,FALSE)</f>
        <v>17910720</v>
      </c>
      <c r="G744" s="3" t="str">
        <f t="shared" si="58"/>
        <v>207.3d</v>
      </c>
      <c r="H744" s="3">
        <f t="shared" si="59"/>
        <v>3.8700129339297656E-8</v>
      </c>
      <c r="I744" s="3">
        <f t="shared" si="60"/>
        <v>0</v>
      </c>
      <c r="J744" s="3">
        <f t="shared" si="61"/>
        <v>0</v>
      </c>
      <c r="K744" s="3" t="str">
        <f t="shared" si="62"/>
        <v>Rh102</v>
      </c>
      <c r="L744" s="3" cm="1">
        <f t="array" ref="L744">SUM(($J744*EXP(-$H744*12*3600*_xlfn.SEQUENCE(L$1-1))))+$J744</f>
        <v>0</v>
      </c>
      <c r="M744" s="3"/>
      <c r="N744" s="3"/>
    </row>
    <row r="745" spans="2:14" hidden="1" x14ac:dyDescent="0.2">
      <c r="B745" s="3">
        <v>45103</v>
      </c>
      <c r="C745" s="3">
        <v>0</v>
      </c>
      <c r="D745">
        <v>742</v>
      </c>
      <c r="E745" t="str">
        <f>VLOOKUP(B745,Nuclides!A:F,5,FALSE)</f>
        <v>Rh103</v>
      </c>
      <c r="F745" t="str">
        <f>VLOOKUP(B745,Nuclides!A:F,4,FALSE)</f>
        <v>STABLE</v>
      </c>
      <c r="G745" s="3" t="str">
        <f t="shared" si="58"/>
        <v>STABLE</v>
      </c>
      <c r="H745" s="3" t="e">
        <f t="shared" si="59"/>
        <v>#VALUE!</v>
      </c>
      <c r="I745" s="3" t="e">
        <f t="shared" si="60"/>
        <v>#VALUE!</v>
      </c>
      <c r="J745" s="3" t="e">
        <f t="shared" si="61"/>
        <v>#VALUE!</v>
      </c>
      <c r="K745" s="3" t="str">
        <f t="shared" si="62"/>
        <v>Rh103</v>
      </c>
      <c r="L745" s="3" t="e" cm="1">
        <f t="array" ref="L745">SUM(($J745*EXP(-$H745*12*3600*_xlfn.SEQUENCE(L$1-1))))+$J745</f>
        <v>#VALUE!</v>
      </c>
      <c r="M745" s="3"/>
      <c r="N745" s="3"/>
    </row>
    <row r="746" spans="2:14" hidden="1" x14ac:dyDescent="0.2">
      <c r="B746" s="3">
        <v>45104</v>
      </c>
      <c r="C746" s="3">
        <v>0</v>
      </c>
      <c r="D746">
        <v>743</v>
      </c>
      <c r="E746" t="str">
        <f>VLOOKUP(B746,Nuclides!A:F,5,FALSE)</f>
        <v>Rh104</v>
      </c>
      <c r="F746">
        <f>VLOOKUP(B746,Nuclides!A:F,4,FALSE)</f>
        <v>42.3</v>
      </c>
      <c r="G746" s="3" t="str">
        <f t="shared" si="58"/>
        <v>42.3s</v>
      </c>
      <c r="H746" s="3">
        <f t="shared" si="59"/>
        <v>1.6386458169265847E-2</v>
      </c>
      <c r="I746" s="3">
        <f t="shared" si="60"/>
        <v>0</v>
      </c>
      <c r="J746" s="3">
        <f t="shared" si="61"/>
        <v>0</v>
      </c>
      <c r="K746" s="3" t="str">
        <f t="shared" si="62"/>
        <v>Rh104</v>
      </c>
      <c r="L746" s="3" cm="1">
        <f t="array" ref="L746">SUM(($J746*EXP(-$H746*12*3600*_xlfn.SEQUENCE(L$1-1))))+$J746</f>
        <v>0</v>
      </c>
      <c r="M746" s="3"/>
      <c r="N746" s="3"/>
    </row>
    <row r="747" spans="2:14" hidden="1" x14ac:dyDescent="0.2">
      <c r="B747" s="3">
        <v>45105</v>
      </c>
      <c r="C747" s="3">
        <v>0</v>
      </c>
      <c r="D747">
        <v>744</v>
      </c>
      <c r="E747" t="str">
        <f>VLOOKUP(B747,Nuclides!A:F,5,FALSE)</f>
        <v>Rh105</v>
      </c>
      <c r="F747">
        <f>VLOOKUP(B747,Nuclides!A:F,4,FALSE)</f>
        <v>127296</v>
      </c>
      <c r="G747" s="3" t="str">
        <f t="shared" si="58"/>
        <v>1.47d</v>
      </c>
      <c r="H747" s="3">
        <f t="shared" si="59"/>
        <v>5.4451607321514057E-6</v>
      </c>
      <c r="I747" s="3">
        <f t="shared" si="60"/>
        <v>0</v>
      </c>
      <c r="J747" s="3">
        <f t="shared" si="61"/>
        <v>0</v>
      </c>
      <c r="K747" s="3" t="str">
        <f t="shared" si="62"/>
        <v>Rh105</v>
      </c>
      <c r="L747" s="3" cm="1">
        <f t="array" ref="L747">SUM(($J747*EXP(-$H747*12*3600*_xlfn.SEQUENCE(L$1-1))))+$J747</f>
        <v>0</v>
      </c>
      <c r="M747" s="3"/>
      <c r="N747" s="3"/>
    </row>
    <row r="748" spans="2:14" hidden="1" x14ac:dyDescent="0.2">
      <c r="B748" s="3">
        <v>45106</v>
      </c>
      <c r="C748" s="3">
        <v>0</v>
      </c>
      <c r="D748">
        <v>745</v>
      </c>
      <c r="E748" t="str">
        <f>VLOOKUP(B748,Nuclides!A:F,5,FALSE)</f>
        <v>Rh106</v>
      </c>
      <c r="F748">
        <f>VLOOKUP(B748,Nuclides!A:F,4,FALSE)</f>
        <v>30.07</v>
      </c>
      <c r="G748" s="3" t="str">
        <f t="shared" si="58"/>
        <v>30.07s</v>
      </c>
      <c r="H748" s="3">
        <f t="shared" si="59"/>
        <v>2.3051120071830571E-2</v>
      </c>
      <c r="I748" s="3">
        <f t="shared" si="60"/>
        <v>0</v>
      </c>
      <c r="J748" s="3">
        <f t="shared" si="61"/>
        <v>0</v>
      </c>
      <c r="K748" s="3" t="str">
        <f t="shared" si="62"/>
        <v>Rh106</v>
      </c>
      <c r="L748" s="3" cm="1">
        <f t="array" ref="L748">SUM(($J748*EXP(-$H748*12*3600*_xlfn.SEQUENCE(L$1-1))))+$J748</f>
        <v>0</v>
      </c>
      <c r="M748" s="3"/>
      <c r="N748" s="3"/>
    </row>
    <row r="749" spans="2:14" hidden="1" x14ac:dyDescent="0.2">
      <c r="B749" s="3">
        <v>45107</v>
      </c>
      <c r="C749" s="3">
        <v>0</v>
      </c>
      <c r="D749">
        <v>746</v>
      </c>
      <c r="E749" t="str">
        <f>VLOOKUP(B749,Nuclides!A:F,5,FALSE)</f>
        <v>Rh107</v>
      </c>
      <c r="F749">
        <f>VLOOKUP(B749,Nuclides!A:F,4,FALSE)</f>
        <v>1302</v>
      </c>
      <c r="G749" s="3" t="str">
        <f t="shared" si="58"/>
        <v>21.7min</v>
      </c>
      <c r="H749" s="3">
        <f t="shared" si="59"/>
        <v>5.3237110642084893E-4</v>
      </c>
      <c r="I749" s="3">
        <f t="shared" si="60"/>
        <v>0</v>
      </c>
      <c r="J749" s="3">
        <f t="shared" si="61"/>
        <v>0</v>
      </c>
      <c r="K749" s="3" t="str">
        <f t="shared" si="62"/>
        <v>Rh107</v>
      </c>
      <c r="L749" s="3" cm="1">
        <f t="array" ref="L749">SUM(($J749*EXP(-$H749*12*3600*_xlfn.SEQUENCE(L$1-1))))+$J749</f>
        <v>0</v>
      </c>
      <c r="M749" s="3"/>
      <c r="N749" s="3"/>
    </row>
    <row r="750" spans="2:14" hidden="1" x14ac:dyDescent="0.2">
      <c r="B750" s="3">
        <v>45108</v>
      </c>
      <c r="C750" s="3">
        <v>0</v>
      </c>
      <c r="D750">
        <v>747</v>
      </c>
      <c r="E750" t="str">
        <f>VLOOKUP(B750,Nuclides!A:F,5,FALSE)</f>
        <v>Rh108</v>
      </c>
      <c r="F750">
        <f>VLOOKUP(B750,Nuclides!A:F,4,FALSE)</f>
        <v>16.8</v>
      </c>
      <c r="G750" s="3" t="str">
        <f t="shared" si="58"/>
        <v>16.8s</v>
      </c>
      <c r="H750" s="3">
        <f t="shared" si="59"/>
        <v>4.1258760747615787E-2</v>
      </c>
      <c r="I750" s="3">
        <f t="shared" si="60"/>
        <v>0</v>
      </c>
      <c r="J750" s="3">
        <f t="shared" si="61"/>
        <v>0</v>
      </c>
      <c r="K750" s="3" t="str">
        <f t="shared" si="62"/>
        <v>Rh108</v>
      </c>
      <c r="L750" s="3" cm="1">
        <f t="array" ref="L750">SUM(($J750*EXP(-$H750*12*3600*_xlfn.SEQUENCE(L$1-1))))+$J750</f>
        <v>0</v>
      </c>
      <c r="M750" s="3"/>
      <c r="N750" s="3"/>
    </row>
    <row r="751" spans="2:14" hidden="1" x14ac:dyDescent="0.2">
      <c r="B751" s="3">
        <v>45109</v>
      </c>
      <c r="C751" s="3">
        <v>0</v>
      </c>
      <c r="D751">
        <v>748</v>
      </c>
      <c r="E751" t="str">
        <f>VLOOKUP(B751,Nuclides!A:F,5,FALSE)</f>
        <v>Rh109</v>
      </c>
      <c r="F751">
        <f>VLOOKUP(B751,Nuclides!A:F,4,FALSE)</f>
        <v>80</v>
      </c>
      <c r="G751" s="3" t="str">
        <f t="shared" si="58"/>
        <v>1.33min</v>
      </c>
      <c r="H751" s="3">
        <f t="shared" si="59"/>
        <v>8.6643397569993157E-3</v>
      </c>
      <c r="I751" s="3">
        <f t="shared" si="60"/>
        <v>0</v>
      </c>
      <c r="J751" s="3">
        <f t="shared" si="61"/>
        <v>0</v>
      </c>
      <c r="K751" s="3" t="str">
        <f t="shared" si="62"/>
        <v>Rh109</v>
      </c>
      <c r="L751" s="3" cm="1">
        <f t="array" ref="L751">SUM(($J751*EXP(-$H751*12*3600*_xlfn.SEQUENCE(L$1-1))))+$J751</f>
        <v>0</v>
      </c>
      <c r="M751" s="3"/>
      <c r="N751" s="3"/>
    </row>
    <row r="752" spans="2:14" hidden="1" x14ac:dyDescent="0.2">
      <c r="B752" s="3">
        <v>45110</v>
      </c>
      <c r="C752" s="3">
        <v>0</v>
      </c>
      <c r="D752">
        <v>749</v>
      </c>
      <c r="E752" t="str">
        <f>VLOOKUP(B752,Nuclides!A:F,5,FALSE)</f>
        <v>Rh110</v>
      </c>
      <c r="F752">
        <f>VLOOKUP(B752,Nuclides!A:F,4,FALSE)</f>
        <v>28.5</v>
      </c>
      <c r="G752" s="3" t="str">
        <f t="shared" si="58"/>
        <v>28.5s</v>
      </c>
      <c r="H752" s="3">
        <f t="shared" si="59"/>
        <v>2.4320953703857728E-2</v>
      </c>
      <c r="I752" s="3">
        <f t="shared" si="60"/>
        <v>0</v>
      </c>
      <c r="J752" s="3">
        <f t="shared" si="61"/>
        <v>0</v>
      </c>
      <c r="K752" s="3" t="str">
        <f t="shared" si="62"/>
        <v>Rh110</v>
      </c>
      <c r="L752" s="3" cm="1">
        <f t="array" ref="L752">SUM(($J752*EXP(-$H752*12*3600*_xlfn.SEQUENCE(L$1-1))))+$J752</f>
        <v>0</v>
      </c>
      <c r="M752" s="3"/>
      <c r="N752" s="3"/>
    </row>
    <row r="753" spans="2:14" hidden="1" x14ac:dyDescent="0.2">
      <c r="B753" s="3">
        <v>45111</v>
      </c>
      <c r="C753" s="3">
        <v>0</v>
      </c>
      <c r="D753">
        <v>750</v>
      </c>
      <c r="E753" t="str">
        <f>VLOOKUP(B753,Nuclides!A:F,5,FALSE)</f>
        <v>Rh111</v>
      </c>
      <c r="F753">
        <f>VLOOKUP(B753,Nuclides!A:F,4,FALSE)</f>
        <v>11</v>
      </c>
      <c r="G753" s="3" t="str">
        <f t="shared" si="58"/>
        <v>11s</v>
      </c>
      <c r="H753" s="3">
        <f t="shared" si="59"/>
        <v>6.3013380050904122E-2</v>
      </c>
      <c r="I753" s="3">
        <f t="shared" si="60"/>
        <v>0</v>
      </c>
      <c r="J753" s="3">
        <f t="shared" si="61"/>
        <v>0</v>
      </c>
      <c r="K753" s="3" t="str">
        <f t="shared" si="62"/>
        <v>Rh111</v>
      </c>
      <c r="L753" s="3" cm="1">
        <f t="array" ref="L753">SUM(($J753*EXP(-$H753*12*3600*_xlfn.SEQUENCE(L$1-1))))+$J753</f>
        <v>0</v>
      </c>
      <c r="M753" s="3"/>
      <c r="N753" s="3"/>
    </row>
    <row r="754" spans="2:14" hidden="1" x14ac:dyDescent="0.2">
      <c r="B754" s="3">
        <v>45112</v>
      </c>
      <c r="C754" s="3">
        <v>0</v>
      </c>
      <c r="D754">
        <v>751</v>
      </c>
      <c r="E754" t="str">
        <f>VLOOKUP(B754,Nuclides!A:F,5,FALSE)</f>
        <v>Rh112</v>
      </c>
      <c r="F754">
        <f>VLOOKUP(B754,Nuclides!A:F,4,FALSE)</f>
        <v>3.6</v>
      </c>
      <c r="G754" s="3" t="str">
        <f t="shared" si="58"/>
        <v>3.6s</v>
      </c>
      <c r="H754" s="3">
        <f t="shared" si="59"/>
        <v>0.19254088348887369</v>
      </c>
      <c r="I754" s="3">
        <f t="shared" si="60"/>
        <v>0</v>
      </c>
      <c r="J754" s="3">
        <f t="shared" si="61"/>
        <v>0</v>
      </c>
      <c r="K754" s="3" t="str">
        <f t="shared" si="62"/>
        <v>Rh112</v>
      </c>
      <c r="L754" s="3" cm="1">
        <f t="array" ref="L754">SUM(($J754*EXP(-$H754*12*3600*_xlfn.SEQUENCE(L$1-1))))+$J754</f>
        <v>0</v>
      </c>
      <c r="M754" s="3"/>
      <c r="N754" s="3"/>
    </row>
    <row r="755" spans="2:14" hidden="1" x14ac:dyDescent="0.2">
      <c r="B755" s="3">
        <v>45113</v>
      </c>
      <c r="C755" s="3">
        <v>0</v>
      </c>
      <c r="D755">
        <v>752</v>
      </c>
      <c r="E755" t="str">
        <f>VLOOKUP(B755,Nuclides!A:F,5,FALSE)</f>
        <v>Rh113</v>
      </c>
      <c r="F755">
        <f>VLOOKUP(B755,Nuclides!A:F,4,FALSE)</f>
        <v>2.8</v>
      </c>
      <c r="G755" s="3" t="str">
        <f t="shared" si="58"/>
        <v>2.8s</v>
      </c>
      <c r="H755" s="3">
        <f t="shared" si="59"/>
        <v>0.24755256448569476</v>
      </c>
      <c r="I755" s="3">
        <f t="shared" si="60"/>
        <v>0</v>
      </c>
      <c r="J755" s="3">
        <f t="shared" si="61"/>
        <v>0</v>
      </c>
      <c r="K755" s="3" t="str">
        <f t="shared" si="62"/>
        <v>Rh113</v>
      </c>
      <c r="L755" s="3" cm="1">
        <f t="array" ref="L755">SUM(($J755*EXP(-$H755*12*3600*_xlfn.SEQUENCE(L$1-1))))+$J755</f>
        <v>0</v>
      </c>
      <c r="M755" s="3"/>
      <c r="N755" s="3"/>
    </row>
    <row r="756" spans="2:14" hidden="1" x14ac:dyDescent="0.2">
      <c r="B756" s="3">
        <v>45114</v>
      </c>
      <c r="C756" s="3">
        <v>0</v>
      </c>
      <c r="D756">
        <v>753</v>
      </c>
      <c r="E756" t="str">
        <f>VLOOKUP(B756,Nuclides!A:F,5,FALSE)</f>
        <v>Rh114</v>
      </c>
      <c r="F756">
        <f>VLOOKUP(B756,Nuclides!A:F,4,FALSE)</f>
        <v>1.85</v>
      </c>
      <c r="G756" s="3" t="str">
        <f t="shared" si="58"/>
        <v>1.85s</v>
      </c>
      <c r="H756" s="3">
        <f t="shared" si="59"/>
        <v>0.37467415165402446</v>
      </c>
      <c r="I756" s="3">
        <f t="shared" si="60"/>
        <v>0</v>
      </c>
      <c r="J756" s="3">
        <f t="shared" si="61"/>
        <v>0</v>
      </c>
      <c r="K756" s="3" t="str">
        <f t="shared" si="62"/>
        <v>Rh114</v>
      </c>
      <c r="L756" s="3" cm="1">
        <f t="array" ref="L756">SUM(($J756*EXP(-$H756*12*3600*_xlfn.SEQUENCE(L$1-1))))+$J756</f>
        <v>0</v>
      </c>
      <c r="M756" s="3"/>
      <c r="N756" s="3"/>
    </row>
    <row r="757" spans="2:14" hidden="1" x14ac:dyDescent="0.2">
      <c r="B757" s="3">
        <v>46096</v>
      </c>
      <c r="C757" s="3">
        <v>0</v>
      </c>
      <c r="D757">
        <v>754</v>
      </c>
      <c r="E757" t="str">
        <f>VLOOKUP(B757,Nuclides!A:F,5,FALSE)</f>
        <v>Pd96</v>
      </c>
      <c r="F757">
        <f>VLOOKUP(B757,Nuclides!A:F,4,FALSE)</f>
        <v>122</v>
      </c>
      <c r="G757" s="3" t="str">
        <f t="shared" si="58"/>
        <v>2.03min</v>
      </c>
      <c r="H757" s="3">
        <f t="shared" si="59"/>
        <v>5.6815342668847975E-3</v>
      </c>
      <c r="I757" s="3">
        <f t="shared" si="60"/>
        <v>0</v>
      </c>
      <c r="J757" s="3">
        <f t="shared" si="61"/>
        <v>0</v>
      </c>
      <c r="K757" s="3" t="str">
        <f t="shared" si="62"/>
        <v>Pd96</v>
      </c>
      <c r="L757" s="3" cm="1">
        <f t="array" ref="L757">SUM(($J757*EXP(-$H757*12*3600*_xlfn.SEQUENCE(L$1-1))))+$J757</f>
        <v>0</v>
      </c>
      <c r="M757" s="3"/>
      <c r="N757" s="3"/>
    </row>
    <row r="758" spans="2:14" hidden="1" x14ac:dyDescent="0.2">
      <c r="B758" s="3">
        <v>46097</v>
      </c>
      <c r="C758" s="3">
        <v>0</v>
      </c>
      <c r="D758">
        <v>755</v>
      </c>
      <c r="E758" t="str">
        <f>VLOOKUP(B758,Nuclides!A:F,5,FALSE)</f>
        <v>Pd97</v>
      </c>
      <c r="F758">
        <f>VLOOKUP(B758,Nuclides!A:F,4,FALSE)</f>
        <v>186</v>
      </c>
      <c r="G758" s="3" t="str">
        <f t="shared" si="58"/>
        <v>3.1min</v>
      </c>
      <c r="H758" s="3">
        <f t="shared" si="59"/>
        <v>3.7265977449459425E-3</v>
      </c>
      <c r="I758" s="3">
        <f t="shared" si="60"/>
        <v>0</v>
      </c>
      <c r="J758" s="3">
        <f t="shared" si="61"/>
        <v>0</v>
      </c>
      <c r="K758" s="3" t="str">
        <f t="shared" si="62"/>
        <v>Pd97</v>
      </c>
      <c r="L758" s="3" cm="1">
        <f t="array" ref="L758">SUM(($J758*EXP(-$H758*12*3600*_xlfn.SEQUENCE(L$1-1))))+$J758</f>
        <v>0</v>
      </c>
      <c r="M758" s="3"/>
      <c r="N758" s="3"/>
    </row>
    <row r="759" spans="2:14" hidden="1" x14ac:dyDescent="0.2">
      <c r="B759" s="3">
        <v>46098</v>
      </c>
      <c r="C759" s="3">
        <v>0</v>
      </c>
      <c r="D759">
        <v>756</v>
      </c>
      <c r="E759" t="str">
        <f>VLOOKUP(B759,Nuclides!A:F,5,FALSE)</f>
        <v>Pd98</v>
      </c>
      <c r="F759">
        <f>VLOOKUP(B759,Nuclides!A:F,4,FALSE)</f>
        <v>1062</v>
      </c>
      <c r="G759" s="3" t="str">
        <f t="shared" si="58"/>
        <v>17.7min</v>
      </c>
      <c r="H759" s="3">
        <f t="shared" si="59"/>
        <v>6.5268096097923281E-4</v>
      </c>
      <c r="I759" s="3">
        <f t="shared" si="60"/>
        <v>0</v>
      </c>
      <c r="J759" s="3">
        <f t="shared" si="61"/>
        <v>0</v>
      </c>
      <c r="K759" s="3" t="str">
        <f t="shared" si="62"/>
        <v>Pd98</v>
      </c>
      <c r="L759" s="3" cm="1">
        <f t="array" ref="L759">SUM(($J759*EXP(-$H759*12*3600*_xlfn.SEQUENCE(L$1-1))))+$J759</f>
        <v>0</v>
      </c>
      <c r="M759" s="3"/>
      <c r="N759" s="3"/>
    </row>
    <row r="760" spans="2:14" hidden="1" x14ac:dyDescent="0.2">
      <c r="B760" s="3">
        <v>46099</v>
      </c>
      <c r="C760" s="3">
        <v>0</v>
      </c>
      <c r="D760">
        <v>757</v>
      </c>
      <c r="E760" t="str">
        <f>VLOOKUP(B760,Nuclides!A:F,5,FALSE)</f>
        <v>Pd99</v>
      </c>
      <c r="F760">
        <f>VLOOKUP(B760,Nuclides!A:F,4,FALSE)</f>
        <v>1284</v>
      </c>
      <c r="G760" s="3" t="str">
        <f t="shared" si="58"/>
        <v>21.4min</v>
      </c>
      <c r="H760" s="3">
        <f t="shared" si="59"/>
        <v>5.3983425277254302E-4</v>
      </c>
      <c r="I760" s="3">
        <f t="shared" si="60"/>
        <v>0</v>
      </c>
      <c r="J760" s="3">
        <f t="shared" si="61"/>
        <v>0</v>
      </c>
      <c r="K760" s="3" t="str">
        <f t="shared" si="62"/>
        <v>Pd99</v>
      </c>
      <c r="L760" s="3" cm="1">
        <f t="array" ref="L760">SUM(($J760*EXP(-$H760*12*3600*_xlfn.SEQUENCE(L$1-1))))+$J760</f>
        <v>0</v>
      </c>
      <c r="M760" s="3"/>
      <c r="N760" s="3"/>
    </row>
    <row r="761" spans="2:14" hidden="1" x14ac:dyDescent="0.2">
      <c r="B761" s="3">
        <v>46100</v>
      </c>
      <c r="C761" s="3">
        <v>0</v>
      </c>
      <c r="D761">
        <v>758</v>
      </c>
      <c r="E761" t="str">
        <f>VLOOKUP(B761,Nuclides!A:F,5,FALSE)</f>
        <v>Pd100</v>
      </c>
      <c r="F761">
        <f>VLOOKUP(B761,Nuclides!A:F,4,FALSE)</f>
        <v>313632</v>
      </c>
      <c r="G761" s="3" t="str">
        <f t="shared" si="58"/>
        <v>3.63d</v>
      </c>
      <c r="H761" s="3">
        <f t="shared" si="59"/>
        <v>2.2100652374755931E-6</v>
      </c>
      <c r="I761" s="3">
        <f t="shared" si="60"/>
        <v>0</v>
      </c>
      <c r="J761" s="3">
        <f t="shared" si="61"/>
        <v>0</v>
      </c>
      <c r="K761" s="3" t="str">
        <f t="shared" si="62"/>
        <v>Pd100</v>
      </c>
      <c r="L761" s="3" cm="1">
        <f t="array" ref="L761">SUM(($J761*EXP(-$H761*12*3600*_xlfn.SEQUENCE(L$1-1))))+$J761</f>
        <v>0</v>
      </c>
      <c r="M761" s="3"/>
      <c r="N761" s="3"/>
    </row>
    <row r="762" spans="2:14" hidden="1" x14ac:dyDescent="0.2">
      <c r="B762" s="3">
        <v>46101</v>
      </c>
      <c r="C762" s="3">
        <v>0</v>
      </c>
      <c r="D762">
        <v>759</v>
      </c>
      <c r="E762" t="str">
        <f>VLOOKUP(B762,Nuclides!A:F,5,FALSE)</f>
        <v>Pd101</v>
      </c>
      <c r="F762">
        <f>VLOOKUP(B762,Nuclides!A:F,4,FALSE)</f>
        <v>30492</v>
      </c>
      <c r="G762" s="3" t="str">
        <f t="shared" si="58"/>
        <v>8.47h</v>
      </c>
      <c r="H762" s="3">
        <f t="shared" si="59"/>
        <v>2.2732099585463247E-5</v>
      </c>
      <c r="I762" s="3">
        <f t="shared" si="60"/>
        <v>0</v>
      </c>
      <c r="J762" s="3">
        <f t="shared" si="61"/>
        <v>0</v>
      </c>
      <c r="K762" s="3" t="str">
        <f t="shared" si="62"/>
        <v>Pd101</v>
      </c>
      <c r="L762" s="3" cm="1">
        <f t="array" ref="L762">SUM(($J762*EXP(-$H762*12*3600*_xlfn.SEQUENCE(L$1-1))))+$J762</f>
        <v>0</v>
      </c>
      <c r="M762" s="3"/>
      <c r="N762" s="3"/>
    </row>
    <row r="763" spans="2:14" hidden="1" x14ac:dyDescent="0.2">
      <c r="B763" s="3">
        <v>46102</v>
      </c>
      <c r="C763" s="3">
        <v>0</v>
      </c>
      <c r="D763">
        <v>760</v>
      </c>
      <c r="E763" t="str">
        <f>VLOOKUP(B763,Nuclides!A:F,5,FALSE)</f>
        <v>Pd102</v>
      </c>
      <c r="F763" t="str">
        <f>VLOOKUP(B763,Nuclides!A:F,4,FALSE)</f>
        <v>STABLE</v>
      </c>
      <c r="G763" s="3" t="str">
        <f t="shared" si="58"/>
        <v>STABLE</v>
      </c>
      <c r="H763" s="3" t="e">
        <f t="shared" si="59"/>
        <v>#VALUE!</v>
      </c>
      <c r="I763" s="3" t="e">
        <f t="shared" si="60"/>
        <v>#VALUE!</v>
      </c>
      <c r="J763" s="3" t="e">
        <f t="shared" si="61"/>
        <v>#VALUE!</v>
      </c>
      <c r="K763" s="3" t="str">
        <f t="shared" si="62"/>
        <v>Pd102</v>
      </c>
      <c r="L763" s="3" t="e" cm="1">
        <f t="array" ref="L763">SUM(($J763*EXP(-$H763*12*3600*_xlfn.SEQUENCE(L$1-1))))+$J763</f>
        <v>#VALUE!</v>
      </c>
      <c r="M763" s="3"/>
      <c r="N763" s="3"/>
    </row>
    <row r="764" spans="2:14" hidden="1" x14ac:dyDescent="0.2">
      <c r="B764" s="3">
        <v>46103</v>
      </c>
      <c r="C764" s="3">
        <v>0</v>
      </c>
      <c r="D764">
        <v>761</v>
      </c>
      <c r="E764" t="str">
        <f>VLOOKUP(B764,Nuclides!A:F,5,FALSE)</f>
        <v>Pd103</v>
      </c>
      <c r="F764">
        <f>VLOOKUP(B764,Nuclides!A:F,4,FALSE)</f>
        <v>1468022.4</v>
      </c>
      <c r="G764" s="3" t="str">
        <f t="shared" si="58"/>
        <v>16.99d</v>
      </c>
      <c r="H764" s="3">
        <f t="shared" si="59"/>
        <v>4.7216389924291711E-7</v>
      </c>
      <c r="I764" s="3">
        <f t="shared" si="60"/>
        <v>0</v>
      </c>
      <c r="J764" s="3">
        <f t="shared" si="61"/>
        <v>0</v>
      </c>
      <c r="K764" s="3" t="str">
        <f t="shared" si="62"/>
        <v>Pd103</v>
      </c>
      <c r="L764" s="3" cm="1">
        <f t="array" ref="L764">SUM(($J764*EXP(-$H764*12*3600*_xlfn.SEQUENCE(L$1-1))))+$J764</f>
        <v>0</v>
      </c>
      <c r="M764" s="3"/>
      <c r="N764" s="3"/>
    </row>
    <row r="765" spans="2:14" hidden="1" x14ac:dyDescent="0.2">
      <c r="B765" s="3">
        <v>46104</v>
      </c>
      <c r="C765" s="3">
        <v>0</v>
      </c>
      <c r="D765">
        <v>762</v>
      </c>
      <c r="E765" t="str">
        <f>VLOOKUP(B765,Nuclides!A:F,5,FALSE)</f>
        <v>Pd104</v>
      </c>
      <c r="F765" t="str">
        <f>VLOOKUP(B765,Nuclides!A:F,4,FALSE)</f>
        <v>STABLE</v>
      </c>
      <c r="G765" s="3" t="str">
        <f t="shared" si="58"/>
        <v>STABLE</v>
      </c>
      <c r="H765" s="3" t="e">
        <f t="shared" si="59"/>
        <v>#VALUE!</v>
      </c>
      <c r="I765" s="3" t="e">
        <f t="shared" si="60"/>
        <v>#VALUE!</v>
      </c>
      <c r="J765" s="3" t="e">
        <f t="shared" si="61"/>
        <v>#VALUE!</v>
      </c>
      <c r="K765" s="3" t="str">
        <f t="shared" si="62"/>
        <v>Pd104</v>
      </c>
      <c r="L765" s="3" t="e" cm="1">
        <f t="array" ref="L765">SUM(($J765*EXP(-$H765*12*3600*_xlfn.SEQUENCE(L$1-1))))+$J765</f>
        <v>#VALUE!</v>
      </c>
      <c r="M765" s="3"/>
      <c r="N765" s="3"/>
    </row>
    <row r="766" spans="2:14" hidden="1" x14ac:dyDescent="0.2">
      <c r="B766" s="3">
        <v>46105</v>
      </c>
      <c r="C766" s="3">
        <v>0</v>
      </c>
      <c r="D766">
        <v>763</v>
      </c>
      <c r="E766" t="str">
        <f>VLOOKUP(B766,Nuclides!A:F,5,FALSE)</f>
        <v>Pd105</v>
      </c>
      <c r="F766" t="str">
        <f>VLOOKUP(B766,Nuclides!A:F,4,FALSE)</f>
        <v>STABLE</v>
      </c>
      <c r="G766" s="3" t="str">
        <f t="shared" si="58"/>
        <v>STABLE</v>
      </c>
      <c r="H766" s="3" t="e">
        <f t="shared" si="59"/>
        <v>#VALUE!</v>
      </c>
      <c r="I766" s="3" t="e">
        <f t="shared" si="60"/>
        <v>#VALUE!</v>
      </c>
      <c r="J766" s="3" t="e">
        <f t="shared" si="61"/>
        <v>#VALUE!</v>
      </c>
      <c r="K766" s="3" t="str">
        <f t="shared" si="62"/>
        <v>Pd105</v>
      </c>
      <c r="L766" s="3" t="e" cm="1">
        <f t="array" ref="L766">SUM(($J766*EXP(-$H766*12*3600*_xlfn.SEQUENCE(L$1-1))))+$J766</f>
        <v>#VALUE!</v>
      </c>
      <c r="M766" s="3"/>
      <c r="N766" s="3"/>
    </row>
    <row r="767" spans="2:14" hidden="1" x14ac:dyDescent="0.2">
      <c r="B767" s="3">
        <v>46106</v>
      </c>
      <c r="C767" s="3">
        <v>0</v>
      </c>
      <c r="D767">
        <v>764</v>
      </c>
      <c r="E767" t="str">
        <f>VLOOKUP(B767,Nuclides!A:F,5,FALSE)</f>
        <v>Pd106</v>
      </c>
      <c r="F767" t="str">
        <f>VLOOKUP(B767,Nuclides!A:F,4,FALSE)</f>
        <v>STABLE</v>
      </c>
      <c r="G767" s="3" t="str">
        <f t="shared" si="58"/>
        <v>STABLE</v>
      </c>
      <c r="H767" s="3" t="e">
        <f t="shared" si="59"/>
        <v>#VALUE!</v>
      </c>
      <c r="I767" s="3" t="e">
        <f t="shared" si="60"/>
        <v>#VALUE!</v>
      </c>
      <c r="J767" s="3" t="e">
        <f t="shared" si="61"/>
        <v>#VALUE!</v>
      </c>
      <c r="K767" s="3" t="str">
        <f t="shared" si="62"/>
        <v>Pd106</v>
      </c>
      <c r="L767" s="3" t="e" cm="1">
        <f t="array" ref="L767">SUM(($J767*EXP(-$H767*12*3600*_xlfn.SEQUENCE(L$1-1))))+$J767</f>
        <v>#VALUE!</v>
      </c>
      <c r="M767" s="3"/>
      <c r="N767" s="3"/>
    </row>
    <row r="768" spans="2:14" hidden="1" x14ac:dyDescent="0.2">
      <c r="B768" s="3">
        <v>46107</v>
      </c>
      <c r="C768" s="3">
        <v>0</v>
      </c>
      <c r="D768">
        <v>765</v>
      </c>
      <c r="E768" t="str">
        <f>VLOOKUP(B768,Nuclides!A:F,5,FALSE)</f>
        <v>Pd107</v>
      </c>
      <c r="F768">
        <f>VLOOKUP(B768,Nuclides!A:F,4,FALSE)</f>
        <v>205124400000000</v>
      </c>
      <c r="G768" s="3" t="str">
        <f t="shared" si="58"/>
        <v>6504452.05y</v>
      </c>
      <c r="H768" s="3">
        <f t="shared" si="59"/>
        <v>3.3791551885584809E-15</v>
      </c>
      <c r="I768" s="3">
        <f t="shared" si="60"/>
        <v>0</v>
      </c>
      <c r="J768" s="3">
        <f t="shared" si="61"/>
        <v>0</v>
      </c>
      <c r="K768" s="3" t="str">
        <f t="shared" si="62"/>
        <v>Pd107</v>
      </c>
      <c r="L768" s="3" cm="1">
        <f t="array" ref="L768">SUM(($J768*EXP(-$H768*12*3600*_xlfn.SEQUENCE(L$1-1))))+$J768</f>
        <v>0</v>
      </c>
      <c r="M768" s="3"/>
      <c r="N768" s="3"/>
    </row>
    <row r="769" spans="2:14" hidden="1" x14ac:dyDescent="0.2">
      <c r="B769" s="3">
        <v>46108</v>
      </c>
      <c r="C769" s="3">
        <v>0</v>
      </c>
      <c r="D769">
        <v>766</v>
      </c>
      <c r="E769" t="str">
        <f>VLOOKUP(B769,Nuclides!A:F,5,FALSE)</f>
        <v>Pd108</v>
      </c>
      <c r="F769" t="str">
        <f>VLOOKUP(B769,Nuclides!A:F,4,FALSE)</f>
        <v>STABLE</v>
      </c>
      <c r="G769" s="3" t="str">
        <f t="shared" si="58"/>
        <v>STABLE</v>
      </c>
      <c r="H769" s="3" t="e">
        <f t="shared" si="59"/>
        <v>#VALUE!</v>
      </c>
      <c r="I769" s="3" t="e">
        <f t="shared" si="60"/>
        <v>#VALUE!</v>
      </c>
      <c r="J769" s="3" t="e">
        <f t="shared" si="61"/>
        <v>#VALUE!</v>
      </c>
      <c r="K769" s="3" t="str">
        <f t="shared" si="62"/>
        <v>Pd108</v>
      </c>
      <c r="L769" s="3" t="e" cm="1">
        <f t="array" ref="L769">SUM(($J769*EXP(-$H769*12*3600*_xlfn.SEQUENCE(L$1-1))))+$J769</f>
        <v>#VALUE!</v>
      </c>
      <c r="M769" s="3"/>
      <c r="N769" s="3"/>
    </row>
    <row r="770" spans="2:14" hidden="1" x14ac:dyDescent="0.2">
      <c r="B770" s="3">
        <v>46109</v>
      </c>
      <c r="C770" s="3">
        <v>0</v>
      </c>
      <c r="D770">
        <v>767</v>
      </c>
      <c r="E770" t="str">
        <f>VLOOKUP(B770,Nuclides!A:F,5,FALSE)</f>
        <v>Pd109</v>
      </c>
      <c r="F770">
        <f>VLOOKUP(B770,Nuclides!A:F,4,FALSE)</f>
        <v>49324.32</v>
      </c>
      <c r="G770" s="3" t="str">
        <f t="shared" si="58"/>
        <v>13.7h</v>
      </c>
      <c r="H770" s="3">
        <f t="shared" si="59"/>
        <v>1.4052848180369142E-5</v>
      </c>
      <c r="I770" s="3">
        <f t="shared" si="60"/>
        <v>0</v>
      </c>
      <c r="J770" s="3">
        <f t="shared" si="61"/>
        <v>0</v>
      </c>
      <c r="K770" s="3" t="str">
        <f t="shared" si="62"/>
        <v>Pd109</v>
      </c>
      <c r="L770" s="3" cm="1">
        <f t="array" ref="L770">SUM(($J770*EXP(-$H770*12*3600*_xlfn.SEQUENCE(L$1-1))))+$J770</f>
        <v>0</v>
      </c>
      <c r="M770" s="3"/>
      <c r="N770" s="3"/>
    </row>
    <row r="771" spans="2:14" hidden="1" x14ac:dyDescent="0.2">
      <c r="B771" s="3">
        <v>46110</v>
      </c>
      <c r="C771" s="3">
        <v>0</v>
      </c>
      <c r="D771">
        <v>768</v>
      </c>
      <c r="E771" t="str">
        <f>VLOOKUP(B771,Nuclides!A:F,5,FALSE)</f>
        <v>Pd110</v>
      </c>
      <c r="F771" t="str">
        <f>VLOOKUP(B771,Nuclides!A:F,4,FALSE)</f>
        <v>STABLE</v>
      </c>
      <c r="G771" s="3" t="str">
        <f t="shared" si="58"/>
        <v>STABLE</v>
      </c>
      <c r="H771" s="3" t="e">
        <f t="shared" si="59"/>
        <v>#VALUE!</v>
      </c>
      <c r="I771" s="3" t="e">
        <f t="shared" si="60"/>
        <v>#VALUE!</v>
      </c>
      <c r="J771" s="3" t="e">
        <f t="shared" si="61"/>
        <v>#VALUE!</v>
      </c>
      <c r="K771" s="3" t="str">
        <f t="shared" si="62"/>
        <v>Pd110</v>
      </c>
      <c r="L771" s="3" t="e" cm="1">
        <f t="array" ref="L771">SUM(($J771*EXP(-$H771*12*3600*_xlfn.SEQUENCE(L$1-1))))+$J771</f>
        <v>#VALUE!</v>
      </c>
      <c r="M771" s="3"/>
      <c r="N771" s="3"/>
    </row>
    <row r="772" spans="2:14" hidden="1" x14ac:dyDescent="0.2">
      <c r="B772" s="3">
        <v>46111</v>
      </c>
      <c r="C772" s="3">
        <v>0</v>
      </c>
      <c r="D772">
        <v>769</v>
      </c>
      <c r="E772" t="str">
        <f>VLOOKUP(B772,Nuclides!A:F,5,FALSE)</f>
        <v>Pd111</v>
      </c>
      <c r="F772">
        <f>VLOOKUP(B772,Nuclides!A:F,4,FALSE)</f>
        <v>1404</v>
      </c>
      <c r="G772" s="3" t="str">
        <f t="shared" ref="G772:G835" si="63">IF(F772="STABLE", "STABLE", IF(F772&lt;60, F772&amp;"s", IF(F772&lt;3600, ROUND(F772/60,2)&amp;"min", IF(F772&lt;86400, ROUND(F772/3600,2)&amp;"h", IF(F772&lt;31536000, ROUND(F772/86400,2)&amp;"d", ROUND(F772/31536000,2)&amp;"y")))))</f>
        <v>23.4min</v>
      </c>
      <c r="H772" s="3">
        <f t="shared" ref="H772:H835" si="64">LN(2)/F772</f>
        <v>4.9369457304839404E-4</v>
      </c>
      <c r="I772" s="3">
        <f t="shared" ref="I772:I835" si="65">100*6240000000000*C772*(1-EXP(-H772*2*3600))</f>
        <v>0</v>
      </c>
      <c r="J772" s="3">
        <f t="shared" ref="J772:J835" si="66">I772*EXP(-H772*10*3600)</f>
        <v>0</v>
      </c>
      <c r="K772" s="3" t="str">
        <f t="shared" ref="K772:K835" si="67">E772</f>
        <v>Pd111</v>
      </c>
      <c r="L772" s="3" cm="1">
        <f t="array" ref="L772">SUM(($J772*EXP(-$H772*12*3600*_xlfn.SEQUENCE(L$1-1))))+$J772</f>
        <v>0</v>
      </c>
      <c r="M772" s="3"/>
      <c r="N772" s="3"/>
    </row>
    <row r="773" spans="2:14" hidden="1" x14ac:dyDescent="0.2">
      <c r="B773" s="3">
        <v>46112</v>
      </c>
      <c r="C773" s="3">
        <v>0</v>
      </c>
      <c r="D773">
        <v>770</v>
      </c>
      <c r="E773" t="str">
        <f>VLOOKUP(B773,Nuclides!A:F,5,FALSE)</f>
        <v>Pd112</v>
      </c>
      <c r="F773">
        <f>VLOOKUP(B773,Nuclides!A:F,4,FALSE)</f>
        <v>75744</v>
      </c>
      <c r="G773" s="3" t="str">
        <f t="shared" si="63"/>
        <v>21.04h</v>
      </c>
      <c r="H773" s="3">
        <f t="shared" si="64"/>
        <v>9.151182675326696E-6</v>
      </c>
      <c r="I773" s="3">
        <f t="shared" si="65"/>
        <v>0</v>
      </c>
      <c r="J773" s="3">
        <f t="shared" si="66"/>
        <v>0</v>
      </c>
      <c r="K773" s="3" t="str">
        <f t="shared" si="67"/>
        <v>Pd112</v>
      </c>
      <c r="L773" s="3" cm="1">
        <f t="array" ref="L773">SUM(($J773*EXP(-$H773*12*3600*_xlfn.SEQUENCE(L$1-1))))+$J773</f>
        <v>0</v>
      </c>
      <c r="M773" s="3"/>
      <c r="N773" s="3"/>
    </row>
    <row r="774" spans="2:14" hidden="1" x14ac:dyDescent="0.2">
      <c r="B774" s="3">
        <v>46113</v>
      </c>
      <c r="C774" s="3">
        <v>0</v>
      </c>
      <c r="D774">
        <v>771</v>
      </c>
      <c r="E774" t="str">
        <f>VLOOKUP(B774,Nuclides!A:F,5,FALSE)</f>
        <v>Pd113</v>
      </c>
      <c r="F774">
        <f>VLOOKUP(B774,Nuclides!A:F,4,FALSE)</f>
        <v>93</v>
      </c>
      <c r="G774" s="3" t="str">
        <f t="shared" si="63"/>
        <v>1.55min</v>
      </c>
      <c r="H774" s="3">
        <f t="shared" si="64"/>
        <v>7.453195489891885E-3</v>
      </c>
      <c r="I774" s="3">
        <f t="shared" si="65"/>
        <v>0</v>
      </c>
      <c r="J774" s="3">
        <f t="shared" si="66"/>
        <v>0</v>
      </c>
      <c r="K774" s="3" t="str">
        <f t="shared" si="67"/>
        <v>Pd113</v>
      </c>
      <c r="L774" s="3" cm="1">
        <f t="array" ref="L774">SUM(($J774*EXP(-$H774*12*3600*_xlfn.SEQUENCE(L$1-1))))+$J774</f>
        <v>0</v>
      </c>
      <c r="M774" s="3"/>
      <c r="N774" s="3"/>
    </row>
    <row r="775" spans="2:14" hidden="1" x14ac:dyDescent="0.2">
      <c r="B775" s="3">
        <v>46114</v>
      </c>
      <c r="C775" s="3">
        <v>0</v>
      </c>
      <c r="D775">
        <v>772</v>
      </c>
      <c r="E775" t="str">
        <f>VLOOKUP(B775,Nuclides!A:F,5,FALSE)</f>
        <v>Pd114</v>
      </c>
      <c r="F775">
        <f>VLOOKUP(B775,Nuclides!A:F,4,FALSE)</f>
        <v>145.19999999999999</v>
      </c>
      <c r="G775" s="3" t="str">
        <f t="shared" si="63"/>
        <v>2.42min</v>
      </c>
      <c r="H775" s="3">
        <f t="shared" si="64"/>
        <v>4.7737409129472823E-3</v>
      </c>
      <c r="I775" s="3">
        <f t="shared" si="65"/>
        <v>0</v>
      </c>
      <c r="J775" s="3">
        <f t="shared" si="66"/>
        <v>0</v>
      </c>
      <c r="K775" s="3" t="str">
        <f t="shared" si="67"/>
        <v>Pd114</v>
      </c>
      <c r="L775" s="3" cm="1">
        <f t="array" ref="L775">SUM(($J775*EXP(-$H775*12*3600*_xlfn.SEQUENCE(L$1-1))))+$J775</f>
        <v>0</v>
      </c>
      <c r="M775" s="3"/>
      <c r="N775" s="3"/>
    </row>
    <row r="776" spans="2:14" hidden="1" x14ac:dyDescent="0.2">
      <c r="B776" s="3">
        <v>46115</v>
      </c>
      <c r="C776" s="3">
        <v>0</v>
      </c>
      <c r="D776">
        <v>773</v>
      </c>
      <c r="E776" t="str">
        <f>VLOOKUP(B776,Nuclides!A:F,5,FALSE)</f>
        <v>Pd115</v>
      </c>
      <c r="F776">
        <f>VLOOKUP(B776,Nuclides!A:F,4,FALSE)</f>
        <v>25</v>
      </c>
      <c r="G776" s="3" t="str">
        <f t="shared" si="63"/>
        <v>25s</v>
      </c>
      <c r="H776" s="3">
        <f t="shared" si="64"/>
        <v>2.7725887222397813E-2</v>
      </c>
      <c r="I776" s="3">
        <f t="shared" si="65"/>
        <v>0</v>
      </c>
      <c r="J776" s="3">
        <f t="shared" si="66"/>
        <v>0</v>
      </c>
      <c r="K776" s="3" t="str">
        <f t="shared" si="67"/>
        <v>Pd115</v>
      </c>
      <c r="L776" s="3" cm="1">
        <f t="array" ref="L776">SUM(($J776*EXP(-$H776*12*3600*_xlfn.SEQUENCE(L$1-1))))+$J776</f>
        <v>0</v>
      </c>
      <c r="M776" s="3"/>
      <c r="N776" s="3"/>
    </row>
    <row r="777" spans="2:14" hidden="1" x14ac:dyDescent="0.2">
      <c r="B777" s="3">
        <v>46116</v>
      </c>
      <c r="C777" s="3">
        <v>0</v>
      </c>
      <c r="D777">
        <v>774</v>
      </c>
      <c r="E777" t="str">
        <f>VLOOKUP(B777,Nuclides!A:F,5,FALSE)</f>
        <v>Pd116</v>
      </c>
      <c r="F777">
        <f>VLOOKUP(B777,Nuclides!A:F,4,FALSE)</f>
        <v>11.8</v>
      </c>
      <c r="G777" s="3" t="str">
        <f t="shared" si="63"/>
        <v>11.8s</v>
      </c>
      <c r="H777" s="3">
        <f t="shared" si="64"/>
        <v>5.8741286488130956E-2</v>
      </c>
      <c r="I777" s="3">
        <f t="shared" si="65"/>
        <v>0</v>
      </c>
      <c r="J777" s="3">
        <f t="shared" si="66"/>
        <v>0</v>
      </c>
      <c r="K777" s="3" t="str">
        <f t="shared" si="67"/>
        <v>Pd116</v>
      </c>
      <c r="L777" s="3" cm="1">
        <f t="array" ref="L777">SUM(($J777*EXP(-$H777*12*3600*_xlfn.SEQUENCE(L$1-1))))+$J777</f>
        <v>0</v>
      </c>
      <c r="M777" s="3"/>
      <c r="N777" s="3"/>
    </row>
    <row r="778" spans="2:14" hidden="1" x14ac:dyDescent="0.2">
      <c r="B778" s="3">
        <v>46117</v>
      </c>
      <c r="C778" s="3">
        <v>0</v>
      </c>
      <c r="D778">
        <v>775</v>
      </c>
      <c r="E778" t="str">
        <f>VLOOKUP(B778,Nuclides!A:F,5,FALSE)</f>
        <v>Pd117</v>
      </c>
      <c r="F778">
        <f>VLOOKUP(B778,Nuclides!A:F,4,FALSE)</f>
        <v>4.3</v>
      </c>
      <c r="G778" s="3" t="str">
        <f t="shared" si="63"/>
        <v>4.3s</v>
      </c>
      <c r="H778" s="3">
        <f t="shared" si="64"/>
        <v>0.16119701873487099</v>
      </c>
      <c r="I778" s="3">
        <f t="shared" si="65"/>
        <v>0</v>
      </c>
      <c r="J778" s="3">
        <f t="shared" si="66"/>
        <v>0</v>
      </c>
      <c r="K778" s="3" t="str">
        <f t="shared" si="67"/>
        <v>Pd117</v>
      </c>
      <c r="L778" s="3" cm="1">
        <f t="array" ref="L778">SUM(($J778*EXP(-$H778*12*3600*_xlfn.SEQUENCE(L$1-1))))+$J778</f>
        <v>0</v>
      </c>
      <c r="M778" s="3"/>
      <c r="N778" s="3"/>
    </row>
    <row r="779" spans="2:14" hidden="1" x14ac:dyDescent="0.2">
      <c r="B779" s="3">
        <v>46118</v>
      </c>
      <c r="C779" s="3">
        <v>0</v>
      </c>
      <c r="D779">
        <v>776</v>
      </c>
      <c r="E779" t="str">
        <f>VLOOKUP(B779,Nuclides!A:F,5,FALSE)</f>
        <v>Pd118</v>
      </c>
      <c r="F779">
        <f>VLOOKUP(B779,Nuclides!A:F,4,FALSE)</f>
        <v>1.9</v>
      </c>
      <c r="G779" s="3" t="str">
        <f t="shared" si="63"/>
        <v>1.9s</v>
      </c>
      <c r="H779" s="3">
        <f t="shared" si="64"/>
        <v>0.36481430555786598</v>
      </c>
      <c r="I779" s="3">
        <f t="shared" si="65"/>
        <v>0</v>
      </c>
      <c r="J779" s="3">
        <f t="shared" si="66"/>
        <v>0</v>
      </c>
      <c r="K779" s="3" t="str">
        <f t="shared" si="67"/>
        <v>Pd118</v>
      </c>
      <c r="L779" s="3" cm="1">
        <f t="array" ref="L779">SUM(($J779*EXP(-$H779*12*3600*_xlfn.SEQUENCE(L$1-1))))+$J779</f>
        <v>0</v>
      </c>
      <c r="M779" s="3"/>
      <c r="N779" s="3"/>
    </row>
    <row r="780" spans="2:14" hidden="1" x14ac:dyDescent="0.2">
      <c r="B780" s="3">
        <v>47096</v>
      </c>
      <c r="C780" s="3">
        <v>0</v>
      </c>
      <c r="D780">
        <v>777</v>
      </c>
      <c r="E780" t="str">
        <f>VLOOKUP(B780,Nuclides!A:F,5,FALSE)</f>
        <v>Ag96</v>
      </c>
      <c r="F780">
        <f>VLOOKUP(B780,Nuclides!A:F,4,FALSE)</f>
        <v>4.4000000000000004</v>
      </c>
      <c r="G780" s="3" t="str">
        <f t="shared" si="63"/>
        <v>4.4s</v>
      </c>
      <c r="H780" s="3">
        <f t="shared" si="64"/>
        <v>0.15753345012726028</v>
      </c>
      <c r="I780" s="3">
        <f t="shared" si="65"/>
        <v>0</v>
      </c>
      <c r="J780" s="3">
        <f t="shared" si="66"/>
        <v>0</v>
      </c>
      <c r="K780" s="3" t="str">
        <f t="shared" si="67"/>
        <v>Ag96</v>
      </c>
      <c r="L780" s="3" cm="1">
        <f t="array" ref="L780">SUM(($J780*EXP(-$H780*12*3600*_xlfn.SEQUENCE(L$1-1))))+$J780</f>
        <v>0</v>
      </c>
      <c r="M780" s="3"/>
      <c r="N780" s="3"/>
    </row>
    <row r="781" spans="2:14" hidden="1" x14ac:dyDescent="0.2">
      <c r="B781" s="3">
        <v>47097</v>
      </c>
      <c r="C781" s="3">
        <v>0</v>
      </c>
      <c r="D781">
        <v>778</v>
      </c>
      <c r="E781" t="str">
        <f>VLOOKUP(B781,Nuclides!A:F,5,FALSE)</f>
        <v>Ag97</v>
      </c>
      <c r="F781">
        <f>VLOOKUP(B781,Nuclides!A:F,4,FALSE)</f>
        <v>25.5</v>
      </c>
      <c r="G781" s="3" t="str">
        <f t="shared" si="63"/>
        <v>25.5s</v>
      </c>
      <c r="H781" s="3">
        <f t="shared" si="64"/>
        <v>2.7182242374899815E-2</v>
      </c>
      <c r="I781" s="3">
        <f t="shared" si="65"/>
        <v>0</v>
      </c>
      <c r="J781" s="3">
        <f t="shared" si="66"/>
        <v>0</v>
      </c>
      <c r="K781" s="3" t="str">
        <f t="shared" si="67"/>
        <v>Ag97</v>
      </c>
      <c r="L781" s="3" cm="1">
        <f t="array" ref="L781">SUM(($J781*EXP(-$H781*12*3600*_xlfn.SEQUENCE(L$1-1))))+$J781</f>
        <v>0</v>
      </c>
      <c r="M781" s="3"/>
      <c r="N781" s="3"/>
    </row>
    <row r="782" spans="2:14" hidden="1" x14ac:dyDescent="0.2">
      <c r="B782" s="3">
        <v>47098</v>
      </c>
      <c r="C782" s="3">
        <v>0</v>
      </c>
      <c r="D782">
        <v>779</v>
      </c>
      <c r="E782" t="str">
        <f>VLOOKUP(B782,Nuclides!A:F,5,FALSE)</f>
        <v>Ag98</v>
      </c>
      <c r="F782">
        <f>VLOOKUP(B782,Nuclides!A:F,4,FALSE)</f>
        <v>47.5</v>
      </c>
      <c r="G782" s="3" t="str">
        <f t="shared" si="63"/>
        <v>47.5s</v>
      </c>
      <c r="H782" s="3">
        <f t="shared" si="64"/>
        <v>1.4592572222314637E-2</v>
      </c>
      <c r="I782" s="3">
        <f t="shared" si="65"/>
        <v>0</v>
      </c>
      <c r="J782" s="3">
        <f t="shared" si="66"/>
        <v>0</v>
      </c>
      <c r="K782" s="3" t="str">
        <f t="shared" si="67"/>
        <v>Ag98</v>
      </c>
      <c r="L782" s="3" cm="1">
        <f t="array" ref="L782">SUM(($J782*EXP(-$H782*12*3600*_xlfn.SEQUENCE(L$1-1))))+$J782</f>
        <v>0</v>
      </c>
      <c r="M782" s="3"/>
      <c r="N782" s="3"/>
    </row>
    <row r="783" spans="2:14" hidden="1" x14ac:dyDescent="0.2">
      <c r="B783" s="3">
        <v>47099</v>
      </c>
      <c r="C783" s="3">
        <v>0</v>
      </c>
      <c r="D783">
        <v>780</v>
      </c>
      <c r="E783" t="str">
        <f>VLOOKUP(B783,Nuclides!A:F,5,FALSE)</f>
        <v>Ag99</v>
      </c>
      <c r="F783">
        <f>VLOOKUP(B783,Nuclides!A:F,4,FALSE)</f>
        <v>124</v>
      </c>
      <c r="G783" s="3" t="str">
        <f t="shared" si="63"/>
        <v>2.07min</v>
      </c>
      <c r="H783" s="3">
        <f t="shared" si="64"/>
        <v>5.5898966174189133E-3</v>
      </c>
      <c r="I783" s="3">
        <f t="shared" si="65"/>
        <v>0</v>
      </c>
      <c r="J783" s="3">
        <f t="shared" si="66"/>
        <v>0</v>
      </c>
      <c r="K783" s="3" t="str">
        <f t="shared" si="67"/>
        <v>Ag99</v>
      </c>
      <c r="L783" s="3" cm="1">
        <f t="array" ref="L783">SUM(($J783*EXP(-$H783*12*3600*_xlfn.SEQUENCE(L$1-1))))+$J783</f>
        <v>0</v>
      </c>
      <c r="M783" s="3"/>
      <c r="N783" s="3"/>
    </row>
    <row r="784" spans="2:14" hidden="1" x14ac:dyDescent="0.2">
      <c r="B784" s="3">
        <v>47100</v>
      </c>
      <c r="C784" s="3">
        <v>0</v>
      </c>
      <c r="D784">
        <v>781</v>
      </c>
      <c r="E784" t="str">
        <f>VLOOKUP(B784,Nuclides!A:F,5,FALSE)</f>
        <v>Ag100</v>
      </c>
      <c r="F784">
        <f>VLOOKUP(B784,Nuclides!A:F,4,FALSE)</f>
        <v>120.6</v>
      </c>
      <c r="G784" s="3" t="str">
        <f t="shared" si="63"/>
        <v>2.01min</v>
      </c>
      <c r="H784" s="3">
        <f t="shared" si="64"/>
        <v>5.7474890593693642E-3</v>
      </c>
      <c r="I784" s="3">
        <f t="shared" si="65"/>
        <v>0</v>
      </c>
      <c r="J784" s="3">
        <f t="shared" si="66"/>
        <v>0</v>
      </c>
      <c r="K784" s="3" t="str">
        <f t="shared" si="67"/>
        <v>Ag100</v>
      </c>
      <c r="L784" s="3" cm="1">
        <f t="array" ref="L784">SUM(($J784*EXP(-$H784*12*3600*_xlfn.SEQUENCE(L$1-1))))+$J784</f>
        <v>0</v>
      </c>
      <c r="M784" s="3"/>
      <c r="N784" s="3"/>
    </row>
    <row r="785" spans="2:14" hidden="1" x14ac:dyDescent="0.2">
      <c r="B785" s="3">
        <v>47101</v>
      </c>
      <c r="C785" s="3">
        <v>0</v>
      </c>
      <c r="D785">
        <v>782</v>
      </c>
      <c r="E785" t="str">
        <f>VLOOKUP(B785,Nuclides!A:F,5,FALSE)</f>
        <v>Ag101</v>
      </c>
      <c r="F785">
        <f>VLOOKUP(B785,Nuclides!A:F,4,FALSE)</f>
        <v>666</v>
      </c>
      <c r="G785" s="3" t="str">
        <f t="shared" si="63"/>
        <v>11.1min</v>
      </c>
      <c r="H785" s="3">
        <f t="shared" si="64"/>
        <v>1.0407615323722902E-3</v>
      </c>
      <c r="I785" s="3">
        <f t="shared" si="65"/>
        <v>0</v>
      </c>
      <c r="J785" s="3">
        <f t="shared" si="66"/>
        <v>0</v>
      </c>
      <c r="K785" s="3" t="str">
        <f t="shared" si="67"/>
        <v>Ag101</v>
      </c>
      <c r="L785" s="3" cm="1">
        <f t="array" ref="L785">SUM(($J785*EXP(-$H785*12*3600*_xlfn.SEQUENCE(L$1-1))))+$J785</f>
        <v>0</v>
      </c>
      <c r="M785" s="3"/>
      <c r="N785" s="3"/>
    </row>
    <row r="786" spans="2:14" hidden="1" x14ac:dyDescent="0.2">
      <c r="B786" s="3">
        <v>47102</v>
      </c>
      <c r="C786" s="3">
        <v>0</v>
      </c>
      <c r="D786">
        <v>783</v>
      </c>
      <c r="E786" t="str">
        <f>VLOOKUP(B786,Nuclides!A:F,5,FALSE)</f>
        <v>Ag102</v>
      </c>
      <c r="F786">
        <f>VLOOKUP(B786,Nuclides!A:F,4,FALSE)</f>
        <v>774</v>
      </c>
      <c r="G786" s="3" t="str">
        <f t="shared" si="63"/>
        <v>12.9min</v>
      </c>
      <c r="H786" s="3">
        <f t="shared" si="64"/>
        <v>8.9553899297150556E-4</v>
      </c>
      <c r="I786" s="3">
        <f t="shared" si="65"/>
        <v>0</v>
      </c>
      <c r="J786" s="3">
        <f t="shared" si="66"/>
        <v>0</v>
      </c>
      <c r="K786" s="3" t="str">
        <f t="shared" si="67"/>
        <v>Ag102</v>
      </c>
      <c r="L786" s="3" cm="1">
        <f t="array" ref="L786">SUM(($J786*EXP(-$H786*12*3600*_xlfn.SEQUENCE(L$1-1))))+$J786</f>
        <v>0</v>
      </c>
      <c r="M786" s="3"/>
      <c r="N786" s="3"/>
    </row>
    <row r="787" spans="2:14" hidden="1" x14ac:dyDescent="0.2">
      <c r="B787" s="3">
        <v>47103</v>
      </c>
      <c r="C787" s="3">
        <v>0</v>
      </c>
      <c r="D787">
        <v>784</v>
      </c>
      <c r="E787" t="str">
        <f>VLOOKUP(B787,Nuclides!A:F,5,FALSE)</f>
        <v>Ag103</v>
      </c>
      <c r="F787">
        <f>VLOOKUP(B787,Nuclides!A:F,4,FALSE)</f>
        <v>3942</v>
      </c>
      <c r="G787" s="3" t="str">
        <f t="shared" si="63"/>
        <v>1.1h</v>
      </c>
      <c r="H787" s="3">
        <f t="shared" si="64"/>
        <v>1.7583642327751023E-4</v>
      </c>
      <c r="I787" s="3">
        <f t="shared" si="65"/>
        <v>0</v>
      </c>
      <c r="J787" s="3">
        <f t="shared" si="66"/>
        <v>0</v>
      </c>
      <c r="K787" s="3" t="str">
        <f t="shared" si="67"/>
        <v>Ag103</v>
      </c>
      <c r="L787" s="3" cm="1">
        <f t="array" ref="L787">SUM(($J787*EXP(-$H787*12*3600*_xlfn.SEQUENCE(L$1-1))))+$J787</f>
        <v>0</v>
      </c>
      <c r="M787" s="3"/>
      <c r="N787" s="3"/>
    </row>
    <row r="788" spans="2:14" hidden="1" x14ac:dyDescent="0.2">
      <c r="B788" s="3">
        <v>47104</v>
      </c>
      <c r="C788" s="3">
        <v>0</v>
      </c>
      <c r="D788">
        <v>785</v>
      </c>
      <c r="E788" t="str">
        <f>VLOOKUP(B788,Nuclides!A:F,5,FALSE)</f>
        <v>Ag104</v>
      </c>
      <c r="F788">
        <f>VLOOKUP(B788,Nuclides!A:F,4,FALSE)</f>
        <v>4152</v>
      </c>
      <c r="G788" s="3" t="str">
        <f t="shared" si="63"/>
        <v>1.15h</v>
      </c>
      <c r="H788" s="3">
        <f t="shared" si="64"/>
        <v>1.6694296256260726E-4</v>
      </c>
      <c r="I788" s="3">
        <f t="shared" si="65"/>
        <v>0</v>
      </c>
      <c r="J788" s="3">
        <f t="shared" si="66"/>
        <v>0</v>
      </c>
      <c r="K788" s="3" t="str">
        <f t="shared" si="67"/>
        <v>Ag104</v>
      </c>
      <c r="L788" s="3" cm="1">
        <f t="array" ref="L788">SUM(($J788*EXP(-$H788*12*3600*_xlfn.SEQUENCE(L$1-1))))+$J788</f>
        <v>0</v>
      </c>
      <c r="M788" s="3"/>
      <c r="N788" s="3"/>
    </row>
    <row r="789" spans="2:14" hidden="1" x14ac:dyDescent="0.2">
      <c r="B789" s="3">
        <v>47105</v>
      </c>
      <c r="C789" s="3">
        <v>0</v>
      </c>
      <c r="D789">
        <v>786</v>
      </c>
      <c r="E789" t="str">
        <f>VLOOKUP(B789,Nuclides!A:F,5,FALSE)</f>
        <v>Ag105</v>
      </c>
      <c r="F789">
        <f>VLOOKUP(B789,Nuclides!A:F,4,FALSE)</f>
        <v>3567456</v>
      </c>
      <c r="G789" s="3" t="str">
        <f t="shared" si="63"/>
        <v>41.29d</v>
      </c>
      <c r="H789" s="3">
        <f t="shared" si="64"/>
        <v>1.9429733136440794E-7</v>
      </c>
      <c r="I789" s="3">
        <f t="shared" si="65"/>
        <v>0</v>
      </c>
      <c r="J789" s="3">
        <f t="shared" si="66"/>
        <v>0</v>
      </c>
      <c r="K789" s="3" t="str">
        <f t="shared" si="67"/>
        <v>Ag105</v>
      </c>
      <c r="L789" s="3" cm="1">
        <f t="array" ref="L789">SUM(($J789*EXP(-$H789*12*3600*_xlfn.SEQUENCE(L$1-1))))+$J789</f>
        <v>0</v>
      </c>
      <c r="M789" s="3"/>
      <c r="N789" s="3"/>
    </row>
    <row r="790" spans="2:14" hidden="1" x14ac:dyDescent="0.2">
      <c r="B790" s="3">
        <v>47106</v>
      </c>
      <c r="C790" s="3">
        <v>0</v>
      </c>
      <c r="D790">
        <v>787</v>
      </c>
      <c r="E790" t="str">
        <f>VLOOKUP(B790,Nuclides!A:F,5,FALSE)</f>
        <v>Ag106</v>
      </c>
      <c r="F790">
        <f>VLOOKUP(B790,Nuclides!A:F,4,FALSE)</f>
        <v>1437.6</v>
      </c>
      <c r="G790" s="3" t="str">
        <f t="shared" si="63"/>
        <v>23.96min</v>
      </c>
      <c r="H790" s="3">
        <f t="shared" si="64"/>
        <v>4.8215580172505934E-4</v>
      </c>
      <c r="I790" s="3">
        <f t="shared" si="65"/>
        <v>0</v>
      </c>
      <c r="J790" s="3">
        <f t="shared" si="66"/>
        <v>0</v>
      </c>
      <c r="K790" s="3" t="str">
        <f t="shared" si="67"/>
        <v>Ag106</v>
      </c>
      <c r="L790" s="3" cm="1">
        <f t="array" ref="L790">SUM(($J790*EXP(-$H790*12*3600*_xlfn.SEQUENCE(L$1-1))))+$J790</f>
        <v>0</v>
      </c>
      <c r="M790" s="3"/>
      <c r="N790" s="3"/>
    </row>
    <row r="791" spans="2:14" hidden="1" x14ac:dyDescent="0.2">
      <c r="B791" s="3">
        <v>47107</v>
      </c>
      <c r="C791" s="3">
        <v>0</v>
      </c>
      <c r="D791">
        <v>788</v>
      </c>
      <c r="E791" t="str">
        <f>VLOOKUP(B791,Nuclides!A:F,5,FALSE)</f>
        <v>Ag107</v>
      </c>
      <c r="F791" t="str">
        <f>VLOOKUP(B791,Nuclides!A:F,4,FALSE)</f>
        <v>STABLE</v>
      </c>
      <c r="G791" s="3" t="str">
        <f t="shared" si="63"/>
        <v>STABLE</v>
      </c>
      <c r="H791" s="3" t="e">
        <f t="shared" si="64"/>
        <v>#VALUE!</v>
      </c>
      <c r="I791" s="3" t="e">
        <f t="shared" si="65"/>
        <v>#VALUE!</v>
      </c>
      <c r="J791" s="3" t="e">
        <f t="shared" si="66"/>
        <v>#VALUE!</v>
      </c>
      <c r="K791" s="3" t="str">
        <f t="shared" si="67"/>
        <v>Ag107</v>
      </c>
      <c r="L791" s="3" t="e" cm="1">
        <f t="array" ref="L791">SUM(($J791*EXP(-$H791*12*3600*_xlfn.SEQUENCE(L$1-1))))+$J791</f>
        <v>#VALUE!</v>
      </c>
      <c r="M791" s="3"/>
      <c r="N791" s="3"/>
    </row>
    <row r="792" spans="2:14" hidden="1" x14ac:dyDescent="0.2">
      <c r="B792" s="3">
        <v>47108</v>
      </c>
      <c r="C792" s="3">
        <v>0</v>
      </c>
      <c r="D792">
        <v>789</v>
      </c>
      <c r="E792" t="str">
        <f>VLOOKUP(B792,Nuclides!A:F,5,FALSE)</f>
        <v>Ag108</v>
      </c>
      <c r="F792">
        <f>VLOOKUP(B792,Nuclides!A:F,4,FALSE)</f>
        <v>142.91999999999999</v>
      </c>
      <c r="G792" s="3" t="str">
        <f t="shared" si="63"/>
        <v>2.38min</v>
      </c>
      <c r="H792" s="3">
        <f t="shared" si="64"/>
        <v>4.849896309543418E-3</v>
      </c>
      <c r="I792" s="3">
        <f t="shared" si="65"/>
        <v>0</v>
      </c>
      <c r="J792" s="3">
        <f t="shared" si="66"/>
        <v>0</v>
      </c>
      <c r="K792" s="3" t="str">
        <f t="shared" si="67"/>
        <v>Ag108</v>
      </c>
      <c r="L792" s="3" cm="1">
        <f t="array" ref="L792">SUM(($J792*EXP(-$H792*12*3600*_xlfn.SEQUENCE(L$1-1))))+$J792</f>
        <v>0</v>
      </c>
      <c r="M792" s="3"/>
      <c r="N792" s="3"/>
    </row>
    <row r="793" spans="2:14" hidden="1" x14ac:dyDescent="0.2">
      <c r="B793" s="3">
        <v>47109</v>
      </c>
      <c r="C793" s="3">
        <v>0</v>
      </c>
      <c r="D793">
        <v>790</v>
      </c>
      <c r="E793" t="str">
        <f>VLOOKUP(B793,Nuclides!A:F,5,FALSE)</f>
        <v>Ag109</v>
      </c>
      <c r="F793" t="str">
        <f>VLOOKUP(B793,Nuclides!A:F,4,FALSE)</f>
        <v>STABLE</v>
      </c>
      <c r="G793" s="3" t="str">
        <f t="shared" si="63"/>
        <v>STABLE</v>
      </c>
      <c r="H793" s="3" t="e">
        <f t="shared" si="64"/>
        <v>#VALUE!</v>
      </c>
      <c r="I793" s="3" t="e">
        <f t="shared" si="65"/>
        <v>#VALUE!</v>
      </c>
      <c r="J793" s="3" t="e">
        <f t="shared" si="66"/>
        <v>#VALUE!</v>
      </c>
      <c r="K793" s="3" t="str">
        <f t="shared" si="67"/>
        <v>Ag109</v>
      </c>
      <c r="L793" s="3" t="e" cm="1">
        <f t="array" ref="L793">SUM(($J793*EXP(-$H793*12*3600*_xlfn.SEQUENCE(L$1-1))))+$J793</f>
        <v>#VALUE!</v>
      </c>
      <c r="M793" s="3"/>
      <c r="N793" s="3"/>
    </row>
    <row r="794" spans="2:14" hidden="1" x14ac:dyDescent="0.2">
      <c r="B794" s="3">
        <v>47110</v>
      </c>
      <c r="C794" s="3">
        <v>0</v>
      </c>
      <c r="D794">
        <v>791</v>
      </c>
      <c r="E794" t="str">
        <f>VLOOKUP(B794,Nuclides!A:F,5,FALSE)</f>
        <v>Ag110</v>
      </c>
      <c r="F794">
        <f>VLOOKUP(B794,Nuclides!A:F,4,FALSE)</f>
        <v>24.6</v>
      </c>
      <c r="G794" s="3" t="str">
        <f t="shared" si="63"/>
        <v>24.6s</v>
      </c>
      <c r="H794" s="3">
        <f t="shared" si="64"/>
        <v>2.8176714656908342E-2</v>
      </c>
      <c r="I794" s="3">
        <f t="shared" si="65"/>
        <v>0</v>
      </c>
      <c r="J794" s="3">
        <f t="shared" si="66"/>
        <v>0</v>
      </c>
      <c r="K794" s="3" t="str">
        <f t="shared" si="67"/>
        <v>Ag110</v>
      </c>
      <c r="L794" s="3" cm="1">
        <f t="array" ref="L794">SUM(($J794*EXP(-$H794*12*3600*_xlfn.SEQUENCE(L$1-1))))+$J794</f>
        <v>0</v>
      </c>
      <c r="M794" s="3"/>
      <c r="N794" s="3"/>
    </row>
    <row r="795" spans="2:14" hidden="1" x14ac:dyDescent="0.2">
      <c r="B795" s="3">
        <v>47111</v>
      </c>
      <c r="C795" s="3">
        <v>0</v>
      </c>
      <c r="D795">
        <v>792</v>
      </c>
      <c r="E795" t="str">
        <f>VLOOKUP(B795,Nuclides!A:F,5,FALSE)</f>
        <v>Ag111</v>
      </c>
      <c r="F795">
        <f>VLOOKUP(B795,Nuclides!A:F,4,FALSE)</f>
        <v>643680</v>
      </c>
      <c r="G795" s="3" t="str">
        <f t="shared" si="63"/>
        <v>7.45d</v>
      </c>
      <c r="H795" s="3">
        <f t="shared" si="64"/>
        <v>1.0768505787968328E-6</v>
      </c>
      <c r="I795" s="3">
        <f t="shared" si="65"/>
        <v>0</v>
      </c>
      <c r="J795" s="3">
        <f t="shared" si="66"/>
        <v>0</v>
      </c>
      <c r="K795" s="3" t="str">
        <f t="shared" si="67"/>
        <v>Ag111</v>
      </c>
      <c r="L795" s="3" cm="1">
        <f t="array" ref="L795">SUM(($J795*EXP(-$H795*12*3600*_xlfn.SEQUENCE(L$1-1))))+$J795</f>
        <v>0</v>
      </c>
      <c r="M795" s="3"/>
      <c r="N795" s="3"/>
    </row>
    <row r="796" spans="2:14" hidden="1" x14ac:dyDescent="0.2">
      <c r="B796" s="3">
        <v>47112</v>
      </c>
      <c r="C796" s="3">
        <v>0</v>
      </c>
      <c r="D796">
        <v>793</v>
      </c>
      <c r="E796" t="str">
        <f>VLOOKUP(B796,Nuclides!A:F,5,FALSE)</f>
        <v>Ag112</v>
      </c>
      <c r="F796">
        <f>VLOOKUP(B796,Nuclides!A:F,4,FALSE)</f>
        <v>11268</v>
      </c>
      <c r="G796" s="3" t="str">
        <f t="shared" si="63"/>
        <v>3.13h</v>
      </c>
      <c r="H796" s="3">
        <f t="shared" si="64"/>
        <v>6.1514659261620983E-5</v>
      </c>
      <c r="I796" s="3">
        <f t="shared" si="65"/>
        <v>0</v>
      </c>
      <c r="J796" s="3">
        <f t="shared" si="66"/>
        <v>0</v>
      </c>
      <c r="K796" s="3" t="str">
        <f t="shared" si="67"/>
        <v>Ag112</v>
      </c>
      <c r="L796" s="3" cm="1">
        <f t="array" ref="L796">SUM(($J796*EXP(-$H796*12*3600*_xlfn.SEQUENCE(L$1-1))))+$J796</f>
        <v>0</v>
      </c>
      <c r="M796" s="3"/>
      <c r="N796" s="3"/>
    </row>
    <row r="797" spans="2:14" hidden="1" x14ac:dyDescent="0.2">
      <c r="B797" s="3">
        <v>47113</v>
      </c>
      <c r="C797" s="3">
        <v>0</v>
      </c>
      <c r="D797">
        <v>794</v>
      </c>
      <c r="E797" t="str">
        <f>VLOOKUP(B797,Nuclides!A:F,5,FALSE)</f>
        <v>Ag113</v>
      </c>
      <c r="F797">
        <f>VLOOKUP(B797,Nuclides!A:F,4,FALSE)</f>
        <v>19332</v>
      </c>
      <c r="G797" s="3" t="str">
        <f t="shared" si="63"/>
        <v>5.37h</v>
      </c>
      <c r="H797" s="3">
        <f t="shared" si="64"/>
        <v>3.5854913126419684E-5</v>
      </c>
      <c r="I797" s="3">
        <f t="shared" si="65"/>
        <v>0</v>
      </c>
      <c r="J797" s="3">
        <f t="shared" si="66"/>
        <v>0</v>
      </c>
      <c r="K797" s="3" t="str">
        <f t="shared" si="67"/>
        <v>Ag113</v>
      </c>
      <c r="L797" s="3" cm="1">
        <f t="array" ref="L797">SUM(($J797*EXP(-$H797*12*3600*_xlfn.SEQUENCE(L$1-1))))+$J797</f>
        <v>0</v>
      </c>
      <c r="M797" s="3"/>
      <c r="N797" s="3"/>
    </row>
    <row r="798" spans="2:14" hidden="1" x14ac:dyDescent="0.2">
      <c r="B798" s="3">
        <v>47114</v>
      </c>
      <c r="C798" s="3">
        <v>0</v>
      </c>
      <c r="D798">
        <v>795</v>
      </c>
      <c r="E798" t="str">
        <f>VLOOKUP(B798,Nuclides!A:F,5,FALSE)</f>
        <v>Ag114</v>
      </c>
      <c r="F798">
        <f>VLOOKUP(B798,Nuclides!A:F,4,FALSE)</f>
        <v>4.5999999999999996</v>
      </c>
      <c r="G798" s="3" t="str">
        <f t="shared" si="63"/>
        <v>4.6s</v>
      </c>
      <c r="H798" s="3">
        <f t="shared" si="64"/>
        <v>0.15068416968694465</v>
      </c>
      <c r="I798" s="3">
        <f t="shared" si="65"/>
        <v>0</v>
      </c>
      <c r="J798" s="3">
        <f t="shared" si="66"/>
        <v>0</v>
      </c>
      <c r="K798" s="3" t="str">
        <f t="shared" si="67"/>
        <v>Ag114</v>
      </c>
      <c r="L798" s="3" cm="1">
        <f t="array" ref="L798">SUM(($J798*EXP(-$H798*12*3600*_xlfn.SEQUENCE(L$1-1))))+$J798</f>
        <v>0</v>
      </c>
      <c r="M798" s="3"/>
      <c r="N798" s="3"/>
    </row>
    <row r="799" spans="2:14" hidden="1" x14ac:dyDescent="0.2">
      <c r="B799" s="3">
        <v>47115</v>
      </c>
      <c r="C799" s="3">
        <v>0</v>
      </c>
      <c r="D799">
        <v>796</v>
      </c>
      <c r="E799" t="str">
        <f>VLOOKUP(B799,Nuclides!A:F,5,FALSE)</f>
        <v>Ag115</v>
      </c>
      <c r="F799">
        <f>VLOOKUP(B799,Nuclides!A:F,4,FALSE)</f>
        <v>1200</v>
      </c>
      <c r="G799" s="3" t="str">
        <f t="shared" si="63"/>
        <v>20min</v>
      </c>
      <c r="H799" s="3">
        <f t="shared" si="64"/>
        <v>5.7762265046662107E-4</v>
      </c>
      <c r="I799" s="3">
        <f t="shared" si="65"/>
        <v>0</v>
      </c>
      <c r="J799" s="3">
        <f t="shared" si="66"/>
        <v>0</v>
      </c>
      <c r="K799" s="3" t="str">
        <f t="shared" si="67"/>
        <v>Ag115</v>
      </c>
      <c r="L799" s="3" cm="1">
        <f t="array" ref="L799">SUM(($J799*EXP(-$H799*12*3600*_xlfn.SEQUENCE(L$1-1))))+$J799</f>
        <v>0</v>
      </c>
      <c r="M799" s="3"/>
      <c r="N799" s="3"/>
    </row>
    <row r="800" spans="2:14" hidden="1" x14ac:dyDescent="0.2">
      <c r="B800" s="3">
        <v>47116</v>
      </c>
      <c r="C800" s="3">
        <v>0</v>
      </c>
      <c r="D800">
        <v>797</v>
      </c>
      <c r="E800" t="str">
        <f>VLOOKUP(B800,Nuclides!A:F,5,FALSE)</f>
        <v>Ag116</v>
      </c>
      <c r="F800">
        <f>VLOOKUP(B800,Nuclides!A:F,4,FALSE)</f>
        <v>237</v>
      </c>
      <c r="G800" s="3" t="str">
        <f t="shared" si="63"/>
        <v>3.95min</v>
      </c>
      <c r="H800" s="3">
        <f t="shared" si="64"/>
        <v>2.9246716479322584E-3</v>
      </c>
      <c r="I800" s="3">
        <f t="shared" si="65"/>
        <v>0</v>
      </c>
      <c r="J800" s="3">
        <f t="shared" si="66"/>
        <v>0</v>
      </c>
      <c r="K800" s="3" t="str">
        <f t="shared" si="67"/>
        <v>Ag116</v>
      </c>
      <c r="L800" s="3" cm="1">
        <f t="array" ref="L800">SUM(($J800*EXP(-$H800*12*3600*_xlfn.SEQUENCE(L$1-1))))+$J800</f>
        <v>0</v>
      </c>
      <c r="M800" s="3"/>
      <c r="N800" s="3"/>
    </row>
    <row r="801" spans="2:14" hidden="1" x14ac:dyDescent="0.2">
      <c r="B801" s="3">
        <v>47117</v>
      </c>
      <c r="C801" s="3">
        <v>0</v>
      </c>
      <c r="D801">
        <v>798</v>
      </c>
      <c r="E801" t="str">
        <f>VLOOKUP(B801,Nuclides!A:F,5,FALSE)</f>
        <v>Ag117</v>
      </c>
      <c r="F801">
        <f>VLOOKUP(B801,Nuclides!A:F,4,FALSE)</f>
        <v>72.8</v>
      </c>
      <c r="G801" s="3" t="str">
        <f t="shared" si="63"/>
        <v>1.21min</v>
      </c>
      <c r="H801" s="3">
        <f t="shared" si="64"/>
        <v>9.5212524802190286E-3</v>
      </c>
      <c r="I801" s="3">
        <f t="shared" si="65"/>
        <v>0</v>
      </c>
      <c r="J801" s="3">
        <f t="shared" si="66"/>
        <v>0</v>
      </c>
      <c r="K801" s="3" t="str">
        <f t="shared" si="67"/>
        <v>Ag117</v>
      </c>
      <c r="L801" s="3" cm="1">
        <f t="array" ref="L801">SUM(($J801*EXP(-$H801*12*3600*_xlfn.SEQUENCE(L$1-1))))+$J801</f>
        <v>0</v>
      </c>
      <c r="M801" s="3"/>
      <c r="N801" s="3"/>
    </row>
    <row r="802" spans="2:14" hidden="1" x14ac:dyDescent="0.2">
      <c r="B802" s="3">
        <v>47118</v>
      </c>
      <c r="C802" s="3">
        <v>0</v>
      </c>
      <c r="D802">
        <v>799</v>
      </c>
      <c r="E802" t="str">
        <f>VLOOKUP(B802,Nuclides!A:F,5,FALSE)</f>
        <v>Ag118</v>
      </c>
      <c r="F802">
        <f>VLOOKUP(B802,Nuclides!A:F,4,FALSE)</f>
        <v>3.76</v>
      </c>
      <c r="G802" s="3" t="str">
        <f t="shared" si="63"/>
        <v>3.76s</v>
      </c>
      <c r="H802" s="3">
        <f t="shared" si="64"/>
        <v>0.18434765440424078</v>
      </c>
      <c r="I802" s="3">
        <f t="shared" si="65"/>
        <v>0</v>
      </c>
      <c r="J802" s="3">
        <f t="shared" si="66"/>
        <v>0</v>
      </c>
      <c r="K802" s="3" t="str">
        <f t="shared" si="67"/>
        <v>Ag118</v>
      </c>
      <c r="L802" s="3" cm="1">
        <f t="array" ref="L802">SUM(($J802*EXP(-$H802*12*3600*_xlfn.SEQUENCE(L$1-1))))+$J802</f>
        <v>0</v>
      </c>
      <c r="M802" s="3"/>
      <c r="N802" s="3"/>
    </row>
    <row r="803" spans="2:14" hidden="1" x14ac:dyDescent="0.2">
      <c r="B803" s="3">
        <v>47119</v>
      </c>
      <c r="C803" s="3">
        <v>0</v>
      </c>
      <c r="D803">
        <v>800</v>
      </c>
      <c r="E803" t="str">
        <f>VLOOKUP(B803,Nuclides!A:F,5,FALSE)</f>
        <v>Ag119</v>
      </c>
      <c r="F803">
        <f>VLOOKUP(B803,Nuclides!A:F,4,FALSE)</f>
        <v>6</v>
      </c>
      <c r="G803" s="3" t="str">
        <f t="shared" si="63"/>
        <v>6s</v>
      </c>
      <c r="H803" s="3">
        <f t="shared" si="64"/>
        <v>0.11552453009332421</v>
      </c>
      <c r="I803" s="3">
        <f t="shared" si="65"/>
        <v>0</v>
      </c>
      <c r="J803" s="3">
        <f t="shared" si="66"/>
        <v>0</v>
      </c>
      <c r="K803" s="3" t="str">
        <f t="shared" si="67"/>
        <v>Ag119</v>
      </c>
      <c r="L803" s="3" cm="1">
        <f t="array" ref="L803">SUM(($J803*EXP(-$H803*12*3600*_xlfn.SEQUENCE(L$1-1))))+$J803</f>
        <v>0</v>
      </c>
      <c r="M803" s="3"/>
      <c r="N803" s="3"/>
    </row>
    <row r="804" spans="2:14" hidden="1" x14ac:dyDescent="0.2">
      <c r="B804" s="3">
        <v>47120</v>
      </c>
      <c r="C804" s="3">
        <v>0</v>
      </c>
      <c r="D804">
        <v>801</v>
      </c>
      <c r="E804" t="str">
        <f>VLOOKUP(B804,Nuclides!A:F,5,FALSE)</f>
        <v>Ag120</v>
      </c>
      <c r="F804">
        <f>VLOOKUP(B804,Nuclides!A:F,4,FALSE)</f>
        <v>1.23</v>
      </c>
      <c r="G804" s="3" t="str">
        <f t="shared" si="63"/>
        <v>1.23s</v>
      </c>
      <c r="H804" s="3">
        <f t="shared" si="64"/>
        <v>0.56353429313816694</v>
      </c>
      <c r="I804" s="3">
        <f t="shared" si="65"/>
        <v>0</v>
      </c>
      <c r="J804" s="3">
        <f t="shared" si="66"/>
        <v>0</v>
      </c>
      <c r="K804" s="3" t="str">
        <f t="shared" si="67"/>
        <v>Ag120</v>
      </c>
      <c r="L804" s="3" cm="1">
        <f t="array" ref="L804">SUM(($J804*EXP(-$H804*12*3600*_xlfn.SEQUENCE(L$1-1))))+$J804</f>
        <v>0</v>
      </c>
      <c r="M804" s="3"/>
      <c r="N804" s="3"/>
    </row>
    <row r="805" spans="2:14" hidden="1" x14ac:dyDescent="0.2">
      <c r="B805" s="3">
        <v>47121</v>
      </c>
      <c r="C805" s="3">
        <v>0</v>
      </c>
      <c r="D805">
        <v>802</v>
      </c>
      <c r="E805" t="str">
        <f>VLOOKUP(B805,Nuclides!A:F,5,FALSE)</f>
        <v>Ag121</v>
      </c>
      <c r="F805">
        <f>VLOOKUP(B805,Nuclides!A:F,4,FALSE)</f>
        <v>0.78</v>
      </c>
      <c r="G805" s="3" t="str">
        <f t="shared" si="63"/>
        <v>0.78s</v>
      </c>
      <c r="H805" s="3">
        <f t="shared" si="64"/>
        <v>0.88865023148710931</v>
      </c>
      <c r="I805" s="3">
        <f t="shared" si="65"/>
        <v>0</v>
      </c>
      <c r="J805" s="3">
        <f t="shared" si="66"/>
        <v>0</v>
      </c>
      <c r="K805" s="3" t="str">
        <f t="shared" si="67"/>
        <v>Ag121</v>
      </c>
      <c r="L805" s="3" cm="1">
        <f t="array" ref="L805">SUM(($J805*EXP(-$H805*12*3600*_xlfn.SEQUENCE(L$1-1))))+$J805</f>
        <v>0</v>
      </c>
      <c r="M805" s="3"/>
      <c r="N805" s="3"/>
    </row>
    <row r="806" spans="2:14" hidden="1" x14ac:dyDescent="0.2">
      <c r="B806" s="3">
        <v>47122</v>
      </c>
      <c r="C806" s="3">
        <v>0</v>
      </c>
      <c r="D806">
        <v>803</v>
      </c>
      <c r="E806" t="str">
        <f>VLOOKUP(B806,Nuclides!A:F,5,FALSE)</f>
        <v>Ag122</v>
      </c>
      <c r="F806">
        <f>VLOOKUP(B806,Nuclides!A:F,4,FALSE)</f>
        <v>0.52900000000000003</v>
      </c>
      <c r="G806" s="3" t="str">
        <f t="shared" si="63"/>
        <v>0.529s</v>
      </c>
      <c r="H806" s="3">
        <f t="shared" si="64"/>
        <v>1.3102971277125619</v>
      </c>
      <c r="I806" s="3">
        <f t="shared" si="65"/>
        <v>0</v>
      </c>
      <c r="J806" s="3">
        <f t="shared" si="66"/>
        <v>0</v>
      </c>
      <c r="K806" s="3" t="str">
        <f t="shared" si="67"/>
        <v>Ag122</v>
      </c>
      <c r="L806" s="3" cm="1">
        <f t="array" ref="L806">SUM(($J806*EXP(-$H806*12*3600*_xlfn.SEQUENCE(L$1-1))))+$J806</f>
        <v>0</v>
      </c>
      <c r="M806" s="3"/>
      <c r="N806" s="3"/>
    </row>
    <row r="807" spans="2:14" hidden="1" x14ac:dyDescent="0.2">
      <c r="B807" s="3">
        <v>47123</v>
      </c>
      <c r="C807" s="3">
        <v>0</v>
      </c>
      <c r="D807">
        <v>804</v>
      </c>
      <c r="E807" t="str">
        <f>VLOOKUP(B807,Nuclides!A:F,5,FALSE)</f>
        <v>Ag123</v>
      </c>
      <c r="F807">
        <f>VLOOKUP(B807,Nuclides!A:F,4,FALSE)</f>
        <v>0.3</v>
      </c>
      <c r="G807" s="3" t="str">
        <f t="shared" si="63"/>
        <v>0.3s</v>
      </c>
      <c r="H807" s="3">
        <f t="shared" si="64"/>
        <v>2.3104906018664844</v>
      </c>
      <c r="I807" s="3">
        <f t="shared" si="65"/>
        <v>0</v>
      </c>
      <c r="J807" s="3">
        <f t="shared" si="66"/>
        <v>0</v>
      </c>
      <c r="K807" s="3" t="str">
        <f t="shared" si="67"/>
        <v>Ag123</v>
      </c>
      <c r="L807" s="3" cm="1">
        <f t="array" ref="L807">SUM(($J807*EXP(-$H807*12*3600*_xlfn.SEQUENCE(L$1-1))))+$J807</f>
        <v>0</v>
      </c>
      <c r="M807" s="3"/>
      <c r="N807" s="3"/>
    </row>
    <row r="808" spans="2:14" hidden="1" x14ac:dyDescent="0.2">
      <c r="B808" s="3">
        <v>48097</v>
      </c>
      <c r="C808" s="3">
        <v>0</v>
      </c>
      <c r="D808">
        <v>805</v>
      </c>
      <c r="E808" t="str">
        <f>VLOOKUP(B808,Nuclides!A:F,5,FALSE)</f>
        <v>Cd97</v>
      </c>
      <c r="F808">
        <f>VLOOKUP(B808,Nuclides!A:F,4,FALSE)</f>
        <v>1.1000000000000001</v>
      </c>
      <c r="G808" s="3" t="str">
        <f t="shared" si="63"/>
        <v>1.1s</v>
      </c>
      <c r="H808" s="3">
        <f t="shared" si="64"/>
        <v>0.63013380050904111</v>
      </c>
      <c r="I808" s="3">
        <f t="shared" si="65"/>
        <v>0</v>
      </c>
      <c r="J808" s="3">
        <f t="shared" si="66"/>
        <v>0</v>
      </c>
      <c r="K808" s="3" t="str">
        <f t="shared" si="67"/>
        <v>Cd97</v>
      </c>
      <c r="L808" s="3" cm="1">
        <f t="array" ref="L808">SUM(($J808*EXP(-$H808*12*3600*_xlfn.SEQUENCE(L$1-1))))+$J808</f>
        <v>0</v>
      </c>
      <c r="M808" s="3"/>
      <c r="N808" s="3"/>
    </row>
    <row r="809" spans="2:14" hidden="1" x14ac:dyDescent="0.2">
      <c r="B809" s="3">
        <v>48098</v>
      </c>
      <c r="C809" s="3">
        <v>0</v>
      </c>
      <c r="D809">
        <v>806</v>
      </c>
      <c r="E809" t="str">
        <f>VLOOKUP(B809,Nuclides!A:F,5,FALSE)</f>
        <v>Cd98</v>
      </c>
      <c r="F809">
        <f>VLOOKUP(B809,Nuclides!A:F,4,FALSE)</f>
        <v>9.1999999999999993</v>
      </c>
      <c r="G809" s="3" t="str">
        <f t="shared" si="63"/>
        <v>9.2s</v>
      </c>
      <c r="H809" s="3">
        <f t="shared" si="64"/>
        <v>7.5342084843472323E-2</v>
      </c>
      <c r="I809" s="3">
        <f t="shared" si="65"/>
        <v>0</v>
      </c>
      <c r="J809" s="3">
        <f t="shared" si="66"/>
        <v>0</v>
      </c>
      <c r="K809" s="3" t="str">
        <f t="shared" si="67"/>
        <v>Cd98</v>
      </c>
      <c r="L809" s="3" cm="1">
        <f t="array" ref="L809">SUM(($J809*EXP(-$H809*12*3600*_xlfn.SEQUENCE(L$1-1))))+$J809</f>
        <v>0</v>
      </c>
      <c r="M809" s="3"/>
      <c r="N809" s="3"/>
    </row>
    <row r="810" spans="2:14" hidden="1" x14ac:dyDescent="0.2">
      <c r="B810" s="3">
        <v>48099</v>
      </c>
      <c r="C810" s="3">
        <v>0</v>
      </c>
      <c r="D810">
        <v>807</v>
      </c>
      <c r="E810" t="str">
        <f>VLOOKUP(B810,Nuclides!A:F,5,FALSE)</f>
        <v>Cd99</v>
      </c>
      <c r="F810">
        <f>VLOOKUP(B810,Nuclides!A:F,4,FALSE)</f>
        <v>16</v>
      </c>
      <c r="G810" s="3" t="str">
        <f t="shared" si="63"/>
        <v>16s</v>
      </c>
      <c r="H810" s="3">
        <f t="shared" si="64"/>
        <v>4.332169878499658E-2</v>
      </c>
      <c r="I810" s="3">
        <f t="shared" si="65"/>
        <v>0</v>
      </c>
      <c r="J810" s="3">
        <f t="shared" si="66"/>
        <v>0</v>
      </c>
      <c r="K810" s="3" t="str">
        <f t="shared" si="67"/>
        <v>Cd99</v>
      </c>
      <c r="L810" s="3" cm="1">
        <f t="array" ref="L810">SUM(($J810*EXP(-$H810*12*3600*_xlfn.SEQUENCE(L$1-1))))+$J810</f>
        <v>0</v>
      </c>
      <c r="M810" s="3"/>
      <c r="N810" s="3"/>
    </row>
    <row r="811" spans="2:14" hidden="1" x14ac:dyDescent="0.2">
      <c r="B811" s="3">
        <v>48100</v>
      </c>
      <c r="C811" s="3">
        <v>0</v>
      </c>
      <c r="D811">
        <v>808</v>
      </c>
      <c r="E811" t="str">
        <f>VLOOKUP(B811,Nuclides!A:F,5,FALSE)</f>
        <v>Cd100</v>
      </c>
      <c r="F811">
        <f>VLOOKUP(B811,Nuclides!A:F,4,FALSE)</f>
        <v>49.1</v>
      </c>
      <c r="G811" s="3" t="str">
        <f t="shared" si="63"/>
        <v>49.1s</v>
      </c>
      <c r="H811" s="3">
        <f t="shared" si="64"/>
        <v>1.4117050520569149E-2</v>
      </c>
      <c r="I811" s="3">
        <f t="shared" si="65"/>
        <v>0</v>
      </c>
      <c r="J811" s="3">
        <f t="shared" si="66"/>
        <v>0</v>
      </c>
      <c r="K811" s="3" t="str">
        <f t="shared" si="67"/>
        <v>Cd100</v>
      </c>
      <c r="L811" s="3" cm="1">
        <f t="array" ref="L811">SUM(($J811*EXP(-$H811*12*3600*_xlfn.SEQUENCE(L$1-1))))+$J811</f>
        <v>0</v>
      </c>
      <c r="M811" s="3"/>
      <c r="N811" s="3"/>
    </row>
    <row r="812" spans="2:14" hidden="1" x14ac:dyDescent="0.2">
      <c r="B812" s="3">
        <v>48101</v>
      </c>
      <c r="C812" s="3">
        <v>0</v>
      </c>
      <c r="D812">
        <v>809</v>
      </c>
      <c r="E812" t="str">
        <f>VLOOKUP(B812,Nuclides!A:F,5,FALSE)</f>
        <v>Cd101</v>
      </c>
      <c r="F812">
        <f>VLOOKUP(B812,Nuclides!A:F,4,FALSE)</f>
        <v>81.599999999999994</v>
      </c>
      <c r="G812" s="3" t="str">
        <f t="shared" si="63"/>
        <v>1.36min</v>
      </c>
      <c r="H812" s="3">
        <f t="shared" si="64"/>
        <v>8.494450742156193E-3</v>
      </c>
      <c r="I812" s="3">
        <f t="shared" si="65"/>
        <v>0</v>
      </c>
      <c r="J812" s="3">
        <f t="shared" si="66"/>
        <v>0</v>
      </c>
      <c r="K812" s="3" t="str">
        <f t="shared" si="67"/>
        <v>Cd101</v>
      </c>
      <c r="L812" s="3" cm="1">
        <f t="array" ref="L812">SUM(($J812*EXP(-$H812*12*3600*_xlfn.SEQUENCE(L$1-1))))+$J812</f>
        <v>0</v>
      </c>
      <c r="M812" s="3"/>
      <c r="N812" s="3"/>
    </row>
    <row r="813" spans="2:14" hidden="1" x14ac:dyDescent="0.2">
      <c r="B813" s="3">
        <v>48102</v>
      </c>
      <c r="C813" s="3">
        <v>0</v>
      </c>
      <c r="D813">
        <v>810</v>
      </c>
      <c r="E813" t="str">
        <f>VLOOKUP(B813,Nuclides!A:F,5,FALSE)</f>
        <v>Cd102</v>
      </c>
      <c r="F813">
        <f>VLOOKUP(B813,Nuclides!A:F,4,FALSE)</f>
        <v>330</v>
      </c>
      <c r="G813" s="3" t="str">
        <f t="shared" si="63"/>
        <v>5.5min</v>
      </c>
      <c r="H813" s="3">
        <f t="shared" si="64"/>
        <v>2.1004460016968039E-3</v>
      </c>
      <c r="I813" s="3">
        <f t="shared" si="65"/>
        <v>0</v>
      </c>
      <c r="J813" s="3">
        <f t="shared" si="66"/>
        <v>0</v>
      </c>
      <c r="K813" s="3" t="str">
        <f t="shared" si="67"/>
        <v>Cd102</v>
      </c>
      <c r="L813" s="3" cm="1">
        <f t="array" ref="L813">SUM(($J813*EXP(-$H813*12*3600*_xlfn.SEQUENCE(L$1-1))))+$J813</f>
        <v>0</v>
      </c>
      <c r="M813" s="3"/>
      <c r="N813" s="3"/>
    </row>
    <row r="814" spans="2:14" hidden="1" x14ac:dyDescent="0.2">
      <c r="B814" s="3">
        <v>48103</v>
      </c>
      <c r="C814" s="3">
        <v>0</v>
      </c>
      <c r="D814">
        <v>811</v>
      </c>
      <c r="E814" t="str">
        <f>VLOOKUP(B814,Nuclides!A:F,5,FALSE)</f>
        <v>Cd103</v>
      </c>
      <c r="F814">
        <f>VLOOKUP(B814,Nuclides!A:F,4,FALSE)</f>
        <v>438</v>
      </c>
      <c r="G814" s="3" t="str">
        <f t="shared" si="63"/>
        <v>7.3min</v>
      </c>
      <c r="H814" s="3">
        <f t="shared" si="64"/>
        <v>1.582527809497592E-3</v>
      </c>
      <c r="I814" s="3">
        <f t="shared" si="65"/>
        <v>0</v>
      </c>
      <c r="J814" s="3">
        <f t="shared" si="66"/>
        <v>0</v>
      </c>
      <c r="K814" s="3" t="str">
        <f t="shared" si="67"/>
        <v>Cd103</v>
      </c>
      <c r="L814" s="3" cm="1">
        <f t="array" ref="L814">SUM(($J814*EXP(-$H814*12*3600*_xlfn.SEQUENCE(L$1-1))))+$J814</f>
        <v>0</v>
      </c>
      <c r="M814" s="3"/>
      <c r="N814" s="3"/>
    </row>
    <row r="815" spans="2:14" hidden="1" x14ac:dyDescent="0.2">
      <c r="B815" s="3">
        <v>48104</v>
      </c>
      <c r="C815" s="3">
        <v>0</v>
      </c>
      <c r="D815">
        <v>812</v>
      </c>
      <c r="E815" t="str">
        <f>VLOOKUP(B815,Nuclides!A:F,5,FALSE)</f>
        <v>Cd104</v>
      </c>
      <c r="F815">
        <f>VLOOKUP(B815,Nuclides!A:F,4,FALSE)</f>
        <v>3462</v>
      </c>
      <c r="G815" s="3" t="str">
        <f t="shared" si="63"/>
        <v>57.7min</v>
      </c>
      <c r="H815" s="3">
        <f t="shared" si="64"/>
        <v>2.002158233853106E-4</v>
      </c>
      <c r="I815" s="3">
        <f t="shared" si="65"/>
        <v>0</v>
      </c>
      <c r="J815" s="3">
        <f t="shared" si="66"/>
        <v>0</v>
      </c>
      <c r="K815" s="3" t="str">
        <f t="shared" si="67"/>
        <v>Cd104</v>
      </c>
      <c r="L815" s="3" cm="1">
        <f t="array" ref="L815">SUM(($J815*EXP(-$H815*12*3600*_xlfn.SEQUENCE(L$1-1))))+$J815</f>
        <v>0</v>
      </c>
      <c r="M815" s="3"/>
      <c r="N815" s="3"/>
    </row>
    <row r="816" spans="2:14" hidden="1" x14ac:dyDescent="0.2">
      <c r="B816" s="3">
        <v>48105</v>
      </c>
      <c r="C816" s="3">
        <v>0</v>
      </c>
      <c r="D816">
        <v>813</v>
      </c>
      <c r="E816" t="str">
        <f>VLOOKUP(B816,Nuclides!A:F,5,FALSE)</f>
        <v>Cd105</v>
      </c>
      <c r="F816">
        <f>VLOOKUP(B816,Nuclides!A:F,4,FALSE)</f>
        <v>3330</v>
      </c>
      <c r="G816" s="3" t="str">
        <f t="shared" si="63"/>
        <v>55.5min</v>
      </c>
      <c r="H816" s="3">
        <f t="shared" si="64"/>
        <v>2.0815230647445806E-4</v>
      </c>
      <c r="I816" s="3">
        <f t="shared" si="65"/>
        <v>0</v>
      </c>
      <c r="J816" s="3">
        <f t="shared" si="66"/>
        <v>0</v>
      </c>
      <c r="K816" s="3" t="str">
        <f t="shared" si="67"/>
        <v>Cd105</v>
      </c>
      <c r="L816" s="3" cm="1">
        <f t="array" ref="L816">SUM(($J816*EXP(-$H816*12*3600*_xlfn.SEQUENCE(L$1-1))))+$J816</f>
        <v>0</v>
      </c>
      <c r="M816" s="3"/>
      <c r="N816" s="3"/>
    </row>
    <row r="817" spans="2:14" hidden="1" x14ac:dyDescent="0.2">
      <c r="B817" s="3">
        <v>48106</v>
      </c>
      <c r="C817" s="3">
        <v>0</v>
      </c>
      <c r="D817">
        <v>814</v>
      </c>
      <c r="E817" t="str">
        <f>VLOOKUP(B817,Nuclides!A:F,5,FALSE)</f>
        <v>Cd106</v>
      </c>
      <c r="F817">
        <f>VLOOKUP(B817,Nuclides!A:F,4,FALSE)</f>
        <v>1.1360736E+28</v>
      </c>
      <c r="G817" s="3" t="str">
        <f t="shared" si="63"/>
        <v>3.60246575342466E+20y</v>
      </c>
      <c r="H817" s="3">
        <f t="shared" si="64"/>
        <v>6.1012524237861461E-29</v>
      </c>
      <c r="I817" s="3">
        <f t="shared" si="65"/>
        <v>0</v>
      </c>
      <c r="J817" s="3">
        <f t="shared" si="66"/>
        <v>0</v>
      </c>
      <c r="K817" s="3" t="str">
        <f t="shared" si="67"/>
        <v>Cd106</v>
      </c>
      <c r="L817" s="3" cm="1">
        <f t="array" ref="L817">SUM(($J817*EXP(-$H817*12*3600*_xlfn.SEQUENCE(L$1-1))))+$J817</f>
        <v>0</v>
      </c>
      <c r="M817" s="3"/>
      <c r="N817" s="3"/>
    </row>
    <row r="818" spans="2:14" hidden="1" x14ac:dyDescent="0.2">
      <c r="B818" s="3">
        <v>48107</v>
      </c>
      <c r="C818" s="3">
        <v>0</v>
      </c>
      <c r="D818">
        <v>815</v>
      </c>
      <c r="E818" t="str">
        <f>VLOOKUP(B818,Nuclides!A:F,5,FALSE)</f>
        <v>Cd107</v>
      </c>
      <c r="F818">
        <f>VLOOKUP(B818,Nuclides!A:F,4,FALSE)</f>
        <v>23400</v>
      </c>
      <c r="G818" s="3" t="str">
        <f t="shared" si="63"/>
        <v>6.5h</v>
      </c>
      <c r="H818" s="3">
        <f t="shared" si="64"/>
        <v>2.9621674382903646E-5</v>
      </c>
      <c r="I818" s="3">
        <f t="shared" si="65"/>
        <v>0</v>
      </c>
      <c r="J818" s="3">
        <f t="shared" si="66"/>
        <v>0</v>
      </c>
      <c r="K818" s="3" t="str">
        <f t="shared" si="67"/>
        <v>Cd107</v>
      </c>
      <c r="L818" s="3" cm="1">
        <f t="array" ref="L818">SUM(($J818*EXP(-$H818*12*3600*_xlfn.SEQUENCE(L$1-1))))+$J818</f>
        <v>0</v>
      </c>
      <c r="M818" s="3"/>
      <c r="N818" s="3"/>
    </row>
    <row r="819" spans="2:14" hidden="1" x14ac:dyDescent="0.2">
      <c r="B819" s="3">
        <v>48108</v>
      </c>
      <c r="C819" s="3">
        <v>0</v>
      </c>
      <c r="D819">
        <v>816</v>
      </c>
      <c r="E819" t="str">
        <f>VLOOKUP(B819,Nuclides!A:F,5,FALSE)</f>
        <v>Cd108</v>
      </c>
      <c r="F819">
        <f>VLOOKUP(B819,Nuclides!A:F,4,FALSE)</f>
        <v>5.9959439999999997E+25</v>
      </c>
      <c r="G819" s="3" t="str">
        <f t="shared" si="63"/>
        <v>1901301369863010000y</v>
      </c>
      <c r="H819" s="3">
        <f t="shared" si="64"/>
        <v>1.1560267750331646E-26</v>
      </c>
      <c r="I819" s="3">
        <f t="shared" si="65"/>
        <v>0</v>
      </c>
      <c r="J819" s="3">
        <f t="shared" si="66"/>
        <v>0</v>
      </c>
      <c r="K819" s="3" t="str">
        <f t="shared" si="67"/>
        <v>Cd108</v>
      </c>
      <c r="L819" s="3" cm="1">
        <f t="array" ref="L819">SUM(($J819*EXP(-$H819*12*3600*_xlfn.SEQUENCE(L$1-1))))+$J819</f>
        <v>0</v>
      </c>
      <c r="M819" s="3"/>
      <c r="N819" s="3"/>
    </row>
    <row r="820" spans="2:14" hidden="1" x14ac:dyDescent="0.2">
      <c r="B820" s="3">
        <v>48109</v>
      </c>
      <c r="C820" s="3">
        <v>0</v>
      </c>
      <c r="D820">
        <v>817</v>
      </c>
      <c r="E820" t="str">
        <f>VLOOKUP(B820,Nuclides!A:F,5,FALSE)</f>
        <v>Cd109</v>
      </c>
      <c r="F820">
        <f>VLOOKUP(B820,Nuclides!A:F,4,FALSE)</f>
        <v>39864960</v>
      </c>
      <c r="G820" s="3" t="str">
        <f t="shared" si="63"/>
        <v>1.26y</v>
      </c>
      <c r="H820" s="3">
        <f t="shared" si="64"/>
        <v>1.7387379306537502E-8</v>
      </c>
      <c r="I820" s="3">
        <f t="shared" si="65"/>
        <v>0</v>
      </c>
      <c r="J820" s="3">
        <f t="shared" si="66"/>
        <v>0</v>
      </c>
      <c r="K820" s="3" t="str">
        <f t="shared" si="67"/>
        <v>Cd109</v>
      </c>
      <c r="L820" s="3" cm="1">
        <f t="array" ref="L820">SUM(($J820*EXP(-$H820*12*3600*_xlfn.SEQUENCE(L$1-1))))+$J820</f>
        <v>0</v>
      </c>
      <c r="M820" s="3"/>
      <c r="N820" s="3"/>
    </row>
    <row r="821" spans="2:14" hidden="1" x14ac:dyDescent="0.2">
      <c r="B821" s="3">
        <v>48110</v>
      </c>
      <c r="C821" s="3">
        <v>0</v>
      </c>
      <c r="D821">
        <v>818</v>
      </c>
      <c r="E821" t="str">
        <f>VLOOKUP(B821,Nuclides!A:F,5,FALSE)</f>
        <v>Cd110</v>
      </c>
      <c r="F821" t="str">
        <f>VLOOKUP(B821,Nuclides!A:F,4,FALSE)</f>
        <v>STABLE</v>
      </c>
      <c r="G821" s="3" t="str">
        <f t="shared" si="63"/>
        <v>STABLE</v>
      </c>
      <c r="H821" s="3" t="e">
        <f t="shared" si="64"/>
        <v>#VALUE!</v>
      </c>
      <c r="I821" s="3" t="e">
        <f t="shared" si="65"/>
        <v>#VALUE!</v>
      </c>
      <c r="J821" s="3" t="e">
        <f t="shared" si="66"/>
        <v>#VALUE!</v>
      </c>
      <c r="K821" s="3" t="str">
        <f t="shared" si="67"/>
        <v>Cd110</v>
      </c>
      <c r="L821" s="3" t="e" cm="1">
        <f t="array" ref="L821">SUM(($J821*EXP(-$H821*12*3600*_xlfn.SEQUENCE(L$1-1))))+$J821</f>
        <v>#VALUE!</v>
      </c>
      <c r="M821" s="3"/>
      <c r="N821" s="3"/>
    </row>
    <row r="822" spans="2:14" hidden="1" x14ac:dyDescent="0.2">
      <c r="B822" s="3">
        <v>48111</v>
      </c>
      <c r="C822" s="3">
        <v>0</v>
      </c>
      <c r="D822">
        <v>819</v>
      </c>
      <c r="E822" t="str">
        <f>VLOOKUP(B822,Nuclides!A:F,5,FALSE)</f>
        <v>Cd111</v>
      </c>
      <c r="F822" t="str">
        <f>VLOOKUP(B822,Nuclides!A:F,4,FALSE)</f>
        <v>STABLE</v>
      </c>
      <c r="G822" s="3" t="str">
        <f t="shared" si="63"/>
        <v>STABLE</v>
      </c>
      <c r="H822" s="3" t="e">
        <f t="shared" si="64"/>
        <v>#VALUE!</v>
      </c>
      <c r="I822" s="3" t="e">
        <f t="shared" si="65"/>
        <v>#VALUE!</v>
      </c>
      <c r="J822" s="3" t="e">
        <f t="shared" si="66"/>
        <v>#VALUE!</v>
      </c>
      <c r="K822" s="3" t="str">
        <f t="shared" si="67"/>
        <v>Cd111</v>
      </c>
      <c r="L822" s="3" t="e" cm="1">
        <f t="array" ref="L822">SUM(($J822*EXP(-$H822*12*3600*_xlfn.SEQUENCE(L$1-1))))+$J822</f>
        <v>#VALUE!</v>
      </c>
      <c r="M822" s="3"/>
      <c r="N822" s="3"/>
    </row>
    <row r="823" spans="2:14" hidden="1" x14ac:dyDescent="0.2">
      <c r="B823" s="3">
        <v>48112</v>
      </c>
      <c r="C823" s="3">
        <v>0</v>
      </c>
      <c r="D823">
        <v>820</v>
      </c>
      <c r="E823" t="str">
        <f>VLOOKUP(B823,Nuclides!A:F,5,FALSE)</f>
        <v>Cd112</v>
      </c>
      <c r="F823" t="str">
        <f>VLOOKUP(B823,Nuclides!A:F,4,FALSE)</f>
        <v>STABLE</v>
      </c>
      <c r="G823" s="3" t="str">
        <f t="shared" si="63"/>
        <v>STABLE</v>
      </c>
      <c r="H823" s="3" t="e">
        <f t="shared" si="64"/>
        <v>#VALUE!</v>
      </c>
      <c r="I823" s="3" t="e">
        <f t="shared" si="65"/>
        <v>#VALUE!</v>
      </c>
      <c r="J823" s="3" t="e">
        <f t="shared" si="66"/>
        <v>#VALUE!</v>
      </c>
      <c r="K823" s="3" t="str">
        <f t="shared" si="67"/>
        <v>Cd112</v>
      </c>
      <c r="L823" s="3" t="e" cm="1">
        <f t="array" ref="L823">SUM(($J823*EXP(-$H823*12*3600*_xlfn.SEQUENCE(L$1-1))))+$J823</f>
        <v>#VALUE!</v>
      </c>
      <c r="M823" s="3"/>
      <c r="N823" s="3"/>
    </row>
    <row r="824" spans="2:14" hidden="1" x14ac:dyDescent="0.2">
      <c r="B824" s="3">
        <v>48113</v>
      </c>
      <c r="C824" s="3">
        <v>0</v>
      </c>
      <c r="D824">
        <v>821</v>
      </c>
      <c r="E824" t="str">
        <f>VLOOKUP(B824,Nuclides!A:F,5,FALSE)</f>
        <v>Cd113</v>
      </c>
      <c r="F824">
        <f>VLOOKUP(B824,Nuclides!A:F,4,FALSE)</f>
        <v>2.5246080000000001E+23</v>
      </c>
      <c r="G824" s="3" t="str">
        <f t="shared" si="63"/>
        <v>8005479452054790y</v>
      </c>
      <c r="H824" s="3">
        <f t="shared" si="64"/>
        <v>2.7455635907037657E-24</v>
      </c>
      <c r="I824" s="3">
        <f t="shared" si="65"/>
        <v>0</v>
      </c>
      <c r="J824" s="3">
        <f t="shared" si="66"/>
        <v>0</v>
      </c>
      <c r="K824" s="3" t="str">
        <f t="shared" si="67"/>
        <v>Cd113</v>
      </c>
      <c r="L824" s="3" cm="1">
        <f t="array" ref="L824">SUM(($J824*EXP(-$H824*12*3600*_xlfn.SEQUENCE(L$1-1))))+$J824</f>
        <v>0</v>
      </c>
      <c r="M824" s="3"/>
      <c r="N824" s="3"/>
    </row>
    <row r="825" spans="2:14" hidden="1" x14ac:dyDescent="0.2">
      <c r="B825" s="3">
        <v>48114</v>
      </c>
      <c r="C825" s="3">
        <v>0</v>
      </c>
      <c r="D825">
        <v>822</v>
      </c>
      <c r="E825" t="str">
        <f>VLOOKUP(B825,Nuclides!A:F,5,FALSE)</f>
        <v>Cd114</v>
      </c>
      <c r="F825">
        <f>VLOOKUP(B825,Nuclides!A:F,4,FALSE)</f>
        <v>6.627096E+25</v>
      </c>
      <c r="G825" s="3" t="str">
        <f t="shared" si="63"/>
        <v>2101438356164380000y</v>
      </c>
      <c r="H825" s="3">
        <f t="shared" si="64"/>
        <v>1.045928986934768E-26</v>
      </c>
      <c r="I825" s="3">
        <f t="shared" si="65"/>
        <v>0</v>
      </c>
      <c r="J825" s="3">
        <f t="shared" si="66"/>
        <v>0</v>
      </c>
      <c r="K825" s="3" t="str">
        <f t="shared" si="67"/>
        <v>Cd114</v>
      </c>
      <c r="L825" s="3" cm="1">
        <f t="array" ref="L825">SUM(($J825*EXP(-$H825*12*3600*_xlfn.SEQUENCE(L$1-1))))+$J825</f>
        <v>0</v>
      </c>
      <c r="M825" s="3"/>
      <c r="N825" s="3"/>
    </row>
    <row r="826" spans="2:14" hidden="1" x14ac:dyDescent="0.2">
      <c r="B826" s="3">
        <v>48115</v>
      </c>
      <c r="C826" s="3">
        <v>0</v>
      </c>
      <c r="D826">
        <v>823</v>
      </c>
      <c r="E826" t="str">
        <f>VLOOKUP(B826,Nuclides!A:F,5,FALSE)</f>
        <v>Cd115</v>
      </c>
      <c r="F826">
        <f>VLOOKUP(B826,Nuclides!A:F,4,FALSE)</f>
        <v>192456</v>
      </c>
      <c r="G826" s="3" t="str">
        <f t="shared" si="63"/>
        <v>2.23d</v>
      </c>
      <c r="H826" s="3">
        <f t="shared" si="64"/>
        <v>3.6015877944046708E-6</v>
      </c>
      <c r="I826" s="3">
        <f t="shared" si="65"/>
        <v>0</v>
      </c>
      <c r="J826" s="3">
        <f t="shared" si="66"/>
        <v>0</v>
      </c>
      <c r="K826" s="3" t="str">
        <f t="shared" si="67"/>
        <v>Cd115</v>
      </c>
      <c r="L826" s="3" cm="1">
        <f t="array" ref="L826">SUM(($J826*EXP(-$H826*12*3600*_xlfn.SEQUENCE(L$1-1))))+$J826</f>
        <v>0</v>
      </c>
      <c r="M826" s="3"/>
      <c r="N826" s="3"/>
    </row>
    <row r="827" spans="2:14" hidden="1" x14ac:dyDescent="0.2">
      <c r="B827" s="3">
        <v>48116</v>
      </c>
      <c r="C827" s="3">
        <v>0</v>
      </c>
      <c r="D827">
        <v>824</v>
      </c>
      <c r="E827" t="str">
        <f>VLOOKUP(B827,Nuclides!A:F,5,FALSE)</f>
        <v>Cd116</v>
      </c>
      <c r="F827">
        <f>VLOOKUP(B827,Nuclides!A:F,4,FALSE)</f>
        <v>1.0414008E+27</v>
      </c>
      <c r="G827" s="3" t="str">
        <f t="shared" si="63"/>
        <v>33022602739726000000y</v>
      </c>
      <c r="H827" s="3">
        <f t="shared" si="64"/>
        <v>6.6559117350394328E-28</v>
      </c>
      <c r="I827" s="3">
        <f t="shared" si="65"/>
        <v>0</v>
      </c>
      <c r="J827" s="3">
        <f t="shared" si="66"/>
        <v>0</v>
      </c>
      <c r="K827" s="3" t="str">
        <f t="shared" si="67"/>
        <v>Cd116</v>
      </c>
      <c r="L827" s="3" cm="1">
        <f t="array" ref="L827">SUM(($J827*EXP(-$H827*12*3600*_xlfn.SEQUENCE(L$1-1))))+$J827</f>
        <v>0</v>
      </c>
      <c r="M827" s="3"/>
      <c r="N827" s="3"/>
    </row>
    <row r="828" spans="2:14" hidden="1" x14ac:dyDescent="0.2">
      <c r="B828" s="3">
        <v>48117</v>
      </c>
      <c r="C828" s="3">
        <v>0</v>
      </c>
      <c r="D828">
        <v>825</v>
      </c>
      <c r="E828" t="str">
        <f>VLOOKUP(B828,Nuclides!A:F,5,FALSE)</f>
        <v>Cd117</v>
      </c>
      <c r="F828">
        <f>VLOOKUP(B828,Nuclides!A:F,4,FALSE)</f>
        <v>8964</v>
      </c>
      <c r="G828" s="3" t="str">
        <f t="shared" si="63"/>
        <v>2.49h</v>
      </c>
      <c r="H828" s="3">
        <f t="shared" si="64"/>
        <v>7.7325656019627993E-5</v>
      </c>
      <c r="I828" s="3">
        <f t="shared" si="65"/>
        <v>0</v>
      </c>
      <c r="J828" s="3">
        <f t="shared" si="66"/>
        <v>0</v>
      </c>
      <c r="K828" s="3" t="str">
        <f t="shared" si="67"/>
        <v>Cd117</v>
      </c>
      <c r="L828" s="3" cm="1">
        <f t="array" ref="L828">SUM(($J828*EXP(-$H828*12*3600*_xlfn.SEQUENCE(L$1-1))))+$J828</f>
        <v>0</v>
      </c>
      <c r="M828" s="3"/>
      <c r="N828" s="3"/>
    </row>
    <row r="829" spans="2:14" hidden="1" x14ac:dyDescent="0.2">
      <c r="B829" s="3">
        <v>48118</v>
      </c>
      <c r="C829" s="3">
        <v>0</v>
      </c>
      <c r="D829">
        <v>826</v>
      </c>
      <c r="E829" t="str">
        <f>VLOOKUP(B829,Nuclides!A:F,5,FALSE)</f>
        <v>Cd118</v>
      </c>
      <c r="F829">
        <f>VLOOKUP(B829,Nuclides!A:F,4,FALSE)</f>
        <v>3018</v>
      </c>
      <c r="G829" s="3" t="str">
        <f t="shared" si="63"/>
        <v>50.3min</v>
      </c>
      <c r="H829" s="3">
        <f t="shared" si="64"/>
        <v>2.2967103398275192E-4</v>
      </c>
      <c r="I829" s="3">
        <f t="shared" si="65"/>
        <v>0</v>
      </c>
      <c r="J829" s="3">
        <f t="shared" si="66"/>
        <v>0</v>
      </c>
      <c r="K829" s="3" t="str">
        <f t="shared" si="67"/>
        <v>Cd118</v>
      </c>
      <c r="L829" s="3" cm="1">
        <f t="array" ref="L829">SUM(($J829*EXP(-$H829*12*3600*_xlfn.SEQUENCE(L$1-1))))+$J829</f>
        <v>0</v>
      </c>
      <c r="M829" s="3"/>
      <c r="N829" s="3"/>
    </row>
    <row r="830" spans="2:14" hidden="1" x14ac:dyDescent="0.2">
      <c r="B830" s="3">
        <v>48119</v>
      </c>
      <c r="C830" s="3">
        <v>0</v>
      </c>
      <c r="D830">
        <v>827</v>
      </c>
      <c r="E830" t="str">
        <f>VLOOKUP(B830,Nuclides!A:F,5,FALSE)</f>
        <v>Cd119</v>
      </c>
      <c r="F830">
        <f>VLOOKUP(B830,Nuclides!A:F,4,FALSE)</f>
        <v>161.4</v>
      </c>
      <c r="G830" s="3" t="str">
        <f t="shared" si="63"/>
        <v>2.69min</v>
      </c>
      <c r="H830" s="3">
        <f t="shared" si="64"/>
        <v>4.2945921967778517E-3</v>
      </c>
      <c r="I830" s="3">
        <f t="shared" si="65"/>
        <v>0</v>
      </c>
      <c r="J830" s="3">
        <f t="shared" si="66"/>
        <v>0</v>
      </c>
      <c r="K830" s="3" t="str">
        <f t="shared" si="67"/>
        <v>Cd119</v>
      </c>
      <c r="L830" s="3" cm="1">
        <f t="array" ref="L830">SUM(($J830*EXP(-$H830*12*3600*_xlfn.SEQUENCE(L$1-1))))+$J830</f>
        <v>0</v>
      </c>
      <c r="M830" s="3"/>
      <c r="N830" s="3"/>
    </row>
    <row r="831" spans="2:14" hidden="1" x14ac:dyDescent="0.2">
      <c r="B831" s="3">
        <v>48120</v>
      </c>
      <c r="C831" s="3">
        <v>0</v>
      </c>
      <c r="D831">
        <v>828</v>
      </c>
      <c r="E831" t="str">
        <f>VLOOKUP(B831,Nuclides!A:F,5,FALSE)</f>
        <v>Cd120</v>
      </c>
      <c r="F831">
        <f>VLOOKUP(B831,Nuclides!A:F,4,FALSE)</f>
        <v>50.8</v>
      </c>
      <c r="G831" s="3" t="str">
        <f t="shared" si="63"/>
        <v>50.8s</v>
      </c>
      <c r="H831" s="3">
        <f t="shared" si="64"/>
        <v>1.3644629538581601E-2</v>
      </c>
      <c r="I831" s="3">
        <f t="shared" si="65"/>
        <v>0</v>
      </c>
      <c r="J831" s="3">
        <f t="shared" si="66"/>
        <v>0</v>
      </c>
      <c r="K831" s="3" t="str">
        <f t="shared" si="67"/>
        <v>Cd120</v>
      </c>
      <c r="L831" s="3" cm="1">
        <f t="array" ref="L831">SUM(($J831*EXP(-$H831*12*3600*_xlfn.SEQUENCE(L$1-1))))+$J831</f>
        <v>0</v>
      </c>
      <c r="M831" s="3"/>
      <c r="N831" s="3"/>
    </row>
    <row r="832" spans="2:14" hidden="1" x14ac:dyDescent="0.2">
      <c r="B832" s="3">
        <v>48121</v>
      </c>
      <c r="C832" s="3">
        <v>0</v>
      </c>
      <c r="D832">
        <v>829</v>
      </c>
      <c r="E832" t="str">
        <f>VLOOKUP(B832,Nuclides!A:F,5,FALSE)</f>
        <v>Cd121</v>
      </c>
      <c r="F832">
        <f>VLOOKUP(B832,Nuclides!A:F,4,FALSE)</f>
        <v>13.5</v>
      </c>
      <c r="G832" s="3" t="str">
        <f t="shared" si="63"/>
        <v>13.5s</v>
      </c>
      <c r="H832" s="3">
        <f t="shared" si="64"/>
        <v>5.1344235597032988E-2</v>
      </c>
      <c r="I832" s="3">
        <f t="shared" si="65"/>
        <v>0</v>
      </c>
      <c r="J832" s="3">
        <f t="shared" si="66"/>
        <v>0</v>
      </c>
      <c r="K832" s="3" t="str">
        <f t="shared" si="67"/>
        <v>Cd121</v>
      </c>
      <c r="L832" s="3" cm="1">
        <f t="array" ref="L832">SUM(($J832*EXP(-$H832*12*3600*_xlfn.SEQUENCE(L$1-1))))+$J832</f>
        <v>0</v>
      </c>
      <c r="M832" s="3"/>
      <c r="N832" s="3"/>
    </row>
    <row r="833" spans="2:14" hidden="1" x14ac:dyDescent="0.2">
      <c r="B833" s="3">
        <v>48122</v>
      </c>
      <c r="C833" s="3">
        <v>0</v>
      </c>
      <c r="D833">
        <v>830</v>
      </c>
      <c r="E833" t="str">
        <f>VLOOKUP(B833,Nuclides!A:F,5,FALSE)</f>
        <v>Cd122</v>
      </c>
      <c r="F833">
        <f>VLOOKUP(B833,Nuclides!A:F,4,FALSE)</f>
        <v>5.24</v>
      </c>
      <c r="G833" s="3" t="str">
        <f t="shared" si="63"/>
        <v>5.24s</v>
      </c>
      <c r="H833" s="3">
        <f t="shared" si="64"/>
        <v>0.1322799962900659</v>
      </c>
      <c r="I833" s="3">
        <f t="shared" si="65"/>
        <v>0</v>
      </c>
      <c r="J833" s="3">
        <f t="shared" si="66"/>
        <v>0</v>
      </c>
      <c r="K833" s="3" t="str">
        <f t="shared" si="67"/>
        <v>Cd122</v>
      </c>
      <c r="L833" s="3" cm="1">
        <f t="array" ref="L833">SUM(($J833*EXP(-$H833*12*3600*_xlfn.SEQUENCE(L$1-1))))+$J833</f>
        <v>0</v>
      </c>
      <c r="M833" s="3"/>
      <c r="N833" s="3"/>
    </row>
    <row r="834" spans="2:14" hidden="1" x14ac:dyDescent="0.2">
      <c r="B834" s="3">
        <v>48123</v>
      </c>
      <c r="C834" s="3">
        <v>0</v>
      </c>
      <c r="D834">
        <v>831</v>
      </c>
      <c r="E834" t="str">
        <f>VLOOKUP(B834,Nuclides!A:F,5,FALSE)</f>
        <v>Cd123</v>
      </c>
      <c r="F834">
        <f>VLOOKUP(B834,Nuclides!A:F,4,FALSE)</f>
        <v>2.1</v>
      </c>
      <c r="G834" s="3" t="str">
        <f t="shared" si="63"/>
        <v>2.1s</v>
      </c>
      <c r="H834" s="3">
        <f t="shared" si="64"/>
        <v>0.3300700859809263</v>
      </c>
      <c r="I834" s="3">
        <f t="shared" si="65"/>
        <v>0</v>
      </c>
      <c r="J834" s="3">
        <f t="shared" si="66"/>
        <v>0</v>
      </c>
      <c r="K834" s="3" t="str">
        <f t="shared" si="67"/>
        <v>Cd123</v>
      </c>
      <c r="L834" s="3" cm="1">
        <f t="array" ref="L834">SUM(($J834*EXP(-$H834*12*3600*_xlfn.SEQUENCE(L$1-1))))+$J834</f>
        <v>0</v>
      </c>
      <c r="M834" s="3"/>
      <c r="N834" s="3"/>
    </row>
    <row r="835" spans="2:14" hidden="1" x14ac:dyDescent="0.2">
      <c r="B835" s="3">
        <v>48124</v>
      </c>
      <c r="C835" s="3">
        <v>0</v>
      </c>
      <c r="D835">
        <v>832</v>
      </c>
      <c r="E835" t="str">
        <f>VLOOKUP(B835,Nuclides!A:F,5,FALSE)</f>
        <v>Cd124</v>
      </c>
      <c r="F835">
        <f>VLOOKUP(B835,Nuclides!A:F,4,FALSE)</f>
        <v>1.25</v>
      </c>
      <c r="G835" s="3" t="str">
        <f t="shared" si="63"/>
        <v>1.25s</v>
      </c>
      <c r="H835" s="3">
        <f t="shared" si="64"/>
        <v>0.55451774444795621</v>
      </c>
      <c r="I835" s="3">
        <f t="shared" si="65"/>
        <v>0</v>
      </c>
      <c r="J835" s="3">
        <f t="shared" si="66"/>
        <v>0</v>
      </c>
      <c r="K835" s="3" t="str">
        <f t="shared" si="67"/>
        <v>Cd124</v>
      </c>
      <c r="L835" s="3" cm="1">
        <f t="array" ref="L835">SUM(($J835*EXP(-$H835*12*3600*_xlfn.SEQUENCE(L$1-1))))+$J835</f>
        <v>0</v>
      </c>
      <c r="M835" s="3"/>
      <c r="N835" s="3"/>
    </row>
    <row r="836" spans="2:14" hidden="1" x14ac:dyDescent="0.2">
      <c r="B836" s="3">
        <v>48125</v>
      </c>
      <c r="C836" s="3">
        <v>0</v>
      </c>
      <c r="D836">
        <v>833</v>
      </c>
      <c r="E836" t="str">
        <f>VLOOKUP(B836,Nuclides!A:F,5,FALSE)</f>
        <v>Cd125</v>
      </c>
      <c r="F836">
        <f>VLOOKUP(B836,Nuclides!A:F,4,FALSE)</f>
        <v>0.68</v>
      </c>
      <c r="G836" s="3" t="str">
        <f t="shared" ref="G836:G899" si="68">IF(F836="STABLE", "STABLE", IF(F836&lt;60, F836&amp;"s", IF(F836&lt;3600, ROUND(F836/60,2)&amp;"min", IF(F836&lt;86400, ROUND(F836/3600,2)&amp;"h", IF(F836&lt;31536000, ROUND(F836/86400,2)&amp;"d", ROUND(F836/31536000,2)&amp;"y")))))</f>
        <v>0.68s</v>
      </c>
      <c r="H836" s="3">
        <f t="shared" ref="H836:H899" si="69">LN(2)/F836</f>
        <v>1.019334089058743</v>
      </c>
      <c r="I836" s="3">
        <f t="shared" ref="I836:I899" si="70">100*6240000000000*C836*(1-EXP(-H836*2*3600))</f>
        <v>0</v>
      </c>
      <c r="J836" s="3">
        <f t="shared" ref="J836:J899" si="71">I836*EXP(-H836*10*3600)</f>
        <v>0</v>
      </c>
      <c r="K836" s="3" t="str">
        <f t="shared" ref="K836:K899" si="72">E836</f>
        <v>Cd125</v>
      </c>
      <c r="L836" s="3" cm="1">
        <f t="array" ref="L836">SUM(($J836*EXP(-$H836*12*3600*_xlfn.SEQUENCE(L$1-1))))+$J836</f>
        <v>0</v>
      </c>
      <c r="M836" s="3"/>
      <c r="N836" s="3"/>
    </row>
    <row r="837" spans="2:14" hidden="1" x14ac:dyDescent="0.2">
      <c r="B837" s="3">
        <v>48126</v>
      </c>
      <c r="C837" s="3">
        <v>0</v>
      </c>
      <c r="D837">
        <v>834</v>
      </c>
      <c r="E837" t="str">
        <f>VLOOKUP(B837,Nuclides!A:F,5,FALSE)</f>
        <v>Cd126</v>
      </c>
      <c r="F837">
        <f>VLOOKUP(B837,Nuclides!A:F,4,FALSE)</f>
        <v>0.51500000000000001</v>
      </c>
      <c r="G837" s="3" t="str">
        <f t="shared" si="68"/>
        <v>0.515s</v>
      </c>
      <c r="H837" s="3">
        <f t="shared" si="69"/>
        <v>1.3459168554562044</v>
      </c>
      <c r="I837" s="3">
        <f t="shared" si="70"/>
        <v>0</v>
      </c>
      <c r="J837" s="3">
        <f t="shared" si="71"/>
        <v>0</v>
      </c>
      <c r="K837" s="3" t="str">
        <f t="shared" si="72"/>
        <v>Cd126</v>
      </c>
      <c r="L837" s="3" cm="1">
        <f t="array" ref="L837">SUM(($J837*EXP(-$H837*12*3600*_xlfn.SEQUENCE(L$1-1))))+$J837</f>
        <v>0</v>
      </c>
      <c r="M837" s="3"/>
      <c r="N837" s="3"/>
    </row>
    <row r="838" spans="2:14" hidden="1" x14ac:dyDescent="0.2">
      <c r="B838" s="3">
        <v>49100</v>
      </c>
      <c r="C838" s="3">
        <v>0</v>
      </c>
      <c r="D838">
        <v>835</v>
      </c>
      <c r="E838" t="str">
        <f>VLOOKUP(B838,Nuclides!A:F,5,FALSE)</f>
        <v>In100</v>
      </c>
      <c r="F838">
        <f>VLOOKUP(B838,Nuclides!A:F,4,FALSE)</f>
        <v>5.8</v>
      </c>
      <c r="G838" s="3" t="str">
        <f t="shared" si="68"/>
        <v>5.8s</v>
      </c>
      <c r="H838" s="3">
        <f t="shared" si="69"/>
        <v>0.11950813457930091</v>
      </c>
      <c r="I838" s="3">
        <f t="shared" si="70"/>
        <v>0</v>
      </c>
      <c r="J838" s="3">
        <f t="shared" si="71"/>
        <v>0</v>
      </c>
      <c r="K838" s="3" t="str">
        <f t="shared" si="72"/>
        <v>In100</v>
      </c>
      <c r="L838" s="3" cm="1">
        <f t="array" ref="L838">SUM(($J838*EXP(-$H838*12*3600*_xlfn.SEQUENCE(L$1-1))))+$J838</f>
        <v>0</v>
      </c>
      <c r="M838" s="3"/>
      <c r="N838" s="3"/>
    </row>
    <row r="839" spans="2:14" hidden="1" x14ac:dyDescent="0.2">
      <c r="B839" s="3">
        <v>49101</v>
      </c>
      <c r="C839" s="3">
        <v>0</v>
      </c>
      <c r="D839">
        <v>836</v>
      </c>
      <c r="E839" t="str">
        <f>VLOOKUP(B839,Nuclides!A:F,5,FALSE)</f>
        <v>In101</v>
      </c>
      <c r="F839">
        <f>VLOOKUP(B839,Nuclides!A:F,4,FALSE)</f>
        <v>15.1</v>
      </c>
      <c r="G839" s="3" t="str">
        <f t="shared" si="68"/>
        <v>15.1s</v>
      </c>
      <c r="H839" s="3">
        <f t="shared" si="69"/>
        <v>4.5903786792049359E-2</v>
      </c>
      <c r="I839" s="3">
        <f t="shared" si="70"/>
        <v>0</v>
      </c>
      <c r="J839" s="3">
        <f t="shared" si="71"/>
        <v>0</v>
      </c>
      <c r="K839" s="3" t="str">
        <f t="shared" si="72"/>
        <v>In101</v>
      </c>
      <c r="L839" s="3" cm="1">
        <f t="array" ref="L839">SUM(($J839*EXP(-$H839*12*3600*_xlfn.SEQUENCE(L$1-1))))+$J839</f>
        <v>0</v>
      </c>
      <c r="M839" s="3"/>
      <c r="N839" s="3"/>
    </row>
    <row r="840" spans="2:14" hidden="1" x14ac:dyDescent="0.2">
      <c r="B840" s="3">
        <v>49102</v>
      </c>
      <c r="C840" s="3">
        <v>0</v>
      </c>
      <c r="D840">
        <v>837</v>
      </c>
      <c r="E840" t="str">
        <f>VLOOKUP(B840,Nuclides!A:F,5,FALSE)</f>
        <v>In102</v>
      </c>
      <c r="F840">
        <f>VLOOKUP(B840,Nuclides!A:F,4,FALSE)</f>
        <v>23.3</v>
      </c>
      <c r="G840" s="3" t="str">
        <f t="shared" si="68"/>
        <v>23.3s</v>
      </c>
      <c r="H840" s="3">
        <f t="shared" si="69"/>
        <v>2.9748806032615677E-2</v>
      </c>
      <c r="I840" s="3">
        <f t="shared" si="70"/>
        <v>0</v>
      </c>
      <c r="J840" s="3">
        <f t="shared" si="71"/>
        <v>0</v>
      </c>
      <c r="K840" s="3" t="str">
        <f t="shared" si="72"/>
        <v>In102</v>
      </c>
      <c r="L840" s="3" cm="1">
        <f t="array" ref="L840">SUM(($J840*EXP(-$H840*12*3600*_xlfn.SEQUENCE(L$1-1))))+$J840</f>
        <v>0</v>
      </c>
      <c r="M840" s="3"/>
      <c r="N840" s="3"/>
    </row>
    <row r="841" spans="2:14" hidden="1" x14ac:dyDescent="0.2">
      <c r="B841" s="3">
        <v>49103</v>
      </c>
      <c r="C841" s="3">
        <v>0</v>
      </c>
      <c r="D841">
        <v>838</v>
      </c>
      <c r="E841" t="str">
        <f>VLOOKUP(B841,Nuclides!A:F,5,FALSE)</f>
        <v>In103</v>
      </c>
      <c r="F841">
        <f>VLOOKUP(B841,Nuclides!A:F,4,FALSE)</f>
        <v>65</v>
      </c>
      <c r="G841" s="3" t="str">
        <f t="shared" si="68"/>
        <v>1.08min</v>
      </c>
      <c r="H841" s="3">
        <f t="shared" si="69"/>
        <v>1.0663802777845312E-2</v>
      </c>
      <c r="I841" s="3">
        <f t="shared" si="70"/>
        <v>0</v>
      </c>
      <c r="J841" s="3">
        <f t="shared" si="71"/>
        <v>0</v>
      </c>
      <c r="K841" s="3" t="str">
        <f t="shared" si="72"/>
        <v>In103</v>
      </c>
      <c r="L841" s="3" cm="1">
        <f t="array" ref="L841">SUM(($J841*EXP(-$H841*12*3600*_xlfn.SEQUENCE(L$1-1))))+$J841</f>
        <v>0</v>
      </c>
      <c r="M841" s="3"/>
      <c r="N841" s="3"/>
    </row>
    <row r="842" spans="2:14" hidden="1" x14ac:dyDescent="0.2">
      <c r="B842" s="3">
        <v>49104</v>
      </c>
      <c r="C842" s="3">
        <v>0</v>
      </c>
      <c r="D842">
        <v>839</v>
      </c>
      <c r="E842" t="str">
        <f>VLOOKUP(B842,Nuclides!A:F,5,FALSE)</f>
        <v>In104</v>
      </c>
      <c r="F842">
        <f>VLOOKUP(B842,Nuclides!A:F,4,FALSE)</f>
        <v>108</v>
      </c>
      <c r="G842" s="3" t="str">
        <f t="shared" si="68"/>
        <v>1.8min</v>
      </c>
      <c r="H842" s="3">
        <f t="shared" si="69"/>
        <v>6.4180294496291234E-3</v>
      </c>
      <c r="I842" s="3">
        <f t="shared" si="70"/>
        <v>0</v>
      </c>
      <c r="J842" s="3">
        <f t="shared" si="71"/>
        <v>0</v>
      </c>
      <c r="K842" s="3" t="str">
        <f t="shared" si="72"/>
        <v>In104</v>
      </c>
      <c r="L842" s="3" cm="1">
        <f t="array" ref="L842">SUM(($J842*EXP(-$H842*12*3600*_xlfn.SEQUENCE(L$1-1))))+$J842</f>
        <v>0</v>
      </c>
      <c r="M842" s="3"/>
      <c r="N842" s="3"/>
    </row>
    <row r="843" spans="2:14" hidden="1" x14ac:dyDescent="0.2">
      <c r="B843" s="3">
        <v>49105</v>
      </c>
      <c r="C843" s="3">
        <v>0</v>
      </c>
      <c r="D843">
        <v>840</v>
      </c>
      <c r="E843" t="str">
        <f>VLOOKUP(B843,Nuclides!A:F,5,FALSE)</f>
        <v>In105</v>
      </c>
      <c r="F843">
        <f>VLOOKUP(B843,Nuclides!A:F,4,FALSE)</f>
        <v>304.2</v>
      </c>
      <c r="G843" s="3" t="str">
        <f t="shared" si="68"/>
        <v>5.07min</v>
      </c>
      <c r="H843" s="3">
        <f t="shared" si="69"/>
        <v>2.2785903371464341E-3</v>
      </c>
      <c r="I843" s="3">
        <f t="shared" si="70"/>
        <v>0</v>
      </c>
      <c r="J843" s="3">
        <f t="shared" si="71"/>
        <v>0</v>
      </c>
      <c r="K843" s="3" t="str">
        <f t="shared" si="72"/>
        <v>In105</v>
      </c>
      <c r="L843" s="3" cm="1">
        <f t="array" ref="L843">SUM(($J843*EXP(-$H843*12*3600*_xlfn.SEQUENCE(L$1-1))))+$J843</f>
        <v>0</v>
      </c>
      <c r="M843" s="3"/>
      <c r="N843" s="3"/>
    </row>
    <row r="844" spans="2:14" hidden="1" x14ac:dyDescent="0.2">
      <c r="B844" s="3">
        <v>49106</v>
      </c>
      <c r="C844" s="3">
        <v>0</v>
      </c>
      <c r="D844">
        <v>841</v>
      </c>
      <c r="E844" t="str">
        <f>VLOOKUP(B844,Nuclides!A:F,5,FALSE)</f>
        <v>In106</v>
      </c>
      <c r="F844">
        <f>VLOOKUP(B844,Nuclides!A:F,4,FALSE)</f>
        <v>372</v>
      </c>
      <c r="G844" s="3" t="str">
        <f t="shared" si="68"/>
        <v>6.2min</v>
      </c>
      <c r="H844" s="3">
        <f t="shared" si="69"/>
        <v>1.8632988724729713E-3</v>
      </c>
      <c r="I844" s="3">
        <f t="shared" si="70"/>
        <v>0</v>
      </c>
      <c r="J844" s="3">
        <f t="shared" si="71"/>
        <v>0</v>
      </c>
      <c r="K844" s="3" t="str">
        <f t="shared" si="72"/>
        <v>In106</v>
      </c>
      <c r="L844" s="3" cm="1">
        <f t="array" ref="L844">SUM(($J844*EXP(-$H844*12*3600*_xlfn.SEQUENCE(L$1-1))))+$J844</f>
        <v>0</v>
      </c>
      <c r="M844" s="3"/>
      <c r="N844" s="3"/>
    </row>
    <row r="845" spans="2:14" hidden="1" x14ac:dyDescent="0.2">
      <c r="B845" s="3">
        <v>49107</v>
      </c>
      <c r="C845" s="3">
        <v>0</v>
      </c>
      <c r="D845">
        <v>842</v>
      </c>
      <c r="E845" t="str">
        <f>VLOOKUP(B845,Nuclides!A:F,5,FALSE)</f>
        <v>In107</v>
      </c>
      <c r="F845">
        <f>VLOOKUP(B845,Nuclides!A:F,4,FALSE)</f>
        <v>1944</v>
      </c>
      <c r="G845" s="3" t="str">
        <f t="shared" si="68"/>
        <v>32.4min</v>
      </c>
      <c r="H845" s="3">
        <f t="shared" si="69"/>
        <v>3.5655719164606238E-4</v>
      </c>
      <c r="I845" s="3">
        <f t="shared" si="70"/>
        <v>0</v>
      </c>
      <c r="J845" s="3">
        <f t="shared" si="71"/>
        <v>0</v>
      </c>
      <c r="K845" s="3" t="str">
        <f t="shared" si="72"/>
        <v>In107</v>
      </c>
      <c r="L845" s="3" cm="1">
        <f t="array" ref="L845">SUM(($J845*EXP(-$H845*12*3600*_xlfn.SEQUENCE(L$1-1))))+$J845</f>
        <v>0</v>
      </c>
      <c r="M845" s="3"/>
      <c r="N845" s="3"/>
    </row>
    <row r="846" spans="2:14" hidden="1" x14ac:dyDescent="0.2">
      <c r="B846" s="3">
        <v>49108</v>
      </c>
      <c r="C846" s="3">
        <v>0</v>
      </c>
      <c r="D846">
        <v>843</v>
      </c>
      <c r="E846" t="str">
        <f>VLOOKUP(B846,Nuclides!A:F,5,FALSE)</f>
        <v>In108</v>
      </c>
      <c r="F846">
        <f>VLOOKUP(B846,Nuclides!A:F,4,FALSE)</f>
        <v>3480</v>
      </c>
      <c r="G846" s="3" t="str">
        <f t="shared" si="68"/>
        <v>58min</v>
      </c>
      <c r="H846" s="3">
        <f t="shared" si="69"/>
        <v>1.9918022429883485E-4</v>
      </c>
      <c r="I846" s="3">
        <f t="shared" si="70"/>
        <v>0</v>
      </c>
      <c r="J846" s="3">
        <f t="shared" si="71"/>
        <v>0</v>
      </c>
      <c r="K846" s="3" t="str">
        <f t="shared" si="72"/>
        <v>In108</v>
      </c>
      <c r="L846" s="3" cm="1">
        <f t="array" ref="L846">SUM(($J846*EXP(-$H846*12*3600*_xlfn.SEQUENCE(L$1-1))))+$J846</f>
        <v>0</v>
      </c>
      <c r="M846" s="3"/>
      <c r="N846" s="3"/>
    </row>
    <row r="847" spans="2:14" hidden="1" x14ac:dyDescent="0.2">
      <c r="B847" s="3">
        <v>49109</v>
      </c>
      <c r="C847" s="3">
        <v>0</v>
      </c>
      <c r="D847">
        <v>844</v>
      </c>
      <c r="E847" t="str">
        <f>VLOOKUP(B847,Nuclides!A:F,5,FALSE)</f>
        <v>In109</v>
      </c>
      <c r="F847">
        <f>VLOOKUP(B847,Nuclides!A:F,4,FALSE)</f>
        <v>15001.199999999901</v>
      </c>
      <c r="G847" s="3" t="str">
        <f t="shared" si="68"/>
        <v>4.17h</v>
      </c>
      <c r="H847" s="3">
        <f t="shared" si="69"/>
        <v>4.6206115548086146E-5</v>
      </c>
      <c r="I847" s="3">
        <f t="shared" si="70"/>
        <v>0</v>
      </c>
      <c r="J847" s="3">
        <f t="shared" si="71"/>
        <v>0</v>
      </c>
      <c r="K847" s="3" t="str">
        <f t="shared" si="72"/>
        <v>In109</v>
      </c>
      <c r="L847" s="3" cm="1">
        <f t="array" ref="L847">SUM(($J847*EXP(-$H847*12*3600*_xlfn.SEQUENCE(L$1-1))))+$J847</f>
        <v>0</v>
      </c>
      <c r="M847" s="3"/>
      <c r="N847" s="3"/>
    </row>
    <row r="848" spans="2:14" hidden="1" x14ac:dyDescent="0.2">
      <c r="B848" s="3">
        <v>49110</v>
      </c>
      <c r="C848" s="3">
        <v>0</v>
      </c>
      <c r="D848">
        <v>845</v>
      </c>
      <c r="E848" t="str">
        <f>VLOOKUP(B848,Nuclides!A:F,5,FALSE)</f>
        <v>In110</v>
      </c>
      <c r="F848">
        <f>VLOOKUP(B848,Nuclides!A:F,4,FALSE)</f>
        <v>17640</v>
      </c>
      <c r="G848" s="3" t="str">
        <f t="shared" si="68"/>
        <v>4.9h</v>
      </c>
      <c r="H848" s="3">
        <f t="shared" si="69"/>
        <v>3.9294057854872179E-5</v>
      </c>
      <c r="I848" s="3">
        <f t="shared" si="70"/>
        <v>0</v>
      </c>
      <c r="J848" s="3">
        <f t="shared" si="71"/>
        <v>0</v>
      </c>
      <c r="K848" s="3" t="str">
        <f t="shared" si="72"/>
        <v>In110</v>
      </c>
      <c r="L848" s="3" cm="1">
        <f t="array" ref="L848">SUM(($J848*EXP(-$H848*12*3600*_xlfn.SEQUENCE(L$1-1))))+$J848</f>
        <v>0</v>
      </c>
      <c r="M848" s="3"/>
      <c r="N848" s="3"/>
    </row>
    <row r="849" spans="2:14" hidden="1" x14ac:dyDescent="0.2">
      <c r="B849" s="3">
        <v>49111</v>
      </c>
      <c r="C849" s="3">
        <v>0</v>
      </c>
      <c r="D849">
        <v>846</v>
      </c>
      <c r="E849" t="str">
        <f>VLOOKUP(B849,Nuclides!A:F,5,FALSE)</f>
        <v>In111</v>
      </c>
      <c r="F849">
        <f>VLOOKUP(B849,Nuclides!A:F,4,FALSE)</f>
        <v>242326.08</v>
      </c>
      <c r="G849" s="3" t="str">
        <f t="shared" si="68"/>
        <v>2.8d</v>
      </c>
      <c r="H849" s="3">
        <f t="shared" si="69"/>
        <v>2.8603903490699198E-6</v>
      </c>
      <c r="I849" s="3">
        <f t="shared" si="70"/>
        <v>0</v>
      </c>
      <c r="J849" s="3">
        <f t="shared" si="71"/>
        <v>0</v>
      </c>
      <c r="K849" s="3" t="str">
        <f t="shared" si="72"/>
        <v>In111</v>
      </c>
      <c r="L849" s="3" cm="1">
        <f t="array" ref="L849">SUM(($J849*EXP(-$H849*12*3600*_xlfn.SEQUENCE(L$1-1))))+$J849</f>
        <v>0</v>
      </c>
      <c r="M849" s="3"/>
      <c r="N849" s="3"/>
    </row>
    <row r="850" spans="2:14" hidden="1" x14ac:dyDescent="0.2">
      <c r="B850" s="3">
        <v>49112</v>
      </c>
      <c r="C850" s="3">
        <v>0</v>
      </c>
      <c r="D850">
        <v>847</v>
      </c>
      <c r="E850" t="str">
        <f>VLOOKUP(B850,Nuclides!A:F,5,FALSE)</f>
        <v>In112</v>
      </c>
      <c r="F850">
        <f>VLOOKUP(B850,Nuclides!A:F,4,FALSE)</f>
        <v>892.8</v>
      </c>
      <c r="G850" s="3" t="str">
        <f t="shared" si="68"/>
        <v>14.88min</v>
      </c>
      <c r="H850" s="3">
        <f t="shared" si="69"/>
        <v>7.7637453019707139E-4</v>
      </c>
      <c r="I850" s="3">
        <f t="shared" si="70"/>
        <v>0</v>
      </c>
      <c r="J850" s="3">
        <f t="shared" si="71"/>
        <v>0</v>
      </c>
      <c r="K850" s="3" t="str">
        <f t="shared" si="72"/>
        <v>In112</v>
      </c>
      <c r="L850" s="3" cm="1">
        <f t="array" ref="L850">SUM(($J850*EXP(-$H850*12*3600*_xlfn.SEQUENCE(L$1-1))))+$J850</f>
        <v>0</v>
      </c>
      <c r="M850" s="3"/>
      <c r="N850" s="3"/>
    </row>
    <row r="851" spans="2:14" hidden="1" x14ac:dyDescent="0.2">
      <c r="B851" s="3">
        <v>49113</v>
      </c>
      <c r="C851" s="3">
        <v>0</v>
      </c>
      <c r="D851">
        <v>848</v>
      </c>
      <c r="E851" t="str">
        <f>VLOOKUP(B851,Nuclides!A:F,5,FALSE)</f>
        <v>In113</v>
      </c>
      <c r="F851" t="str">
        <f>VLOOKUP(B851,Nuclides!A:F,4,FALSE)</f>
        <v>STABLE</v>
      </c>
      <c r="G851" s="3" t="str">
        <f t="shared" si="68"/>
        <v>STABLE</v>
      </c>
      <c r="H851" s="3" t="e">
        <f t="shared" si="69"/>
        <v>#VALUE!</v>
      </c>
      <c r="I851" s="3" t="e">
        <f t="shared" si="70"/>
        <v>#VALUE!</v>
      </c>
      <c r="J851" s="3" t="e">
        <f t="shared" si="71"/>
        <v>#VALUE!</v>
      </c>
      <c r="K851" s="3" t="str">
        <f t="shared" si="72"/>
        <v>In113</v>
      </c>
      <c r="L851" s="3" t="e" cm="1">
        <f t="array" ref="L851">SUM(($J851*EXP(-$H851*12*3600*_xlfn.SEQUENCE(L$1-1))))+$J851</f>
        <v>#VALUE!</v>
      </c>
      <c r="M851" s="3"/>
      <c r="N851" s="3"/>
    </row>
    <row r="852" spans="2:14" hidden="1" x14ac:dyDescent="0.2">
      <c r="B852" s="3">
        <v>49114</v>
      </c>
      <c r="C852" s="3">
        <v>0</v>
      </c>
      <c r="D852">
        <v>849</v>
      </c>
      <c r="E852" t="str">
        <f>VLOOKUP(B852,Nuclides!A:F,5,FALSE)</f>
        <v>In114</v>
      </c>
      <c r="F852">
        <f>VLOOKUP(B852,Nuclides!A:F,4,FALSE)</f>
        <v>71.900000000000006</v>
      </c>
      <c r="G852" s="3" t="str">
        <f t="shared" si="68"/>
        <v>1.2min</v>
      </c>
      <c r="H852" s="3">
        <f t="shared" si="69"/>
        <v>9.6404336656459692E-3</v>
      </c>
      <c r="I852" s="3">
        <f t="shared" si="70"/>
        <v>0</v>
      </c>
      <c r="J852" s="3">
        <f t="shared" si="71"/>
        <v>0</v>
      </c>
      <c r="K852" s="3" t="str">
        <f t="shared" si="72"/>
        <v>In114</v>
      </c>
      <c r="L852" s="3" cm="1">
        <f t="array" ref="L852">SUM(($J852*EXP(-$H852*12*3600*_xlfn.SEQUENCE(L$1-1))))+$J852</f>
        <v>0</v>
      </c>
      <c r="M852" s="3"/>
      <c r="N852" s="3"/>
    </row>
    <row r="853" spans="2:14" hidden="1" x14ac:dyDescent="0.2">
      <c r="B853" s="3">
        <v>49115</v>
      </c>
      <c r="C853" s="3">
        <v>0</v>
      </c>
      <c r="D853">
        <v>850</v>
      </c>
      <c r="E853" t="str">
        <f>VLOOKUP(B853,Nuclides!A:F,5,FALSE)</f>
        <v>In115</v>
      </c>
      <c r="F853">
        <f>VLOOKUP(B853,Nuclides!A:F,4,FALSE)</f>
        <v>1.3916901599999999E+22</v>
      </c>
      <c r="G853" s="3" t="str">
        <f t="shared" si="68"/>
        <v>441302054794520y</v>
      </c>
      <c r="H853" s="3">
        <f t="shared" si="69"/>
        <v>4.980614223498895E-23</v>
      </c>
      <c r="I853" s="3">
        <f t="shared" si="70"/>
        <v>0</v>
      </c>
      <c r="J853" s="3">
        <f t="shared" si="71"/>
        <v>0</v>
      </c>
      <c r="K853" s="3" t="str">
        <f t="shared" si="72"/>
        <v>In115</v>
      </c>
      <c r="L853" s="3" cm="1">
        <f t="array" ref="L853">SUM(($J853*EXP(-$H853*12*3600*_xlfn.SEQUENCE(L$1-1))))+$J853</f>
        <v>0</v>
      </c>
      <c r="M853" s="3"/>
      <c r="N853" s="3"/>
    </row>
    <row r="854" spans="2:14" hidden="1" x14ac:dyDescent="0.2">
      <c r="B854" s="3">
        <v>49116</v>
      </c>
      <c r="C854" s="3">
        <v>0</v>
      </c>
      <c r="D854">
        <v>851</v>
      </c>
      <c r="E854" t="str">
        <f>VLOOKUP(B854,Nuclides!A:F,5,FALSE)</f>
        <v>In116</v>
      </c>
      <c r="F854">
        <f>VLOOKUP(B854,Nuclides!A:F,4,FALSE)</f>
        <v>14.1</v>
      </c>
      <c r="G854" s="3" t="str">
        <f t="shared" si="68"/>
        <v>14.1s</v>
      </c>
      <c r="H854" s="3">
        <f t="shared" si="69"/>
        <v>4.9159374507797539E-2</v>
      </c>
      <c r="I854" s="3">
        <f t="shared" si="70"/>
        <v>0</v>
      </c>
      <c r="J854" s="3">
        <f t="shared" si="71"/>
        <v>0</v>
      </c>
      <c r="K854" s="3" t="str">
        <f t="shared" si="72"/>
        <v>In116</v>
      </c>
      <c r="L854" s="3" cm="1">
        <f t="array" ref="L854">SUM(($J854*EXP(-$H854*12*3600*_xlfn.SEQUENCE(L$1-1))))+$J854</f>
        <v>0</v>
      </c>
      <c r="M854" s="3"/>
      <c r="N854" s="3"/>
    </row>
    <row r="855" spans="2:14" hidden="1" x14ac:dyDescent="0.2">
      <c r="B855" s="3">
        <v>49117</v>
      </c>
      <c r="C855" s="3">
        <v>0</v>
      </c>
      <c r="D855">
        <v>852</v>
      </c>
      <c r="E855" t="str">
        <f>VLOOKUP(B855,Nuclides!A:F,5,FALSE)</f>
        <v>In117</v>
      </c>
      <c r="F855">
        <f>VLOOKUP(B855,Nuclides!A:F,4,FALSE)</f>
        <v>2592</v>
      </c>
      <c r="G855" s="3" t="str">
        <f t="shared" si="68"/>
        <v>43.2min</v>
      </c>
      <c r="H855" s="3">
        <f t="shared" si="69"/>
        <v>2.6741789373454681E-4</v>
      </c>
      <c r="I855" s="3">
        <f t="shared" si="70"/>
        <v>0</v>
      </c>
      <c r="J855" s="3">
        <f t="shared" si="71"/>
        <v>0</v>
      </c>
      <c r="K855" s="3" t="str">
        <f t="shared" si="72"/>
        <v>In117</v>
      </c>
      <c r="L855" s="3" cm="1">
        <f t="array" ref="L855">SUM(($J855*EXP(-$H855*12*3600*_xlfn.SEQUENCE(L$1-1))))+$J855</f>
        <v>0</v>
      </c>
      <c r="M855" s="3"/>
      <c r="N855" s="3"/>
    </row>
    <row r="856" spans="2:14" hidden="1" x14ac:dyDescent="0.2">
      <c r="B856" s="3">
        <v>49118</v>
      </c>
      <c r="C856" s="3">
        <v>0</v>
      </c>
      <c r="D856">
        <v>853</v>
      </c>
      <c r="E856" t="str">
        <f>VLOOKUP(B856,Nuclides!A:F,5,FALSE)</f>
        <v>In118</v>
      </c>
      <c r="F856">
        <f>VLOOKUP(B856,Nuclides!A:F,4,FALSE)</f>
        <v>5</v>
      </c>
      <c r="G856" s="3" t="str">
        <f t="shared" si="68"/>
        <v>5s</v>
      </c>
      <c r="H856" s="3">
        <f t="shared" si="69"/>
        <v>0.13862943611198905</v>
      </c>
      <c r="I856" s="3">
        <f t="shared" si="70"/>
        <v>0</v>
      </c>
      <c r="J856" s="3">
        <f t="shared" si="71"/>
        <v>0</v>
      </c>
      <c r="K856" s="3" t="str">
        <f t="shared" si="72"/>
        <v>In118</v>
      </c>
      <c r="L856" s="3" cm="1">
        <f t="array" ref="L856">SUM(($J856*EXP(-$H856*12*3600*_xlfn.SEQUENCE(L$1-1))))+$J856</f>
        <v>0</v>
      </c>
      <c r="M856" s="3"/>
      <c r="N856" s="3"/>
    </row>
    <row r="857" spans="2:14" hidden="1" x14ac:dyDescent="0.2">
      <c r="B857" s="3">
        <v>49119</v>
      </c>
      <c r="C857" s="3">
        <v>0</v>
      </c>
      <c r="D857">
        <v>854</v>
      </c>
      <c r="E857" t="str">
        <f>VLOOKUP(B857,Nuclides!A:F,5,FALSE)</f>
        <v>In119</v>
      </c>
      <c r="F857">
        <f>VLOOKUP(B857,Nuclides!A:F,4,FALSE)</f>
        <v>144</v>
      </c>
      <c r="G857" s="3" t="str">
        <f t="shared" si="68"/>
        <v>2.4min</v>
      </c>
      <c r="H857" s="3">
        <f t="shared" si="69"/>
        <v>4.8135220872218424E-3</v>
      </c>
      <c r="I857" s="3">
        <f t="shared" si="70"/>
        <v>0</v>
      </c>
      <c r="J857" s="3">
        <f t="shared" si="71"/>
        <v>0</v>
      </c>
      <c r="K857" s="3" t="str">
        <f t="shared" si="72"/>
        <v>In119</v>
      </c>
      <c r="L857" s="3" cm="1">
        <f t="array" ref="L857">SUM(($J857*EXP(-$H857*12*3600*_xlfn.SEQUENCE(L$1-1))))+$J857</f>
        <v>0</v>
      </c>
      <c r="M857" s="3"/>
      <c r="N857" s="3"/>
    </row>
    <row r="858" spans="2:14" hidden="1" x14ac:dyDescent="0.2">
      <c r="B858" s="3">
        <v>49120</v>
      </c>
      <c r="C858" s="3">
        <v>0</v>
      </c>
      <c r="D858">
        <v>855</v>
      </c>
      <c r="E858" t="str">
        <f>VLOOKUP(B858,Nuclides!A:F,5,FALSE)</f>
        <v>In120</v>
      </c>
      <c r="F858">
        <f>VLOOKUP(B858,Nuclides!A:F,4,FALSE)</f>
        <v>3.08</v>
      </c>
      <c r="G858" s="3" t="str">
        <f t="shared" si="68"/>
        <v>3.08s</v>
      </c>
      <c r="H858" s="3">
        <f t="shared" si="69"/>
        <v>0.22504778589608612</v>
      </c>
      <c r="I858" s="3">
        <f t="shared" si="70"/>
        <v>0</v>
      </c>
      <c r="J858" s="3">
        <f t="shared" si="71"/>
        <v>0</v>
      </c>
      <c r="K858" s="3" t="str">
        <f t="shared" si="72"/>
        <v>In120</v>
      </c>
      <c r="L858" s="3" cm="1">
        <f t="array" ref="L858">SUM(($J858*EXP(-$H858*12*3600*_xlfn.SEQUENCE(L$1-1))))+$J858</f>
        <v>0</v>
      </c>
      <c r="M858" s="3"/>
      <c r="N858" s="3"/>
    </row>
    <row r="859" spans="2:14" hidden="1" x14ac:dyDescent="0.2">
      <c r="B859" s="3">
        <v>49121</v>
      </c>
      <c r="C859" s="3">
        <v>0</v>
      </c>
      <c r="D859">
        <v>856</v>
      </c>
      <c r="E859" t="str">
        <f>VLOOKUP(B859,Nuclides!A:F,5,FALSE)</f>
        <v>In121</v>
      </c>
      <c r="F859">
        <f>VLOOKUP(B859,Nuclides!A:F,4,FALSE)</f>
        <v>23.1</v>
      </c>
      <c r="G859" s="3" t="str">
        <f t="shared" si="68"/>
        <v>23.1s</v>
      </c>
      <c r="H859" s="3">
        <f t="shared" si="69"/>
        <v>3.0006371452811483E-2</v>
      </c>
      <c r="I859" s="3">
        <f t="shared" si="70"/>
        <v>0</v>
      </c>
      <c r="J859" s="3">
        <f t="shared" si="71"/>
        <v>0</v>
      </c>
      <c r="K859" s="3" t="str">
        <f t="shared" si="72"/>
        <v>In121</v>
      </c>
      <c r="L859" s="3" cm="1">
        <f t="array" ref="L859">SUM(($J859*EXP(-$H859*12*3600*_xlfn.SEQUENCE(L$1-1))))+$J859</f>
        <v>0</v>
      </c>
      <c r="M859" s="3"/>
      <c r="N859" s="3"/>
    </row>
    <row r="860" spans="2:14" hidden="1" x14ac:dyDescent="0.2">
      <c r="B860" s="3">
        <v>49122</v>
      </c>
      <c r="C860" s="3">
        <v>0</v>
      </c>
      <c r="D860">
        <v>857</v>
      </c>
      <c r="E860" t="str">
        <f>VLOOKUP(B860,Nuclides!A:F,5,FALSE)</f>
        <v>In122</v>
      </c>
      <c r="F860">
        <f>VLOOKUP(B860,Nuclides!A:F,4,FALSE)</f>
        <v>1.5</v>
      </c>
      <c r="G860" s="3" t="str">
        <f t="shared" si="68"/>
        <v>1.5s</v>
      </c>
      <c r="H860" s="3">
        <f t="shared" si="69"/>
        <v>0.46209812037329684</v>
      </c>
      <c r="I860" s="3">
        <f t="shared" si="70"/>
        <v>0</v>
      </c>
      <c r="J860" s="3">
        <f t="shared" si="71"/>
        <v>0</v>
      </c>
      <c r="K860" s="3" t="str">
        <f t="shared" si="72"/>
        <v>In122</v>
      </c>
      <c r="L860" s="3" cm="1">
        <f t="array" ref="L860">SUM(($J860*EXP(-$H860*12*3600*_xlfn.SEQUENCE(L$1-1))))+$J860</f>
        <v>0</v>
      </c>
      <c r="M860" s="3"/>
      <c r="N860" s="3"/>
    </row>
    <row r="861" spans="2:14" hidden="1" x14ac:dyDescent="0.2">
      <c r="B861" s="3">
        <v>49123</v>
      </c>
      <c r="C861" s="3">
        <v>0</v>
      </c>
      <c r="D861">
        <v>858</v>
      </c>
      <c r="E861" t="str">
        <f>VLOOKUP(B861,Nuclides!A:F,5,FALSE)</f>
        <v>In123</v>
      </c>
      <c r="F861">
        <f>VLOOKUP(B861,Nuclides!A:F,4,FALSE)</f>
        <v>6.17</v>
      </c>
      <c r="G861" s="3" t="str">
        <f t="shared" si="68"/>
        <v>6.17s</v>
      </c>
      <c r="H861" s="3">
        <f t="shared" si="69"/>
        <v>0.11234152035007217</v>
      </c>
      <c r="I861" s="3">
        <f t="shared" si="70"/>
        <v>0</v>
      </c>
      <c r="J861" s="3">
        <f t="shared" si="71"/>
        <v>0</v>
      </c>
      <c r="K861" s="3" t="str">
        <f t="shared" si="72"/>
        <v>In123</v>
      </c>
      <c r="L861" s="3" cm="1">
        <f t="array" ref="L861">SUM(($J861*EXP(-$H861*12*3600*_xlfn.SEQUENCE(L$1-1))))+$J861</f>
        <v>0</v>
      </c>
      <c r="M861" s="3"/>
      <c r="N861" s="3"/>
    </row>
    <row r="862" spans="2:14" hidden="1" x14ac:dyDescent="0.2">
      <c r="B862" s="3">
        <v>49124</v>
      </c>
      <c r="C862" s="3">
        <v>0</v>
      </c>
      <c r="D862">
        <v>859</v>
      </c>
      <c r="E862" t="str">
        <f>VLOOKUP(B862,Nuclides!A:F,5,FALSE)</f>
        <v>In124</v>
      </c>
      <c r="F862">
        <f>VLOOKUP(B862,Nuclides!A:F,4,FALSE)</f>
        <v>3.12</v>
      </c>
      <c r="G862" s="3" t="str">
        <f t="shared" si="68"/>
        <v>3.12s</v>
      </c>
      <c r="H862" s="3">
        <f t="shared" si="69"/>
        <v>0.22216255787177733</v>
      </c>
      <c r="I862" s="3">
        <f t="shared" si="70"/>
        <v>0</v>
      </c>
      <c r="J862" s="3">
        <f t="shared" si="71"/>
        <v>0</v>
      </c>
      <c r="K862" s="3" t="str">
        <f t="shared" si="72"/>
        <v>In124</v>
      </c>
      <c r="L862" s="3" cm="1">
        <f t="array" ref="L862">SUM(($J862*EXP(-$H862*12*3600*_xlfn.SEQUENCE(L$1-1))))+$J862</f>
        <v>0</v>
      </c>
      <c r="M862" s="3"/>
      <c r="N862" s="3"/>
    </row>
    <row r="863" spans="2:14" hidden="1" x14ac:dyDescent="0.2">
      <c r="B863" s="3">
        <v>49125</v>
      </c>
      <c r="C863" s="3">
        <v>0</v>
      </c>
      <c r="D863">
        <v>860</v>
      </c>
      <c r="E863" t="str">
        <f>VLOOKUP(B863,Nuclides!A:F,5,FALSE)</f>
        <v>In125</v>
      </c>
      <c r="F863">
        <f>VLOOKUP(B863,Nuclides!A:F,4,FALSE)</f>
        <v>2.36</v>
      </c>
      <c r="G863" s="3" t="str">
        <f t="shared" si="68"/>
        <v>2.36s</v>
      </c>
      <c r="H863" s="3">
        <f t="shared" si="69"/>
        <v>0.29370643244065481</v>
      </c>
      <c r="I863" s="3">
        <f t="shared" si="70"/>
        <v>0</v>
      </c>
      <c r="J863" s="3">
        <f t="shared" si="71"/>
        <v>0</v>
      </c>
      <c r="K863" s="3" t="str">
        <f t="shared" si="72"/>
        <v>In125</v>
      </c>
      <c r="L863" s="3" cm="1">
        <f t="array" ref="L863">SUM(($J863*EXP(-$H863*12*3600*_xlfn.SEQUENCE(L$1-1))))+$J863</f>
        <v>0</v>
      </c>
      <c r="M863" s="3"/>
      <c r="N863" s="3"/>
    </row>
    <row r="864" spans="2:14" hidden="1" x14ac:dyDescent="0.2">
      <c r="B864" s="3">
        <v>49126</v>
      </c>
      <c r="C864" s="3">
        <v>0</v>
      </c>
      <c r="D864">
        <v>861</v>
      </c>
      <c r="E864" t="str">
        <f>VLOOKUP(B864,Nuclides!A:F,5,FALSE)</f>
        <v>In126</v>
      </c>
      <c r="F864">
        <f>VLOOKUP(B864,Nuclides!A:F,4,FALSE)</f>
        <v>1.53</v>
      </c>
      <c r="G864" s="3" t="str">
        <f t="shared" si="68"/>
        <v>1.53s</v>
      </c>
      <c r="H864" s="3">
        <f t="shared" si="69"/>
        <v>0.45303737291499691</v>
      </c>
      <c r="I864" s="3">
        <f t="shared" si="70"/>
        <v>0</v>
      </c>
      <c r="J864" s="3">
        <f t="shared" si="71"/>
        <v>0</v>
      </c>
      <c r="K864" s="3" t="str">
        <f t="shared" si="72"/>
        <v>In126</v>
      </c>
      <c r="L864" s="3" cm="1">
        <f t="array" ref="L864">SUM(($J864*EXP(-$H864*12*3600*_xlfn.SEQUENCE(L$1-1))))+$J864</f>
        <v>0</v>
      </c>
      <c r="M864" s="3"/>
      <c r="N864" s="3"/>
    </row>
    <row r="865" spans="2:14" hidden="1" x14ac:dyDescent="0.2">
      <c r="B865" s="3">
        <v>49127</v>
      </c>
      <c r="C865" s="3">
        <v>0</v>
      </c>
      <c r="D865">
        <v>862</v>
      </c>
      <c r="E865" t="str">
        <f>VLOOKUP(B865,Nuclides!A:F,5,FALSE)</f>
        <v>In127</v>
      </c>
      <c r="F865">
        <f>VLOOKUP(B865,Nuclides!A:F,4,FALSE)</f>
        <v>1.0900000000000001</v>
      </c>
      <c r="G865" s="3" t="str">
        <f t="shared" si="68"/>
        <v>1.09s</v>
      </c>
      <c r="H865" s="3">
        <f t="shared" si="69"/>
        <v>0.63591484455040848</v>
      </c>
      <c r="I865" s="3">
        <f t="shared" si="70"/>
        <v>0</v>
      </c>
      <c r="J865" s="3">
        <f t="shared" si="71"/>
        <v>0</v>
      </c>
      <c r="K865" s="3" t="str">
        <f t="shared" si="72"/>
        <v>In127</v>
      </c>
      <c r="L865" s="3" cm="1">
        <f t="array" ref="L865">SUM(($J865*EXP(-$H865*12*3600*_xlfn.SEQUENCE(L$1-1))))+$J865</f>
        <v>0</v>
      </c>
      <c r="M865" s="3"/>
      <c r="N865" s="3"/>
    </row>
    <row r="866" spans="2:14" hidden="1" x14ac:dyDescent="0.2">
      <c r="B866" s="3">
        <v>49128</v>
      </c>
      <c r="C866" s="3">
        <v>0</v>
      </c>
      <c r="D866">
        <v>863</v>
      </c>
      <c r="E866" t="str">
        <f>VLOOKUP(B866,Nuclides!A:F,5,FALSE)</f>
        <v>In128</v>
      </c>
      <c r="F866">
        <f>VLOOKUP(B866,Nuclides!A:F,4,FALSE)</f>
        <v>0.84</v>
      </c>
      <c r="G866" s="3" t="str">
        <f t="shared" si="68"/>
        <v>0.84s</v>
      </c>
      <c r="H866" s="3">
        <f t="shared" si="69"/>
        <v>0.82517521495231583</v>
      </c>
      <c r="I866" s="3">
        <f t="shared" si="70"/>
        <v>0</v>
      </c>
      <c r="J866" s="3">
        <f t="shared" si="71"/>
        <v>0</v>
      </c>
      <c r="K866" s="3" t="str">
        <f t="shared" si="72"/>
        <v>In128</v>
      </c>
      <c r="L866" s="3" cm="1">
        <f t="array" ref="L866">SUM(($J866*EXP(-$H866*12*3600*_xlfn.SEQUENCE(L$1-1))))+$J866</f>
        <v>0</v>
      </c>
      <c r="M866" s="3"/>
      <c r="N866" s="3"/>
    </row>
    <row r="867" spans="2:14" hidden="1" x14ac:dyDescent="0.2">
      <c r="B867" s="3">
        <v>49129</v>
      </c>
      <c r="C867" s="3">
        <v>0</v>
      </c>
      <c r="D867">
        <v>864</v>
      </c>
      <c r="E867" t="str">
        <f>VLOOKUP(B867,Nuclides!A:F,5,FALSE)</f>
        <v>In129</v>
      </c>
      <c r="F867">
        <f>VLOOKUP(B867,Nuclides!A:F,4,FALSE)</f>
        <v>0.61099999999999999</v>
      </c>
      <c r="G867" s="3" t="str">
        <f t="shared" si="68"/>
        <v>0.611s</v>
      </c>
      <c r="H867" s="3">
        <f t="shared" si="69"/>
        <v>1.1344471040260971</v>
      </c>
      <c r="I867" s="3">
        <f t="shared" si="70"/>
        <v>0</v>
      </c>
      <c r="J867" s="3">
        <f t="shared" si="71"/>
        <v>0</v>
      </c>
      <c r="K867" s="3" t="str">
        <f t="shared" si="72"/>
        <v>In129</v>
      </c>
      <c r="L867" s="3" cm="1">
        <f t="array" ref="L867">SUM(($J867*EXP(-$H867*12*3600*_xlfn.SEQUENCE(L$1-1))))+$J867</f>
        <v>0</v>
      </c>
      <c r="M867" s="3"/>
      <c r="N867" s="3"/>
    </row>
    <row r="868" spans="2:14" hidden="1" x14ac:dyDescent="0.2">
      <c r="B868" s="3">
        <v>49130</v>
      </c>
      <c r="C868" s="3">
        <v>0</v>
      </c>
      <c r="D868">
        <v>865</v>
      </c>
      <c r="E868" t="str">
        <f>VLOOKUP(B868,Nuclides!A:F,5,FALSE)</f>
        <v>In130</v>
      </c>
      <c r="F868">
        <f>VLOOKUP(B868,Nuclides!A:F,4,FALSE)</f>
        <v>0.28999999999999998</v>
      </c>
      <c r="G868" s="3" t="str">
        <f t="shared" si="68"/>
        <v>0.29s</v>
      </c>
      <c r="H868" s="3">
        <f t="shared" si="69"/>
        <v>2.3901626915860184</v>
      </c>
      <c r="I868" s="3">
        <f t="shared" si="70"/>
        <v>0</v>
      </c>
      <c r="J868" s="3">
        <f t="shared" si="71"/>
        <v>0</v>
      </c>
      <c r="K868" s="3" t="str">
        <f t="shared" si="72"/>
        <v>In130</v>
      </c>
      <c r="L868" s="3" cm="1">
        <f t="array" ref="L868">SUM(($J868*EXP(-$H868*12*3600*_xlfn.SEQUENCE(L$1-1))))+$J868</f>
        <v>0</v>
      </c>
      <c r="M868" s="3"/>
      <c r="N868" s="3"/>
    </row>
    <row r="869" spans="2:14" hidden="1" x14ac:dyDescent="0.2">
      <c r="B869" s="3">
        <v>49131</v>
      </c>
      <c r="C869" s="3">
        <v>0</v>
      </c>
      <c r="D869">
        <v>866</v>
      </c>
      <c r="E869" t="str">
        <f>VLOOKUP(B869,Nuclides!A:F,5,FALSE)</f>
        <v>In131</v>
      </c>
      <c r="F869">
        <f>VLOOKUP(B869,Nuclides!A:F,4,FALSE)</f>
        <v>0.28000000000000003</v>
      </c>
      <c r="G869" s="3" t="str">
        <f t="shared" si="68"/>
        <v>0.28s</v>
      </c>
      <c r="H869" s="3">
        <f t="shared" si="69"/>
        <v>2.4755256448569471</v>
      </c>
      <c r="I869" s="3">
        <f t="shared" si="70"/>
        <v>0</v>
      </c>
      <c r="J869" s="3">
        <f t="shared" si="71"/>
        <v>0</v>
      </c>
      <c r="K869" s="3" t="str">
        <f t="shared" si="72"/>
        <v>In131</v>
      </c>
      <c r="L869" s="3" cm="1">
        <f t="array" ref="L869">SUM(($J869*EXP(-$H869*12*3600*_xlfn.SEQUENCE(L$1-1))))+$J869</f>
        <v>0</v>
      </c>
      <c r="M869" s="3"/>
      <c r="N869" s="3"/>
    </row>
    <row r="870" spans="2:14" hidden="1" x14ac:dyDescent="0.2">
      <c r="B870" s="3">
        <v>49132</v>
      </c>
      <c r="C870" s="3">
        <v>0</v>
      </c>
      <c r="D870">
        <v>867</v>
      </c>
      <c r="E870" t="str">
        <f>VLOOKUP(B870,Nuclides!A:F,5,FALSE)</f>
        <v>In132</v>
      </c>
      <c r="F870">
        <f>VLOOKUP(B870,Nuclides!A:F,4,FALSE)</f>
        <v>0.20699999999999999</v>
      </c>
      <c r="G870" s="3" t="str">
        <f t="shared" si="68"/>
        <v>0.207s</v>
      </c>
      <c r="H870" s="3">
        <f t="shared" si="69"/>
        <v>3.348537104154325</v>
      </c>
      <c r="I870" s="3">
        <f t="shared" si="70"/>
        <v>0</v>
      </c>
      <c r="J870" s="3">
        <f t="shared" si="71"/>
        <v>0</v>
      </c>
      <c r="K870" s="3" t="str">
        <f t="shared" si="72"/>
        <v>In132</v>
      </c>
      <c r="L870" s="3" cm="1">
        <f t="array" ref="L870">SUM(($J870*EXP(-$H870*12*3600*_xlfn.SEQUENCE(L$1-1))))+$J870</f>
        <v>0</v>
      </c>
      <c r="M870" s="3"/>
      <c r="N870" s="3"/>
    </row>
    <row r="871" spans="2:14" hidden="1" x14ac:dyDescent="0.2">
      <c r="B871" s="3">
        <v>50103</v>
      </c>
      <c r="C871" s="3">
        <v>0</v>
      </c>
      <c r="D871">
        <v>868</v>
      </c>
      <c r="E871" t="str">
        <f>VLOOKUP(B871,Nuclides!A:F,5,FALSE)</f>
        <v>Sn103</v>
      </c>
      <c r="F871">
        <f>VLOOKUP(B871,Nuclides!A:F,4,FALSE)</f>
        <v>7</v>
      </c>
      <c r="G871" s="3" t="str">
        <f t="shared" si="68"/>
        <v>7s</v>
      </c>
      <c r="H871" s="3">
        <f t="shared" si="69"/>
        <v>9.9021025794277892E-2</v>
      </c>
      <c r="I871" s="3">
        <f t="shared" si="70"/>
        <v>0</v>
      </c>
      <c r="J871" s="3">
        <f t="shared" si="71"/>
        <v>0</v>
      </c>
      <c r="K871" s="3" t="str">
        <f t="shared" si="72"/>
        <v>Sn103</v>
      </c>
      <c r="L871" s="3" cm="1">
        <f t="array" ref="L871">SUM(($J871*EXP(-$H871*12*3600*_xlfn.SEQUENCE(L$1-1))))+$J871</f>
        <v>0</v>
      </c>
      <c r="M871" s="3"/>
      <c r="N871" s="3"/>
    </row>
    <row r="872" spans="2:14" hidden="1" x14ac:dyDescent="0.2">
      <c r="B872" s="3">
        <v>50104</v>
      </c>
      <c r="C872" s="3">
        <v>0</v>
      </c>
      <c r="D872">
        <v>869</v>
      </c>
      <c r="E872" t="str">
        <f>VLOOKUP(B872,Nuclides!A:F,5,FALSE)</f>
        <v>Sn104</v>
      </c>
      <c r="F872">
        <f>VLOOKUP(B872,Nuclides!A:F,4,FALSE)</f>
        <v>20.8</v>
      </c>
      <c r="G872" s="3" t="str">
        <f t="shared" si="68"/>
        <v>20.8s</v>
      </c>
      <c r="H872" s="3">
        <f t="shared" si="69"/>
        <v>3.3324383680766602E-2</v>
      </c>
      <c r="I872" s="3">
        <f t="shared" si="70"/>
        <v>0</v>
      </c>
      <c r="J872" s="3">
        <f t="shared" si="71"/>
        <v>0</v>
      </c>
      <c r="K872" s="3" t="str">
        <f t="shared" si="72"/>
        <v>Sn104</v>
      </c>
      <c r="L872" s="3" cm="1">
        <f t="array" ref="L872">SUM(($J872*EXP(-$H872*12*3600*_xlfn.SEQUENCE(L$1-1))))+$J872</f>
        <v>0</v>
      </c>
      <c r="M872" s="3"/>
      <c r="N872" s="3"/>
    </row>
    <row r="873" spans="2:14" hidden="1" x14ac:dyDescent="0.2">
      <c r="B873" s="3">
        <v>50105</v>
      </c>
      <c r="C873" s="3">
        <v>0</v>
      </c>
      <c r="D873">
        <v>870</v>
      </c>
      <c r="E873" t="str">
        <f>VLOOKUP(B873,Nuclides!A:F,5,FALSE)</f>
        <v>Sn105</v>
      </c>
      <c r="F873">
        <f>VLOOKUP(B873,Nuclides!A:F,4,FALSE)</f>
        <v>32.700000000000003</v>
      </c>
      <c r="G873" s="3" t="str">
        <f t="shared" si="68"/>
        <v>32.7s</v>
      </c>
      <c r="H873" s="3">
        <f t="shared" si="69"/>
        <v>2.1197161485013615E-2</v>
      </c>
      <c r="I873" s="3">
        <f t="shared" si="70"/>
        <v>0</v>
      </c>
      <c r="J873" s="3">
        <f t="shared" si="71"/>
        <v>0</v>
      </c>
      <c r="K873" s="3" t="str">
        <f t="shared" si="72"/>
        <v>Sn105</v>
      </c>
      <c r="L873" s="3" cm="1">
        <f t="array" ref="L873">SUM(($J873*EXP(-$H873*12*3600*_xlfn.SEQUENCE(L$1-1))))+$J873</f>
        <v>0</v>
      </c>
      <c r="M873" s="3"/>
      <c r="N873" s="3"/>
    </row>
    <row r="874" spans="2:14" hidden="1" x14ac:dyDescent="0.2">
      <c r="B874" s="3">
        <v>50106</v>
      </c>
      <c r="C874" s="3">
        <v>0</v>
      </c>
      <c r="D874">
        <v>871</v>
      </c>
      <c r="E874" t="str">
        <f>VLOOKUP(B874,Nuclides!A:F,5,FALSE)</f>
        <v>Sn106</v>
      </c>
      <c r="F874">
        <f>VLOOKUP(B874,Nuclides!A:F,4,FALSE)</f>
        <v>115</v>
      </c>
      <c r="G874" s="3" t="str">
        <f t="shared" si="68"/>
        <v>1.92min</v>
      </c>
      <c r="H874" s="3">
        <f t="shared" si="69"/>
        <v>6.0273667874777854E-3</v>
      </c>
      <c r="I874" s="3">
        <f t="shared" si="70"/>
        <v>0</v>
      </c>
      <c r="J874" s="3">
        <f t="shared" si="71"/>
        <v>0</v>
      </c>
      <c r="K874" s="3" t="str">
        <f t="shared" si="72"/>
        <v>Sn106</v>
      </c>
      <c r="L874" s="3" cm="1">
        <f t="array" ref="L874">SUM(($J874*EXP(-$H874*12*3600*_xlfn.SEQUENCE(L$1-1))))+$J874</f>
        <v>0</v>
      </c>
      <c r="M874" s="3"/>
      <c r="N874" s="3"/>
    </row>
    <row r="875" spans="2:14" hidden="1" x14ac:dyDescent="0.2">
      <c r="B875" s="3">
        <v>50107</v>
      </c>
      <c r="C875" s="3">
        <v>0</v>
      </c>
      <c r="D875">
        <v>872</v>
      </c>
      <c r="E875" t="str">
        <f>VLOOKUP(B875,Nuclides!A:F,5,FALSE)</f>
        <v>Sn107</v>
      </c>
      <c r="F875">
        <f>VLOOKUP(B875,Nuclides!A:F,4,FALSE)</f>
        <v>174</v>
      </c>
      <c r="G875" s="3" t="str">
        <f t="shared" si="68"/>
        <v>2.9min</v>
      </c>
      <c r="H875" s="3">
        <f t="shared" si="69"/>
        <v>3.9836044859766972E-3</v>
      </c>
      <c r="I875" s="3">
        <f t="shared" si="70"/>
        <v>0</v>
      </c>
      <c r="J875" s="3">
        <f t="shared" si="71"/>
        <v>0</v>
      </c>
      <c r="K875" s="3" t="str">
        <f t="shared" si="72"/>
        <v>Sn107</v>
      </c>
      <c r="L875" s="3" cm="1">
        <f t="array" ref="L875">SUM(($J875*EXP(-$H875*12*3600*_xlfn.SEQUENCE(L$1-1))))+$J875</f>
        <v>0</v>
      </c>
      <c r="M875" s="3"/>
      <c r="N875" s="3"/>
    </row>
    <row r="876" spans="2:14" hidden="1" x14ac:dyDescent="0.2">
      <c r="B876" s="3">
        <v>50108</v>
      </c>
      <c r="C876" s="3">
        <v>0</v>
      </c>
      <c r="D876">
        <v>873</v>
      </c>
      <c r="E876" t="str">
        <f>VLOOKUP(B876,Nuclides!A:F,5,FALSE)</f>
        <v>Sn108</v>
      </c>
      <c r="F876">
        <f>VLOOKUP(B876,Nuclides!A:F,4,FALSE)</f>
        <v>618</v>
      </c>
      <c r="G876" s="3" t="str">
        <f t="shared" si="68"/>
        <v>10.3min</v>
      </c>
      <c r="H876" s="3">
        <f t="shared" si="69"/>
        <v>1.1215973795468371E-3</v>
      </c>
      <c r="I876" s="3">
        <f t="shared" si="70"/>
        <v>0</v>
      </c>
      <c r="J876" s="3">
        <f t="shared" si="71"/>
        <v>0</v>
      </c>
      <c r="K876" s="3" t="str">
        <f t="shared" si="72"/>
        <v>Sn108</v>
      </c>
      <c r="L876" s="3" cm="1">
        <f t="array" ref="L876">SUM(($J876*EXP(-$H876*12*3600*_xlfn.SEQUENCE(L$1-1))))+$J876</f>
        <v>0</v>
      </c>
      <c r="M876" s="3"/>
      <c r="N876" s="3"/>
    </row>
    <row r="877" spans="2:14" hidden="1" x14ac:dyDescent="0.2">
      <c r="B877" s="3">
        <v>50109</v>
      </c>
      <c r="C877" s="3">
        <v>0</v>
      </c>
      <c r="D877">
        <v>874</v>
      </c>
      <c r="E877" t="str">
        <f>VLOOKUP(B877,Nuclides!A:F,5,FALSE)</f>
        <v>Sn109</v>
      </c>
      <c r="F877">
        <f>VLOOKUP(B877,Nuclides!A:F,4,FALSE)</f>
        <v>1080</v>
      </c>
      <c r="G877" s="3" t="str">
        <f t="shared" si="68"/>
        <v>18min</v>
      </c>
      <c r="H877" s="3">
        <f t="shared" si="69"/>
        <v>6.418029449629123E-4</v>
      </c>
      <c r="I877" s="3">
        <f t="shared" si="70"/>
        <v>0</v>
      </c>
      <c r="J877" s="3">
        <f t="shared" si="71"/>
        <v>0</v>
      </c>
      <c r="K877" s="3" t="str">
        <f t="shared" si="72"/>
        <v>Sn109</v>
      </c>
      <c r="L877" s="3" cm="1">
        <f t="array" ref="L877">SUM(($J877*EXP(-$H877*12*3600*_xlfn.SEQUENCE(L$1-1))))+$J877</f>
        <v>0</v>
      </c>
      <c r="M877" s="3"/>
      <c r="N877" s="3"/>
    </row>
    <row r="878" spans="2:14" hidden="1" x14ac:dyDescent="0.2">
      <c r="B878" s="3">
        <v>50110</v>
      </c>
      <c r="C878" s="3">
        <v>0</v>
      </c>
      <c r="D878">
        <v>875</v>
      </c>
      <c r="E878" t="str">
        <f>VLOOKUP(B878,Nuclides!A:F,5,FALSE)</f>
        <v>Sn110</v>
      </c>
      <c r="F878">
        <f>VLOOKUP(B878,Nuclides!A:F,4,FALSE)</f>
        <v>14796</v>
      </c>
      <c r="G878" s="3" t="str">
        <f t="shared" si="68"/>
        <v>4.11h</v>
      </c>
      <c r="H878" s="3">
        <f t="shared" si="69"/>
        <v>4.6846930289263672E-5</v>
      </c>
      <c r="I878" s="3">
        <f t="shared" si="70"/>
        <v>0</v>
      </c>
      <c r="J878" s="3">
        <f t="shared" si="71"/>
        <v>0</v>
      </c>
      <c r="K878" s="3" t="str">
        <f t="shared" si="72"/>
        <v>Sn110</v>
      </c>
      <c r="L878" s="3" cm="1">
        <f t="array" ref="L878">SUM(($J878*EXP(-$H878*12*3600*_xlfn.SEQUENCE(L$1-1))))+$J878</f>
        <v>0</v>
      </c>
      <c r="M878" s="3"/>
      <c r="N878" s="3"/>
    </row>
    <row r="879" spans="2:14" hidden="1" x14ac:dyDescent="0.2">
      <c r="B879" s="3">
        <v>50111</v>
      </c>
      <c r="C879" s="3">
        <v>0</v>
      </c>
      <c r="D879">
        <v>876</v>
      </c>
      <c r="E879" t="str">
        <f>VLOOKUP(B879,Nuclides!A:F,5,FALSE)</f>
        <v>Sn111</v>
      </c>
      <c r="F879">
        <f>VLOOKUP(B879,Nuclides!A:F,4,FALSE)</f>
        <v>2118</v>
      </c>
      <c r="G879" s="3" t="str">
        <f t="shared" si="68"/>
        <v>35.3min</v>
      </c>
      <c r="H879" s="3">
        <f t="shared" si="69"/>
        <v>3.2726495777145672E-4</v>
      </c>
      <c r="I879" s="3">
        <f t="shared" si="70"/>
        <v>0</v>
      </c>
      <c r="J879" s="3">
        <f t="shared" si="71"/>
        <v>0</v>
      </c>
      <c r="K879" s="3" t="str">
        <f t="shared" si="72"/>
        <v>Sn111</v>
      </c>
      <c r="L879" s="3" cm="1">
        <f t="array" ref="L879">SUM(($J879*EXP(-$H879*12*3600*_xlfn.SEQUENCE(L$1-1))))+$J879</f>
        <v>0</v>
      </c>
      <c r="M879" s="3"/>
      <c r="N879" s="3"/>
    </row>
    <row r="880" spans="2:14" hidden="1" x14ac:dyDescent="0.2">
      <c r="B880" s="3">
        <v>50112</v>
      </c>
      <c r="C880" s="3">
        <v>0</v>
      </c>
      <c r="D880">
        <v>877</v>
      </c>
      <c r="E880" t="e">
        <f>VLOOKUP(B880,Nuclides!A:F,5,FALSE)</f>
        <v>#N/A</v>
      </c>
      <c r="F880" t="e">
        <f>VLOOKUP(B880,Nuclides!A:F,4,FALSE)</f>
        <v>#N/A</v>
      </c>
      <c r="G880" s="3" t="e">
        <f t="shared" si="68"/>
        <v>#N/A</v>
      </c>
      <c r="H880" s="3" t="e">
        <f t="shared" si="69"/>
        <v>#N/A</v>
      </c>
      <c r="I880" s="3" t="e">
        <f t="shared" si="70"/>
        <v>#N/A</v>
      </c>
      <c r="J880" s="3" t="e">
        <f t="shared" si="71"/>
        <v>#N/A</v>
      </c>
      <c r="K880" s="3" t="e">
        <f t="shared" si="72"/>
        <v>#N/A</v>
      </c>
      <c r="L880" s="3" t="e" cm="1">
        <f t="array" ref="L880">SUM(($J880*EXP(-$H880*12*3600*_xlfn.SEQUENCE(L$1-1))))+$J880</f>
        <v>#N/A</v>
      </c>
      <c r="M880" s="3"/>
      <c r="N880" s="3"/>
    </row>
    <row r="881" spans="2:14" hidden="1" x14ac:dyDescent="0.2">
      <c r="B881" s="3">
        <v>50113</v>
      </c>
      <c r="C881" s="3">
        <v>0</v>
      </c>
      <c r="D881">
        <v>878</v>
      </c>
      <c r="E881" t="str">
        <f>VLOOKUP(B881,Nuclides!A:F,5,FALSE)</f>
        <v>Sn113</v>
      </c>
      <c r="F881">
        <f>VLOOKUP(B881,Nuclides!A:F,4,FALSE)</f>
        <v>9943776</v>
      </c>
      <c r="G881" s="3" t="str">
        <f t="shared" si="68"/>
        <v>115.09d</v>
      </c>
      <c r="H881" s="3">
        <f t="shared" si="69"/>
        <v>6.9706636649894903E-8</v>
      </c>
      <c r="I881" s="3">
        <f t="shared" si="70"/>
        <v>0</v>
      </c>
      <c r="J881" s="3">
        <f t="shared" si="71"/>
        <v>0</v>
      </c>
      <c r="K881" s="3" t="str">
        <f t="shared" si="72"/>
        <v>Sn113</v>
      </c>
      <c r="L881" s="3" cm="1">
        <f t="array" ref="L881">SUM(($J881*EXP(-$H881*12*3600*_xlfn.SEQUENCE(L$1-1))))+$J881</f>
        <v>0</v>
      </c>
      <c r="M881" s="3"/>
      <c r="N881" s="3"/>
    </row>
    <row r="882" spans="2:14" hidden="1" x14ac:dyDescent="0.2">
      <c r="B882" s="3">
        <v>50114</v>
      </c>
      <c r="C882" s="3">
        <v>0</v>
      </c>
      <c r="D882">
        <v>879</v>
      </c>
      <c r="E882" t="str">
        <f>VLOOKUP(B882,Nuclides!A:F,5,FALSE)</f>
        <v>Sn114</v>
      </c>
      <c r="F882" t="str">
        <f>VLOOKUP(B882,Nuclides!A:F,4,FALSE)</f>
        <v>STABLE</v>
      </c>
      <c r="G882" s="3" t="str">
        <f t="shared" si="68"/>
        <v>STABLE</v>
      </c>
      <c r="H882" s="3" t="e">
        <f t="shared" si="69"/>
        <v>#VALUE!</v>
      </c>
      <c r="I882" s="3" t="e">
        <f t="shared" si="70"/>
        <v>#VALUE!</v>
      </c>
      <c r="J882" s="3" t="e">
        <f t="shared" si="71"/>
        <v>#VALUE!</v>
      </c>
      <c r="K882" s="3" t="str">
        <f t="shared" si="72"/>
        <v>Sn114</v>
      </c>
      <c r="L882" s="3" t="e" cm="1">
        <f t="array" ref="L882">SUM(($J882*EXP(-$H882*12*3600*_xlfn.SEQUENCE(L$1-1))))+$J882</f>
        <v>#VALUE!</v>
      </c>
      <c r="M882" s="3"/>
      <c r="N882" s="3"/>
    </row>
    <row r="883" spans="2:14" hidden="1" x14ac:dyDescent="0.2">
      <c r="B883" s="3">
        <v>50115</v>
      </c>
      <c r="C883" s="3">
        <v>0</v>
      </c>
      <c r="D883">
        <v>880</v>
      </c>
      <c r="E883" t="str">
        <f>VLOOKUP(B883,Nuclides!A:F,5,FALSE)</f>
        <v>Sn115</v>
      </c>
      <c r="F883" t="str">
        <f>VLOOKUP(B883,Nuclides!A:F,4,FALSE)</f>
        <v>STABLE</v>
      </c>
      <c r="G883" s="3" t="str">
        <f t="shared" si="68"/>
        <v>STABLE</v>
      </c>
      <c r="H883" s="3" t="e">
        <f t="shared" si="69"/>
        <v>#VALUE!</v>
      </c>
      <c r="I883" s="3" t="e">
        <f t="shared" si="70"/>
        <v>#VALUE!</v>
      </c>
      <c r="J883" s="3" t="e">
        <f t="shared" si="71"/>
        <v>#VALUE!</v>
      </c>
      <c r="K883" s="3" t="str">
        <f t="shared" si="72"/>
        <v>Sn115</v>
      </c>
      <c r="L883" s="3" t="e" cm="1">
        <f t="array" ref="L883">SUM(($J883*EXP(-$H883*12*3600*_xlfn.SEQUENCE(L$1-1))))+$J883</f>
        <v>#VALUE!</v>
      </c>
      <c r="M883" s="3"/>
      <c r="N883" s="3"/>
    </row>
    <row r="884" spans="2:14" hidden="1" x14ac:dyDescent="0.2">
      <c r="B884" s="3">
        <v>50116</v>
      </c>
      <c r="C884" s="3">
        <v>0</v>
      </c>
      <c r="D884">
        <v>881</v>
      </c>
      <c r="E884" t="str">
        <f>VLOOKUP(B884,Nuclides!A:F,5,FALSE)</f>
        <v>Sn116</v>
      </c>
      <c r="F884" t="str">
        <f>VLOOKUP(B884,Nuclides!A:F,4,FALSE)</f>
        <v>STABLE</v>
      </c>
      <c r="G884" s="3" t="str">
        <f t="shared" si="68"/>
        <v>STABLE</v>
      </c>
      <c r="H884" s="3" t="e">
        <f t="shared" si="69"/>
        <v>#VALUE!</v>
      </c>
      <c r="I884" s="3" t="e">
        <f t="shared" si="70"/>
        <v>#VALUE!</v>
      </c>
      <c r="J884" s="3" t="e">
        <f t="shared" si="71"/>
        <v>#VALUE!</v>
      </c>
      <c r="K884" s="3" t="str">
        <f t="shared" si="72"/>
        <v>Sn116</v>
      </c>
      <c r="L884" s="3" t="e" cm="1">
        <f t="array" ref="L884">SUM(($J884*EXP(-$H884*12*3600*_xlfn.SEQUENCE(L$1-1))))+$J884</f>
        <v>#VALUE!</v>
      </c>
      <c r="M884" s="3"/>
      <c r="N884" s="3"/>
    </row>
    <row r="885" spans="2:14" hidden="1" x14ac:dyDescent="0.2">
      <c r="B885" s="3">
        <v>50117</v>
      </c>
      <c r="C885" s="3">
        <v>0</v>
      </c>
      <c r="D885">
        <v>882</v>
      </c>
      <c r="E885" t="str">
        <f>VLOOKUP(B885,Nuclides!A:F,5,FALSE)</f>
        <v>Sn117</v>
      </c>
      <c r="F885" t="str">
        <f>VLOOKUP(B885,Nuclides!A:F,4,FALSE)</f>
        <v>STABLE</v>
      </c>
      <c r="G885" s="3" t="str">
        <f t="shared" si="68"/>
        <v>STABLE</v>
      </c>
      <c r="H885" s="3" t="e">
        <f t="shared" si="69"/>
        <v>#VALUE!</v>
      </c>
      <c r="I885" s="3" t="e">
        <f t="shared" si="70"/>
        <v>#VALUE!</v>
      </c>
      <c r="J885" s="3" t="e">
        <f t="shared" si="71"/>
        <v>#VALUE!</v>
      </c>
      <c r="K885" s="3" t="str">
        <f t="shared" si="72"/>
        <v>Sn117</v>
      </c>
      <c r="L885" s="3" t="e" cm="1">
        <f t="array" ref="L885">SUM(($J885*EXP(-$H885*12*3600*_xlfn.SEQUENCE(L$1-1))))+$J885</f>
        <v>#VALUE!</v>
      </c>
      <c r="M885" s="3"/>
      <c r="N885" s="3"/>
    </row>
    <row r="886" spans="2:14" hidden="1" x14ac:dyDescent="0.2">
      <c r="B886" s="3">
        <v>50118</v>
      </c>
      <c r="C886" s="3">
        <v>0</v>
      </c>
      <c r="D886">
        <v>883</v>
      </c>
      <c r="E886" t="str">
        <f>VLOOKUP(B886,Nuclides!A:F,5,FALSE)</f>
        <v>Sn118</v>
      </c>
      <c r="F886" t="str">
        <f>VLOOKUP(B886,Nuclides!A:F,4,FALSE)</f>
        <v>STABLE</v>
      </c>
      <c r="G886" s="3" t="str">
        <f t="shared" si="68"/>
        <v>STABLE</v>
      </c>
      <c r="H886" s="3" t="e">
        <f t="shared" si="69"/>
        <v>#VALUE!</v>
      </c>
      <c r="I886" s="3" t="e">
        <f t="shared" si="70"/>
        <v>#VALUE!</v>
      </c>
      <c r="J886" s="3" t="e">
        <f t="shared" si="71"/>
        <v>#VALUE!</v>
      </c>
      <c r="K886" s="3" t="str">
        <f t="shared" si="72"/>
        <v>Sn118</v>
      </c>
      <c r="L886" s="3" t="e" cm="1">
        <f t="array" ref="L886">SUM(($J886*EXP(-$H886*12*3600*_xlfn.SEQUENCE(L$1-1))))+$J886</f>
        <v>#VALUE!</v>
      </c>
      <c r="M886" s="3"/>
      <c r="N886" s="3"/>
    </row>
    <row r="887" spans="2:14" hidden="1" x14ac:dyDescent="0.2">
      <c r="B887" s="3">
        <v>50119</v>
      </c>
      <c r="C887" s="3">
        <v>0</v>
      </c>
      <c r="D887">
        <v>884</v>
      </c>
      <c r="E887" t="str">
        <f>VLOOKUP(B887,Nuclides!A:F,5,FALSE)</f>
        <v>Sn119</v>
      </c>
      <c r="F887" t="str">
        <f>VLOOKUP(B887,Nuclides!A:F,4,FALSE)</f>
        <v>STABLE</v>
      </c>
      <c r="G887" s="3" t="str">
        <f t="shared" si="68"/>
        <v>STABLE</v>
      </c>
      <c r="H887" s="3" t="e">
        <f t="shared" si="69"/>
        <v>#VALUE!</v>
      </c>
      <c r="I887" s="3" t="e">
        <f t="shared" si="70"/>
        <v>#VALUE!</v>
      </c>
      <c r="J887" s="3" t="e">
        <f t="shared" si="71"/>
        <v>#VALUE!</v>
      </c>
      <c r="K887" s="3" t="str">
        <f t="shared" si="72"/>
        <v>Sn119</v>
      </c>
      <c r="L887" s="3" t="e" cm="1">
        <f t="array" ref="L887">SUM(($J887*EXP(-$H887*12*3600*_xlfn.SEQUENCE(L$1-1))))+$J887</f>
        <v>#VALUE!</v>
      </c>
      <c r="M887" s="3"/>
      <c r="N887" s="3"/>
    </row>
    <row r="888" spans="2:14" hidden="1" x14ac:dyDescent="0.2">
      <c r="B888" s="3">
        <v>50120</v>
      </c>
      <c r="C888" s="3">
        <v>0</v>
      </c>
      <c r="D888">
        <v>885</v>
      </c>
      <c r="E888" t="str">
        <f>VLOOKUP(B888,Nuclides!A:F,5,FALSE)</f>
        <v>Sn120</v>
      </c>
      <c r="F888" t="str">
        <f>VLOOKUP(B888,Nuclides!A:F,4,FALSE)</f>
        <v>STABLE</v>
      </c>
      <c r="G888" s="3" t="str">
        <f t="shared" si="68"/>
        <v>STABLE</v>
      </c>
      <c r="H888" s="3" t="e">
        <f t="shared" si="69"/>
        <v>#VALUE!</v>
      </c>
      <c r="I888" s="3" t="e">
        <f t="shared" si="70"/>
        <v>#VALUE!</v>
      </c>
      <c r="J888" s="3" t="e">
        <f t="shared" si="71"/>
        <v>#VALUE!</v>
      </c>
      <c r="K888" s="3" t="str">
        <f t="shared" si="72"/>
        <v>Sn120</v>
      </c>
      <c r="L888" s="3" t="e" cm="1">
        <f t="array" ref="L888">SUM(($J888*EXP(-$H888*12*3600*_xlfn.SEQUENCE(L$1-1))))+$J888</f>
        <v>#VALUE!</v>
      </c>
      <c r="M888" s="3"/>
      <c r="N888" s="3"/>
    </row>
    <row r="889" spans="2:14" hidden="1" x14ac:dyDescent="0.2">
      <c r="B889" s="3">
        <v>50121</v>
      </c>
      <c r="C889" s="3">
        <v>0</v>
      </c>
      <c r="D889">
        <v>886</v>
      </c>
      <c r="E889" t="str">
        <f>VLOOKUP(B889,Nuclides!A:F,5,FALSE)</f>
        <v>Sn121</v>
      </c>
      <c r="F889">
        <f>VLOOKUP(B889,Nuclides!A:F,4,FALSE)</f>
        <v>97308</v>
      </c>
      <c r="G889" s="3" t="str">
        <f t="shared" si="68"/>
        <v>1.13d</v>
      </c>
      <c r="H889" s="3">
        <f t="shared" si="69"/>
        <v>7.1232291338835997E-6</v>
      </c>
      <c r="I889" s="3">
        <f t="shared" si="70"/>
        <v>0</v>
      </c>
      <c r="J889" s="3">
        <f t="shared" si="71"/>
        <v>0</v>
      </c>
      <c r="K889" s="3" t="str">
        <f t="shared" si="72"/>
        <v>Sn121</v>
      </c>
      <c r="L889" s="3" cm="1">
        <f t="array" ref="L889">SUM(($J889*EXP(-$H889*12*3600*_xlfn.SEQUENCE(L$1-1))))+$J889</f>
        <v>0</v>
      </c>
      <c r="M889" s="3"/>
      <c r="N889" s="3"/>
    </row>
    <row r="890" spans="2:14" hidden="1" x14ac:dyDescent="0.2">
      <c r="B890" s="3">
        <v>50122</v>
      </c>
      <c r="C890" s="3">
        <v>0</v>
      </c>
      <c r="D890">
        <v>887</v>
      </c>
      <c r="E890" t="str">
        <f>VLOOKUP(B890,Nuclides!A:F,5,FALSE)</f>
        <v>Sn122</v>
      </c>
      <c r="F890" t="str">
        <f>VLOOKUP(B890,Nuclides!A:F,4,FALSE)</f>
        <v>STABLE</v>
      </c>
      <c r="G890" s="3" t="str">
        <f t="shared" si="68"/>
        <v>STABLE</v>
      </c>
      <c r="H890" s="3" t="e">
        <f t="shared" si="69"/>
        <v>#VALUE!</v>
      </c>
      <c r="I890" s="3" t="e">
        <f t="shared" si="70"/>
        <v>#VALUE!</v>
      </c>
      <c r="J890" s="3" t="e">
        <f t="shared" si="71"/>
        <v>#VALUE!</v>
      </c>
      <c r="K890" s="3" t="str">
        <f t="shared" si="72"/>
        <v>Sn122</v>
      </c>
      <c r="L890" s="3" t="e" cm="1">
        <f t="array" ref="L890">SUM(($J890*EXP(-$H890*12*3600*_xlfn.SEQUENCE(L$1-1))))+$J890</f>
        <v>#VALUE!</v>
      </c>
      <c r="M890" s="3"/>
      <c r="N890" s="3"/>
    </row>
    <row r="891" spans="2:14" hidden="1" x14ac:dyDescent="0.2">
      <c r="B891" s="3">
        <v>50123</v>
      </c>
      <c r="C891" s="3">
        <v>0</v>
      </c>
      <c r="D891">
        <v>888</v>
      </c>
      <c r="E891" t="str">
        <f>VLOOKUP(B891,Nuclides!A:F,5,FALSE)</f>
        <v>Sn123</v>
      </c>
      <c r="F891">
        <f>VLOOKUP(B891,Nuclides!A:F,4,FALSE)</f>
        <v>11162879.999999899</v>
      </c>
      <c r="G891" s="3" t="str">
        <f t="shared" si="68"/>
        <v>129.2d</v>
      </c>
      <c r="H891" s="3">
        <f t="shared" si="69"/>
        <v>6.2093938173656935E-8</v>
      </c>
      <c r="I891" s="3">
        <f t="shared" si="70"/>
        <v>0</v>
      </c>
      <c r="J891" s="3">
        <f t="shared" si="71"/>
        <v>0</v>
      </c>
      <c r="K891" s="3" t="str">
        <f t="shared" si="72"/>
        <v>Sn123</v>
      </c>
      <c r="L891" s="3" cm="1">
        <f t="array" ref="L891">SUM(($J891*EXP(-$H891*12*3600*_xlfn.SEQUENCE(L$1-1))))+$J891</f>
        <v>0</v>
      </c>
      <c r="M891" s="3"/>
      <c r="N891" s="3"/>
    </row>
    <row r="892" spans="2:14" hidden="1" x14ac:dyDescent="0.2">
      <c r="B892" s="3">
        <v>50124</v>
      </c>
      <c r="C892" s="3">
        <v>0</v>
      </c>
      <c r="D892">
        <v>889</v>
      </c>
      <c r="E892" t="str">
        <f>VLOOKUP(B892,Nuclides!A:F,5,FALSE)</f>
        <v>Sn124</v>
      </c>
      <c r="F892">
        <f>VLOOKUP(B892,Nuclides!A:F,4,FALSE)</f>
        <v>3.786912E+28</v>
      </c>
      <c r="G892" s="3" t="str">
        <f t="shared" si="68"/>
        <v>1.20082191780822E+21y</v>
      </c>
      <c r="H892" s="3">
        <f t="shared" si="69"/>
        <v>1.8303757271358439E-29</v>
      </c>
      <c r="I892" s="3">
        <f t="shared" si="70"/>
        <v>0</v>
      </c>
      <c r="J892" s="3">
        <f t="shared" si="71"/>
        <v>0</v>
      </c>
      <c r="K892" s="3" t="str">
        <f t="shared" si="72"/>
        <v>Sn124</v>
      </c>
      <c r="L892" s="3" cm="1">
        <f t="array" ref="L892">SUM(($J892*EXP(-$H892*12*3600*_xlfn.SEQUENCE(L$1-1))))+$J892</f>
        <v>0</v>
      </c>
      <c r="M892" s="3"/>
      <c r="N892" s="3"/>
    </row>
    <row r="893" spans="2:14" hidden="1" x14ac:dyDescent="0.2">
      <c r="B893" s="3">
        <v>50125</v>
      </c>
      <c r="C893" s="3">
        <v>0</v>
      </c>
      <c r="D893">
        <v>890</v>
      </c>
      <c r="E893" t="str">
        <f>VLOOKUP(B893,Nuclides!A:F,5,FALSE)</f>
        <v>Sn125</v>
      </c>
      <c r="F893">
        <f>VLOOKUP(B893,Nuclides!A:F,4,FALSE)</f>
        <v>832896</v>
      </c>
      <c r="G893" s="3" t="str">
        <f t="shared" si="68"/>
        <v>9.64d</v>
      </c>
      <c r="H893" s="3">
        <f t="shared" si="69"/>
        <v>8.3221336224444019E-7</v>
      </c>
      <c r="I893" s="3">
        <f t="shared" si="70"/>
        <v>0</v>
      </c>
      <c r="J893" s="3">
        <f t="shared" si="71"/>
        <v>0</v>
      </c>
      <c r="K893" s="3" t="str">
        <f t="shared" si="72"/>
        <v>Sn125</v>
      </c>
      <c r="L893" s="3" cm="1">
        <f t="array" ref="L893">SUM(($J893*EXP(-$H893*12*3600*_xlfn.SEQUENCE(L$1-1))))+$J893</f>
        <v>0</v>
      </c>
      <c r="M893" s="3"/>
      <c r="N893" s="3"/>
    </row>
    <row r="894" spans="2:14" hidden="1" x14ac:dyDescent="0.2">
      <c r="B894" s="3">
        <v>50126</v>
      </c>
      <c r="C894" s="3">
        <v>0</v>
      </c>
      <c r="D894">
        <v>891</v>
      </c>
      <c r="E894" t="str">
        <f>VLOOKUP(B894,Nuclides!A:F,5,FALSE)</f>
        <v>Sn126</v>
      </c>
      <c r="F894">
        <f>VLOOKUP(B894,Nuclides!A:F,4,FALSE)</f>
        <v>7258248000000</v>
      </c>
      <c r="G894" s="3" t="str">
        <f t="shared" si="68"/>
        <v>230157.53y</v>
      </c>
      <c r="H894" s="3">
        <f t="shared" si="69"/>
        <v>9.5497864024478811E-14</v>
      </c>
      <c r="I894" s="3">
        <f t="shared" si="70"/>
        <v>0</v>
      </c>
      <c r="J894" s="3">
        <f t="shared" si="71"/>
        <v>0</v>
      </c>
      <c r="K894" s="3" t="str">
        <f t="shared" si="72"/>
        <v>Sn126</v>
      </c>
      <c r="L894" s="3" cm="1">
        <f t="array" ref="L894">SUM(($J894*EXP(-$H894*12*3600*_xlfn.SEQUENCE(L$1-1))))+$J894</f>
        <v>0</v>
      </c>
      <c r="M894" s="3"/>
      <c r="N894" s="3"/>
    </row>
    <row r="895" spans="2:14" hidden="1" x14ac:dyDescent="0.2">
      <c r="B895" s="3">
        <v>50127</v>
      </c>
      <c r="C895" s="3">
        <v>0</v>
      </c>
      <c r="D895">
        <v>892</v>
      </c>
      <c r="E895" t="str">
        <f>VLOOKUP(B895,Nuclides!A:F,5,FALSE)</f>
        <v>Sn127</v>
      </c>
      <c r="F895">
        <f>VLOOKUP(B895,Nuclides!A:F,4,FALSE)</f>
        <v>7560</v>
      </c>
      <c r="G895" s="3" t="str">
        <f t="shared" si="68"/>
        <v>2.1h</v>
      </c>
      <c r="H895" s="3">
        <f t="shared" si="69"/>
        <v>9.1686134994701753E-5</v>
      </c>
      <c r="I895" s="3">
        <f t="shared" si="70"/>
        <v>0</v>
      </c>
      <c r="J895" s="3">
        <f t="shared" si="71"/>
        <v>0</v>
      </c>
      <c r="K895" s="3" t="str">
        <f t="shared" si="72"/>
        <v>Sn127</v>
      </c>
      <c r="L895" s="3" cm="1">
        <f t="array" ref="L895">SUM(($J895*EXP(-$H895*12*3600*_xlfn.SEQUENCE(L$1-1))))+$J895</f>
        <v>0</v>
      </c>
      <c r="M895" s="3"/>
      <c r="N895" s="3"/>
    </row>
    <row r="896" spans="2:14" hidden="1" x14ac:dyDescent="0.2">
      <c r="B896" s="3">
        <v>50128</v>
      </c>
      <c r="C896" s="3">
        <v>0</v>
      </c>
      <c r="D896">
        <v>893</v>
      </c>
      <c r="E896" t="str">
        <f>VLOOKUP(B896,Nuclides!A:F,5,FALSE)</f>
        <v>Sn128</v>
      </c>
      <c r="F896">
        <f>VLOOKUP(B896,Nuclides!A:F,4,FALSE)</f>
        <v>3544.2</v>
      </c>
      <c r="G896" s="3" t="str">
        <f t="shared" si="68"/>
        <v>59.07min</v>
      </c>
      <c r="H896" s="3">
        <f t="shared" si="69"/>
        <v>1.9557225341683464E-4</v>
      </c>
      <c r="I896" s="3">
        <f t="shared" si="70"/>
        <v>0</v>
      </c>
      <c r="J896" s="3">
        <f t="shared" si="71"/>
        <v>0</v>
      </c>
      <c r="K896" s="3" t="str">
        <f t="shared" si="72"/>
        <v>Sn128</v>
      </c>
      <c r="L896" s="3" cm="1">
        <f t="array" ref="L896">SUM(($J896*EXP(-$H896*12*3600*_xlfn.SEQUENCE(L$1-1))))+$J896</f>
        <v>0</v>
      </c>
      <c r="M896" s="3"/>
      <c r="N896" s="3"/>
    </row>
    <row r="897" spans="2:14" hidden="1" x14ac:dyDescent="0.2">
      <c r="B897" s="3">
        <v>50129</v>
      </c>
      <c r="C897" s="3">
        <v>0</v>
      </c>
      <c r="D897">
        <v>894</v>
      </c>
      <c r="E897" t="str">
        <f>VLOOKUP(B897,Nuclides!A:F,5,FALSE)</f>
        <v>Sn129</v>
      </c>
      <c r="F897">
        <f>VLOOKUP(B897,Nuclides!A:F,4,FALSE)</f>
        <v>133.80000000000001</v>
      </c>
      <c r="G897" s="3" t="str">
        <f t="shared" si="68"/>
        <v>2.23min</v>
      </c>
      <c r="H897" s="3">
        <f t="shared" si="69"/>
        <v>5.1804722014943587E-3</v>
      </c>
      <c r="I897" s="3">
        <f t="shared" si="70"/>
        <v>0</v>
      </c>
      <c r="J897" s="3">
        <f t="shared" si="71"/>
        <v>0</v>
      </c>
      <c r="K897" s="3" t="str">
        <f t="shared" si="72"/>
        <v>Sn129</v>
      </c>
      <c r="L897" s="3" cm="1">
        <f t="array" ref="L897">SUM(($J897*EXP(-$H897*12*3600*_xlfn.SEQUENCE(L$1-1))))+$J897</f>
        <v>0</v>
      </c>
      <c r="M897" s="3"/>
      <c r="N897" s="3"/>
    </row>
    <row r="898" spans="2:14" hidden="1" x14ac:dyDescent="0.2">
      <c r="B898" s="3">
        <v>50130</v>
      </c>
      <c r="C898" s="3">
        <v>0</v>
      </c>
      <c r="D898">
        <v>895</v>
      </c>
      <c r="E898" t="str">
        <f>VLOOKUP(B898,Nuclides!A:F,5,FALSE)</f>
        <v>Sn130</v>
      </c>
      <c r="F898">
        <f>VLOOKUP(B898,Nuclides!A:F,4,FALSE)</f>
        <v>223.2</v>
      </c>
      <c r="G898" s="3" t="str">
        <f t="shared" si="68"/>
        <v>3.72min</v>
      </c>
      <c r="H898" s="3">
        <f t="shared" si="69"/>
        <v>3.1054981207882856E-3</v>
      </c>
      <c r="I898" s="3">
        <f t="shared" si="70"/>
        <v>0</v>
      </c>
      <c r="J898" s="3">
        <f t="shared" si="71"/>
        <v>0</v>
      </c>
      <c r="K898" s="3" t="str">
        <f t="shared" si="72"/>
        <v>Sn130</v>
      </c>
      <c r="L898" s="3" cm="1">
        <f t="array" ref="L898">SUM(($J898*EXP(-$H898*12*3600*_xlfn.SEQUENCE(L$1-1))))+$J898</f>
        <v>0</v>
      </c>
      <c r="M898" s="3"/>
      <c r="N898" s="3"/>
    </row>
    <row r="899" spans="2:14" hidden="1" x14ac:dyDescent="0.2">
      <c r="B899" s="3">
        <v>50131</v>
      </c>
      <c r="C899" s="3">
        <v>0</v>
      </c>
      <c r="D899">
        <v>896</v>
      </c>
      <c r="E899" t="str">
        <f>VLOOKUP(B899,Nuclides!A:F,5,FALSE)</f>
        <v>Sn131</v>
      </c>
      <c r="F899">
        <f>VLOOKUP(B899,Nuclides!A:F,4,FALSE)</f>
        <v>56</v>
      </c>
      <c r="G899" s="3" t="str">
        <f t="shared" si="68"/>
        <v>56s</v>
      </c>
      <c r="H899" s="3">
        <f t="shared" si="69"/>
        <v>1.2377628224284737E-2</v>
      </c>
      <c r="I899" s="3">
        <f t="shared" si="70"/>
        <v>0</v>
      </c>
      <c r="J899" s="3">
        <f t="shared" si="71"/>
        <v>0</v>
      </c>
      <c r="K899" s="3" t="str">
        <f t="shared" si="72"/>
        <v>Sn131</v>
      </c>
      <c r="L899" s="3" cm="1">
        <f t="array" ref="L899">SUM(($J899*EXP(-$H899*12*3600*_xlfn.SEQUENCE(L$1-1))))+$J899</f>
        <v>0</v>
      </c>
      <c r="M899" s="3"/>
      <c r="N899" s="3"/>
    </row>
    <row r="900" spans="2:14" hidden="1" x14ac:dyDescent="0.2">
      <c r="B900" s="3">
        <v>50132</v>
      </c>
      <c r="C900" s="3">
        <v>0</v>
      </c>
      <c r="D900">
        <v>897</v>
      </c>
      <c r="E900" t="str">
        <f>VLOOKUP(B900,Nuclides!A:F,5,FALSE)</f>
        <v>Sn132</v>
      </c>
      <c r="F900">
        <f>VLOOKUP(B900,Nuclides!A:F,4,FALSE)</f>
        <v>39.700000000000003</v>
      </c>
      <c r="G900" s="3" t="str">
        <f t="shared" ref="G900:G963" si="73">IF(F900="STABLE", "STABLE", IF(F900&lt;60, F900&amp;"s", IF(F900&lt;3600, ROUND(F900/60,2)&amp;"min", IF(F900&lt;86400, ROUND(F900/3600,2)&amp;"h", IF(F900&lt;31536000, ROUND(F900/86400,2)&amp;"d", ROUND(F900/31536000,2)&amp;"y")))))</f>
        <v>39.7s</v>
      </c>
      <c r="H900" s="3">
        <f t="shared" ref="H900:H963" si="74">LN(2)/F900</f>
        <v>1.7459626714356302E-2</v>
      </c>
      <c r="I900" s="3">
        <f t="shared" ref="I900:I963" si="75">100*6240000000000*C900*(1-EXP(-H900*2*3600))</f>
        <v>0</v>
      </c>
      <c r="J900" s="3">
        <f t="shared" ref="J900:J963" si="76">I900*EXP(-H900*10*3600)</f>
        <v>0</v>
      </c>
      <c r="K900" s="3" t="str">
        <f t="shared" ref="K900:K963" si="77">E900</f>
        <v>Sn132</v>
      </c>
      <c r="L900" s="3" cm="1">
        <f t="array" ref="L900">SUM(($J900*EXP(-$H900*12*3600*_xlfn.SEQUENCE(L$1-1))))+$J900</f>
        <v>0</v>
      </c>
      <c r="M900" s="3"/>
      <c r="N900" s="3"/>
    </row>
    <row r="901" spans="2:14" hidden="1" x14ac:dyDescent="0.2">
      <c r="B901" s="3">
        <v>50133</v>
      </c>
      <c r="C901" s="3">
        <v>0</v>
      </c>
      <c r="D901">
        <v>898</v>
      </c>
      <c r="E901" t="str">
        <f>VLOOKUP(B901,Nuclides!A:F,5,FALSE)</f>
        <v>Sn133</v>
      </c>
      <c r="F901">
        <f>VLOOKUP(B901,Nuclides!A:F,4,FALSE)</f>
        <v>1.46</v>
      </c>
      <c r="G901" s="3" t="str">
        <f t="shared" si="73"/>
        <v>1.46s</v>
      </c>
      <c r="H901" s="3">
        <f t="shared" si="74"/>
        <v>0.47475834284927759</v>
      </c>
      <c r="I901" s="3">
        <f t="shared" si="75"/>
        <v>0</v>
      </c>
      <c r="J901" s="3">
        <f t="shared" si="76"/>
        <v>0</v>
      </c>
      <c r="K901" s="3" t="str">
        <f t="shared" si="77"/>
        <v>Sn133</v>
      </c>
      <c r="L901" s="3" cm="1">
        <f t="array" ref="L901">SUM(($J901*EXP(-$H901*12*3600*_xlfn.SEQUENCE(L$1-1))))+$J901</f>
        <v>0</v>
      </c>
      <c r="M901" s="3"/>
      <c r="N901" s="3"/>
    </row>
    <row r="902" spans="2:14" hidden="1" x14ac:dyDescent="0.2">
      <c r="B902" s="3">
        <v>50134</v>
      </c>
      <c r="C902" s="3">
        <v>0</v>
      </c>
      <c r="D902">
        <v>899</v>
      </c>
      <c r="E902" t="str">
        <f>VLOOKUP(B902,Nuclides!A:F,5,FALSE)</f>
        <v>Sn134</v>
      </c>
      <c r="F902">
        <f>VLOOKUP(B902,Nuclides!A:F,4,FALSE)</f>
        <v>1.05</v>
      </c>
      <c r="G902" s="3" t="str">
        <f t="shared" si="73"/>
        <v>1.05s</v>
      </c>
      <c r="H902" s="3">
        <f t="shared" si="74"/>
        <v>0.6601401719618526</v>
      </c>
      <c r="I902" s="3">
        <f t="shared" si="75"/>
        <v>0</v>
      </c>
      <c r="J902" s="3">
        <f t="shared" si="76"/>
        <v>0</v>
      </c>
      <c r="K902" s="3" t="str">
        <f t="shared" si="77"/>
        <v>Sn134</v>
      </c>
      <c r="L902" s="3" cm="1">
        <f t="array" ref="L902">SUM(($J902*EXP(-$H902*12*3600*_xlfn.SEQUENCE(L$1-1))))+$J902</f>
        <v>0</v>
      </c>
      <c r="M902" s="3"/>
      <c r="N902" s="3"/>
    </row>
    <row r="903" spans="2:14" hidden="1" x14ac:dyDescent="0.2">
      <c r="B903" s="3">
        <v>51108</v>
      </c>
      <c r="C903" s="3">
        <v>0</v>
      </c>
      <c r="D903">
        <v>900</v>
      </c>
      <c r="E903" t="str">
        <f>VLOOKUP(B903,Nuclides!A:F,5,FALSE)</f>
        <v>Sb108</v>
      </c>
      <c r="F903">
        <f>VLOOKUP(B903,Nuclides!A:F,4,FALSE)</f>
        <v>7.4</v>
      </c>
      <c r="G903" s="3" t="str">
        <f t="shared" si="73"/>
        <v>7.4s</v>
      </c>
      <c r="H903" s="3">
        <f t="shared" si="74"/>
        <v>9.3668537913506114E-2</v>
      </c>
      <c r="I903" s="3">
        <f t="shared" si="75"/>
        <v>0</v>
      </c>
      <c r="J903" s="3">
        <f t="shared" si="76"/>
        <v>0</v>
      </c>
      <c r="K903" s="3" t="str">
        <f t="shared" si="77"/>
        <v>Sb108</v>
      </c>
      <c r="L903" s="3" cm="1">
        <f t="array" ref="L903">SUM(($J903*EXP(-$H903*12*3600*_xlfn.SEQUENCE(L$1-1))))+$J903</f>
        <v>0</v>
      </c>
      <c r="M903" s="3"/>
      <c r="N903" s="3"/>
    </row>
    <row r="904" spans="2:14" hidden="1" x14ac:dyDescent="0.2">
      <c r="B904" s="3">
        <v>51109</v>
      </c>
      <c r="C904" s="3">
        <v>0</v>
      </c>
      <c r="D904">
        <v>901</v>
      </c>
      <c r="E904" t="str">
        <f>VLOOKUP(B904,Nuclides!A:F,5,FALSE)</f>
        <v>Sb109</v>
      </c>
      <c r="F904">
        <f>VLOOKUP(B904,Nuclides!A:F,4,FALSE)</f>
        <v>17</v>
      </c>
      <c r="G904" s="3" t="str">
        <f t="shared" si="73"/>
        <v>17s</v>
      </c>
      <c r="H904" s="3">
        <f t="shared" si="74"/>
        <v>4.0773363562349722E-2</v>
      </c>
      <c r="I904" s="3">
        <f t="shared" si="75"/>
        <v>0</v>
      </c>
      <c r="J904" s="3">
        <f t="shared" si="76"/>
        <v>0</v>
      </c>
      <c r="K904" s="3" t="str">
        <f t="shared" si="77"/>
        <v>Sb109</v>
      </c>
      <c r="L904" s="3" cm="1">
        <f t="array" ref="L904">SUM(($J904*EXP(-$H904*12*3600*_xlfn.SEQUENCE(L$1-1))))+$J904</f>
        <v>0</v>
      </c>
      <c r="M904" s="3"/>
      <c r="N904" s="3"/>
    </row>
    <row r="905" spans="2:14" hidden="1" x14ac:dyDescent="0.2">
      <c r="B905" s="3">
        <v>51110</v>
      </c>
      <c r="C905" s="3">
        <v>0</v>
      </c>
      <c r="D905">
        <v>902</v>
      </c>
      <c r="E905" t="str">
        <f>VLOOKUP(B905,Nuclides!A:F,5,FALSE)</f>
        <v>Sb110</v>
      </c>
      <c r="F905">
        <f>VLOOKUP(B905,Nuclides!A:F,4,FALSE)</f>
        <v>23</v>
      </c>
      <c r="G905" s="3" t="str">
        <f t="shared" si="73"/>
        <v>23s</v>
      </c>
      <c r="H905" s="3">
        <f t="shared" si="74"/>
        <v>3.0136833937388925E-2</v>
      </c>
      <c r="I905" s="3">
        <f t="shared" si="75"/>
        <v>0</v>
      </c>
      <c r="J905" s="3">
        <f t="shared" si="76"/>
        <v>0</v>
      </c>
      <c r="K905" s="3" t="str">
        <f t="shared" si="77"/>
        <v>Sb110</v>
      </c>
      <c r="L905" s="3" cm="1">
        <f t="array" ref="L905">SUM(($J905*EXP(-$H905*12*3600*_xlfn.SEQUENCE(L$1-1))))+$J905</f>
        <v>0</v>
      </c>
      <c r="M905" s="3"/>
      <c r="N905" s="3"/>
    </row>
    <row r="906" spans="2:14" hidden="1" x14ac:dyDescent="0.2">
      <c r="B906" s="3">
        <v>51111</v>
      </c>
      <c r="C906" s="3">
        <v>0</v>
      </c>
      <c r="D906">
        <v>903</v>
      </c>
      <c r="E906" t="str">
        <f>VLOOKUP(B906,Nuclides!A:F,5,FALSE)</f>
        <v>Sb111</v>
      </c>
      <c r="F906">
        <f>VLOOKUP(B906,Nuclides!A:F,4,FALSE)</f>
        <v>75</v>
      </c>
      <c r="G906" s="3" t="str">
        <f t="shared" si="73"/>
        <v>1.25min</v>
      </c>
      <c r="H906" s="3">
        <f t="shared" si="74"/>
        <v>9.2419624074659371E-3</v>
      </c>
      <c r="I906" s="3">
        <f t="shared" si="75"/>
        <v>0</v>
      </c>
      <c r="J906" s="3">
        <f t="shared" si="76"/>
        <v>0</v>
      </c>
      <c r="K906" s="3" t="str">
        <f t="shared" si="77"/>
        <v>Sb111</v>
      </c>
      <c r="L906" s="3" cm="1">
        <f t="array" ref="L906">SUM(($J906*EXP(-$H906*12*3600*_xlfn.SEQUENCE(L$1-1))))+$J906</f>
        <v>0</v>
      </c>
      <c r="M906" s="3"/>
      <c r="N906" s="3"/>
    </row>
    <row r="907" spans="2:14" hidden="1" x14ac:dyDescent="0.2">
      <c r="B907" s="3">
        <v>51112</v>
      </c>
      <c r="C907" s="3">
        <v>0</v>
      </c>
      <c r="D907">
        <v>904</v>
      </c>
      <c r="E907" t="str">
        <f>VLOOKUP(B907,Nuclides!A:F,5,FALSE)</f>
        <v>Sb112</v>
      </c>
      <c r="F907">
        <f>VLOOKUP(B907,Nuclides!A:F,4,FALSE)</f>
        <v>53.5</v>
      </c>
      <c r="G907" s="3" t="str">
        <f t="shared" si="73"/>
        <v>53.5s</v>
      </c>
      <c r="H907" s="3">
        <f t="shared" si="74"/>
        <v>1.2956022066541034E-2</v>
      </c>
      <c r="I907" s="3">
        <f t="shared" si="75"/>
        <v>0</v>
      </c>
      <c r="J907" s="3">
        <f t="shared" si="76"/>
        <v>0</v>
      </c>
      <c r="K907" s="3" t="str">
        <f t="shared" si="77"/>
        <v>Sb112</v>
      </c>
      <c r="L907" s="3" cm="1">
        <f t="array" ref="L907">SUM(($J907*EXP(-$H907*12*3600*_xlfn.SEQUENCE(L$1-1))))+$J907</f>
        <v>0</v>
      </c>
      <c r="M907" s="3"/>
      <c r="N907" s="3"/>
    </row>
    <row r="908" spans="2:14" hidden="1" x14ac:dyDescent="0.2">
      <c r="B908" s="3">
        <v>51113</v>
      </c>
      <c r="C908" s="3">
        <v>0</v>
      </c>
      <c r="D908">
        <v>905</v>
      </c>
      <c r="E908" t="str">
        <f>VLOOKUP(B908,Nuclides!A:F,5,FALSE)</f>
        <v>Sb113</v>
      </c>
      <c r="F908">
        <f>VLOOKUP(B908,Nuclides!A:F,4,FALSE)</f>
        <v>400.2</v>
      </c>
      <c r="G908" s="3" t="str">
        <f t="shared" si="73"/>
        <v>6.67min</v>
      </c>
      <c r="H908" s="3">
        <f t="shared" si="74"/>
        <v>1.732001950424651E-3</v>
      </c>
      <c r="I908" s="3">
        <f t="shared" si="75"/>
        <v>0</v>
      </c>
      <c r="J908" s="3">
        <f t="shared" si="76"/>
        <v>0</v>
      </c>
      <c r="K908" s="3" t="str">
        <f t="shared" si="77"/>
        <v>Sb113</v>
      </c>
      <c r="L908" s="3" cm="1">
        <f t="array" ref="L908">SUM(($J908*EXP(-$H908*12*3600*_xlfn.SEQUENCE(L$1-1))))+$J908</f>
        <v>0</v>
      </c>
      <c r="M908" s="3"/>
      <c r="N908" s="3"/>
    </row>
    <row r="909" spans="2:14" hidden="1" x14ac:dyDescent="0.2">
      <c r="B909" s="3">
        <v>51114</v>
      </c>
      <c r="C909" s="3">
        <v>0</v>
      </c>
      <c r="D909">
        <v>906</v>
      </c>
      <c r="E909" t="str">
        <f>VLOOKUP(B909,Nuclides!A:F,5,FALSE)</f>
        <v>Sb114</v>
      </c>
      <c r="F909">
        <f>VLOOKUP(B909,Nuclides!A:F,4,FALSE)</f>
        <v>209.4</v>
      </c>
      <c r="G909" s="3" t="str">
        <f t="shared" si="73"/>
        <v>3.49min</v>
      </c>
      <c r="H909" s="3">
        <f t="shared" si="74"/>
        <v>3.3101584553961094E-3</v>
      </c>
      <c r="I909" s="3">
        <f t="shared" si="75"/>
        <v>0</v>
      </c>
      <c r="J909" s="3">
        <f t="shared" si="76"/>
        <v>0</v>
      </c>
      <c r="K909" s="3" t="str">
        <f t="shared" si="77"/>
        <v>Sb114</v>
      </c>
      <c r="L909" s="3" cm="1">
        <f t="array" ref="L909">SUM(($J909*EXP(-$H909*12*3600*_xlfn.SEQUENCE(L$1-1))))+$J909</f>
        <v>0</v>
      </c>
      <c r="M909" s="3"/>
      <c r="N909" s="3"/>
    </row>
    <row r="910" spans="2:14" hidden="1" x14ac:dyDescent="0.2">
      <c r="B910" s="3">
        <v>51115</v>
      </c>
      <c r="C910" s="3">
        <v>0</v>
      </c>
      <c r="D910">
        <v>907</v>
      </c>
      <c r="E910" t="str">
        <f>VLOOKUP(B910,Nuclides!A:F,5,FALSE)</f>
        <v>Sb115</v>
      </c>
      <c r="F910">
        <f>VLOOKUP(B910,Nuclides!A:F,4,FALSE)</f>
        <v>1926</v>
      </c>
      <c r="G910" s="3" t="str">
        <f t="shared" si="73"/>
        <v>32.1min</v>
      </c>
      <c r="H910" s="3">
        <f t="shared" si="74"/>
        <v>3.5988950184836203E-4</v>
      </c>
      <c r="I910" s="3">
        <f t="shared" si="75"/>
        <v>0</v>
      </c>
      <c r="J910" s="3">
        <f t="shared" si="76"/>
        <v>0</v>
      </c>
      <c r="K910" s="3" t="str">
        <f t="shared" si="77"/>
        <v>Sb115</v>
      </c>
      <c r="L910" s="3" cm="1">
        <f t="array" ref="L910">SUM(($J910*EXP(-$H910*12*3600*_xlfn.SEQUENCE(L$1-1))))+$J910</f>
        <v>0</v>
      </c>
      <c r="M910" s="3"/>
      <c r="N910" s="3"/>
    </row>
    <row r="911" spans="2:14" hidden="1" x14ac:dyDescent="0.2">
      <c r="B911" s="3">
        <v>51116</v>
      </c>
      <c r="C911" s="3">
        <v>0</v>
      </c>
      <c r="D911">
        <v>908</v>
      </c>
      <c r="E911" t="str">
        <f>VLOOKUP(B911,Nuclides!A:F,5,FALSE)</f>
        <v>Sb116</v>
      </c>
      <c r="F911">
        <f>VLOOKUP(B911,Nuclides!A:F,4,FALSE)</f>
        <v>948</v>
      </c>
      <c r="G911" s="3" t="str">
        <f t="shared" si="73"/>
        <v>15.8min</v>
      </c>
      <c r="H911" s="3">
        <f t="shared" si="74"/>
        <v>7.311679119830646E-4</v>
      </c>
      <c r="I911" s="3">
        <f t="shared" si="75"/>
        <v>0</v>
      </c>
      <c r="J911" s="3">
        <f t="shared" si="76"/>
        <v>0</v>
      </c>
      <c r="K911" s="3" t="str">
        <f t="shared" si="77"/>
        <v>Sb116</v>
      </c>
      <c r="L911" s="3" cm="1">
        <f t="array" ref="L911">SUM(($J911*EXP(-$H911*12*3600*_xlfn.SEQUENCE(L$1-1))))+$J911</f>
        <v>0</v>
      </c>
      <c r="M911" s="3"/>
      <c r="N911" s="3"/>
    </row>
    <row r="912" spans="2:14" hidden="1" x14ac:dyDescent="0.2">
      <c r="B912" s="3">
        <v>51117</v>
      </c>
      <c r="C912" s="3">
        <v>0</v>
      </c>
      <c r="D912">
        <v>909</v>
      </c>
      <c r="E912" t="str">
        <f>VLOOKUP(B912,Nuclides!A:F,5,FALSE)</f>
        <v>Sb117</v>
      </c>
      <c r="F912">
        <f>VLOOKUP(B912,Nuclides!A:F,4,FALSE)</f>
        <v>10080</v>
      </c>
      <c r="G912" s="3" t="str">
        <f t="shared" si="73"/>
        <v>2.8h</v>
      </c>
      <c r="H912" s="3">
        <f t="shared" si="74"/>
        <v>6.8764601246026322E-5</v>
      </c>
      <c r="I912" s="3">
        <f t="shared" si="75"/>
        <v>0</v>
      </c>
      <c r="J912" s="3">
        <f t="shared" si="76"/>
        <v>0</v>
      </c>
      <c r="K912" s="3" t="str">
        <f t="shared" si="77"/>
        <v>Sb117</v>
      </c>
      <c r="L912" s="3" cm="1">
        <f t="array" ref="L912">SUM(($J912*EXP(-$H912*12*3600*_xlfn.SEQUENCE(L$1-1))))+$J912</f>
        <v>0</v>
      </c>
      <c r="M912" s="3"/>
      <c r="N912" s="3"/>
    </row>
    <row r="913" spans="2:14" hidden="1" x14ac:dyDescent="0.2">
      <c r="B913" s="3">
        <v>51118</v>
      </c>
      <c r="C913" s="3">
        <v>0</v>
      </c>
      <c r="D913">
        <v>910</v>
      </c>
      <c r="E913" t="str">
        <f>VLOOKUP(B913,Nuclides!A:F,5,FALSE)</f>
        <v>Sb118</v>
      </c>
      <c r="F913">
        <f>VLOOKUP(B913,Nuclides!A:F,4,FALSE)</f>
        <v>216</v>
      </c>
      <c r="G913" s="3" t="str">
        <f t="shared" si="73"/>
        <v>3.6min</v>
      </c>
      <c r="H913" s="3">
        <f t="shared" si="74"/>
        <v>3.2090147248145617E-3</v>
      </c>
      <c r="I913" s="3">
        <f t="shared" si="75"/>
        <v>0</v>
      </c>
      <c r="J913" s="3">
        <f t="shared" si="76"/>
        <v>0</v>
      </c>
      <c r="K913" s="3" t="str">
        <f t="shared" si="77"/>
        <v>Sb118</v>
      </c>
      <c r="L913" s="3" cm="1">
        <f t="array" ref="L913">SUM(($J913*EXP(-$H913*12*3600*_xlfn.SEQUENCE(L$1-1))))+$J913</f>
        <v>0</v>
      </c>
      <c r="M913" s="3"/>
      <c r="N913" s="3"/>
    </row>
    <row r="914" spans="2:14" hidden="1" x14ac:dyDescent="0.2">
      <c r="B914" s="3">
        <v>51119</v>
      </c>
      <c r="C914" s="3">
        <v>0</v>
      </c>
      <c r="D914">
        <v>911</v>
      </c>
      <c r="E914" t="str">
        <f>VLOOKUP(B914,Nuclides!A:F,5,FALSE)</f>
        <v>Sb119</v>
      </c>
      <c r="F914">
        <f>VLOOKUP(B914,Nuclides!A:F,4,FALSE)</f>
        <v>137484</v>
      </c>
      <c r="G914" s="3" t="str">
        <f t="shared" si="73"/>
        <v>1.59d</v>
      </c>
      <c r="H914" s="3">
        <f t="shared" si="74"/>
        <v>5.0416570696222494E-6</v>
      </c>
      <c r="I914" s="3">
        <f t="shared" si="75"/>
        <v>0</v>
      </c>
      <c r="J914" s="3">
        <f t="shared" si="76"/>
        <v>0</v>
      </c>
      <c r="K914" s="3" t="str">
        <f t="shared" si="77"/>
        <v>Sb119</v>
      </c>
      <c r="L914" s="3" cm="1">
        <f t="array" ref="L914">SUM(($J914*EXP(-$H914*12*3600*_xlfn.SEQUENCE(L$1-1))))+$J914</f>
        <v>0</v>
      </c>
      <c r="M914" s="3"/>
      <c r="N914" s="3"/>
    </row>
    <row r="915" spans="2:14" hidden="1" x14ac:dyDescent="0.2">
      <c r="B915" s="3">
        <v>51120</v>
      </c>
      <c r="C915" s="3">
        <v>0</v>
      </c>
      <c r="D915">
        <v>912</v>
      </c>
      <c r="E915" t="str">
        <f>VLOOKUP(B915,Nuclides!A:F,5,FALSE)</f>
        <v>Sb120</v>
      </c>
      <c r="F915">
        <f>VLOOKUP(B915,Nuclides!A:F,4,FALSE)</f>
        <v>953.4</v>
      </c>
      <c r="G915" s="3" t="str">
        <f t="shared" si="73"/>
        <v>15.89min</v>
      </c>
      <c r="H915" s="3">
        <f t="shared" si="74"/>
        <v>7.2702662110336197E-4</v>
      </c>
      <c r="I915" s="3">
        <f t="shared" si="75"/>
        <v>0</v>
      </c>
      <c r="J915" s="3">
        <f t="shared" si="76"/>
        <v>0</v>
      </c>
      <c r="K915" s="3" t="str">
        <f t="shared" si="77"/>
        <v>Sb120</v>
      </c>
      <c r="L915" s="3" cm="1">
        <f t="array" ref="L915">SUM(($J915*EXP(-$H915*12*3600*_xlfn.SEQUENCE(L$1-1))))+$J915</f>
        <v>0</v>
      </c>
      <c r="M915" s="3"/>
      <c r="N915" s="3"/>
    </row>
    <row r="916" spans="2:14" hidden="1" x14ac:dyDescent="0.2">
      <c r="B916" s="3">
        <v>51121</v>
      </c>
      <c r="C916" s="3">
        <v>0</v>
      </c>
      <c r="D916">
        <v>913</v>
      </c>
      <c r="E916" t="str">
        <f>VLOOKUP(B916,Nuclides!A:F,5,FALSE)</f>
        <v>Sb121</v>
      </c>
      <c r="F916" t="str">
        <f>VLOOKUP(B916,Nuclides!A:F,4,FALSE)</f>
        <v>STABLE</v>
      </c>
      <c r="G916" s="3" t="str">
        <f t="shared" si="73"/>
        <v>STABLE</v>
      </c>
      <c r="H916" s="3" t="e">
        <f t="shared" si="74"/>
        <v>#VALUE!</v>
      </c>
      <c r="I916" s="3" t="e">
        <f t="shared" si="75"/>
        <v>#VALUE!</v>
      </c>
      <c r="J916" s="3" t="e">
        <f t="shared" si="76"/>
        <v>#VALUE!</v>
      </c>
      <c r="K916" s="3" t="str">
        <f t="shared" si="77"/>
        <v>Sb121</v>
      </c>
      <c r="L916" s="3" t="e" cm="1">
        <f t="array" ref="L916">SUM(($J916*EXP(-$H916*12*3600*_xlfn.SEQUENCE(L$1-1))))+$J916</f>
        <v>#VALUE!</v>
      </c>
      <c r="M916" s="3"/>
      <c r="N916" s="3"/>
    </row>
    <row r="917" spans="2:14" hidden="1" x14ac:dyDescent="0.2">
      <c r="B917" s="3">
        <v>51122</v>
      </c>
      <c r="C917" s="3">
        <v>0</v>
      </c>
      <c r="D917">
        <v>914</v>
      </c>
      <c r="E917" t="str">
        <f>VLOOKUP(B917,Nuclides!A:F,5,FALSE)</f>
        <v>Sb122</v>
      </c>
      <c r="F917">
        <f>VLOOKUP(B917,Nuclides!A:F,4,FALSE)</f>
        <v>235336.32000000001</v>
      </c>
      <c r="G917" s="3" t="str">
        <f t="shared" si="73"/>
        <v>2.72d</v>
      </c>
      <c r="H917" s="3">
        <f t="shared" si="74"/>
        <v>2.9453472398988192E-6</v>
      </c>
      <c r="I917" s="3">
        <f t="shared" si="75"/>
        <v>0</v>
      </c>
      <c r="J917" s="3">
        <f t="shared" si="76"/>
        <v>0</v>
      </c>
      <c r="K917" s="3" t="str">
        <f t="shared" si="77"/>
        <v>Sb122</v>
      </c>
      <c r="L917" s="3" cm="1">
        <f t="array" ref="L917">SUM(($J917*EXP(-$H917*12*3600*_xlfn.SEQUENCE(L$1-1))))+$J917</f>
        <v>0</v>
      </c>
      <c r="M917" s="3"/>
      <c r="N917" s="3"/>
    </row>
    <row r="918" spans="2:14" hidden="1" x14ac:dyDescent="0.2">
      <c r="B918" s="3">
        <v>51123</v>
      </c>
      <c r="C918" s="3">
        <v>0</v>
      </c>
      <c r="D918">
        <v>915</v>
      </c>
      <c r="E918" t="str">
        <f>VLOOKUP(B918,Nuclides!A:F,5,FALSE)</f>
        <v>Sb123</v>
      </c>
      <c r="F918" t="str">
        <f>VLOOKUP(B918,Nuclides!A:F,4,FALSE)</f>
        <v>STABLE</v>
      </c>
      <c r="G918" s="3" t="str">
        <f t="shared" si="73"/>
        <v>STABLE</v>
      </c>
      <c r="H918" s="3" t="e">
        <f t="shared" si="74"/>
        <v>#VALUE!</v>
      </c>
      <c r="I918" s="3" t="e">
        <f t="shared" si="75"/>
        <v>#VALUE!</v>
      </c>
      <c r="J918" s="3" t="e">
        <f t="shared" si="76"/>
        <v>#VALUE!</v>
      </c>
      <c r="K918" s="3" t="str">
        <f t="shared" si="77"/>
        <v>Sb123</v>
      </c>
      <c r="L918" s="3" t="e" cm="1">
        <f t="array" ref="L918">SUM(($J918*EXP(-$H918*12*3600*_xlfn.SEQUENCE(L$1-1))))+$J918</f>
        <v>#VALUE!</v>
      </c>
      <c r="M918" s="3"/>
      <c r="N918" s="3"/>
    </row>
    <row r="919" spans="2:14" hidden="1" x14ac:dyDescent="0.2">
      <c r="B919" s="3">
        <v>51124</v>
      </c>
      <c r="C919" s="3">
        <v>0</v>
      </c>
      <c r="D919">
        <v>916</v>
      </c>
      <c r="E919" t="str">
        <f>VLOOKUP(B919,Nuclides!A:F,5,FALSE)</f>
        <v>Sb124</v>
      </c>
      <c r="F919">
        <f>VLOOKUP(B919,Nuclides!A:F,4,FALSE)</f>
        <v>5201280</v>
      </c>
      <c r="G919" s="3" t="str">
        <f t="shared" si="73"/>
        <v>60.2d</v>
      </c>
      <c r="H919" s="3">
        <f t="shared" si="74"/>
        <v>1.3326473109695023E-7</v>
      </c>
      <c r="I919" s="3">
        <f t="shared" si="75"/>
        <v>0</v>
      </c>
      <c r="J919" s="3">
        <f t="shared" si="76"/>
        <v>0</v>
      </c>
      <c r="K919" s="3" t="str">
        <f t="shared" si="77"/>
        <v>Sb124</v>
      </c>
      <c r="L919" s="3" cm="1">
        <f t="array" ref="L919">SUM(($J919*EXP(-$H919*12*3600*_xlfn.SEQUENCE(L$1-1))))+$J919</f>
        <v>0</v>
      </c>
      <c r="M919" s="3"/>
      <c r="N919" s="3"/>
    </row>
    <row r="920" spans="2:14" hidden="1" x14ac:dyDescent="0.2">
      <c r="B920" s="3">
        <v>51125</v>
      </c>
      <c r="C920" s="3">
        <v>0</v>
      </c>
      <c r="D920">
        <v>917</v>
      </c>
      <c r="E920" t="str">
        <f>VLOOKUP(B920,Nuclides!A:F,5,FALSE)</f>
        <v>Sb125</v>
      </c>
      <c r="F920">
        <f>VLOOKUP(B920,Nuclides!A:F,4,FALSE)</f>
        <v>87053533.055999994</v>
      </c>
      <c r="G920" s="3" t="str">
        <f t="shared" si="73"/>
        <v>2.76y</v>
      </c>
      <c r="H920" s="3">
        <f t="shared" si="74"/>
        <v>7.9623095838517667E-9</v>
      </c>
      <c r="I920" s="3">
        <f t="shared" si="75"/>
        <v>0</v>
      </c>
      <c r="J920" s="3">
        <f t="shared" si="76"/>
        <v>0</v>
      </c>
      <c r="K920" s="3" t="str">
        <f t="shared" si="77"/>
        <v>Sb125</v>
      </c>
      <c r="L920" s="3" cm="1">
        <f t="array" ref="L920">SUM(($J920*EXP(-$H920*12*3600*_xlfn.SEQUENCE(L$1-1))))+$J920</f>
        <v>0</v>
      </c>
      <c r="M920" s="3"/>
      <c r="N920" s="3"/>
    </row>
    <row r="921" spans="2:14" hidden="1" x14ac:dyDescent="0.2">
      <c r="B921" s="3">
        <v>51126</v>
      </c>
      <c r="C921" s="3">
        <v>0</v>
      </c>
      <c r="D921">
        <v>918</v>
      </c>
      <c r="E921" t="str">
        <f>VLOOKUP(B921,Nuclides!A:F,5,FALSE)</f>
        <v>Sb126</v>
      </c>
      <c r="F921">
        <f>VLOOKUP(B921,Nuclides!A:F,4,FALSE)</f>
        <v>1067040</v>
      </c>
      <c r="G921" s="3" t="str">
        <f t="shared" si="73"/>
        <v>12.35d</v>
      </c>
      <c r="H921" s="3">
        <f t="shared" si="74"/>
        <v>6.4959812243209751E-7</v>
      </c>
      <c r="I921" s="3">
        <f t="shared" si="75"/>
        <v>0</v>
      </c>
      <c r="J921" s="3">
        <f t="shared" si="76"/>
        <v>0</v>
      </c>
      <c r="K921" s="3" t="str">
        <f t="shared" si="77"/>
        <v>Sb126</v>
      </c>
      <c r="L921" s="3" cm="1">
        <f t="array" ref="L921">SUM(($J921*EXP(-$H921*12*3600*_xlfn.SEQUENCE(L$1-1))))+$J921</f>
        <v>0</v>
      </c>
      <c r="M921" s="3"/>
      <c r="N921" s="3"/>
    </row>
    <row r="922" spans="2:14" hidden="1" x14ac:dyDescent="0.2">
      <c r="B922" s="3">
        <v>51127</v>
      </c>
      <c r="C922" s="3">
        <v>0</v>
      </c>
      <c r="D922">
        <v>919</v>
      </c>
      <c r="E922" t="str">
        <f>VLOOKUP(B922,Nuclides!A:F,5,FALSE)</f>
        <v>Sb127</v>
      </c>
      <c r="F922">
        <f>VLOOKUP(B922,Nuclides!A:F,4,FALSE)</f>
        <v>332640</v>
      </c>
      <c r="G922" s="3" t="str">
        <f t="shared" si="73"/>
        <v>3.85d</v>
      </c>
      <c r="H922" s="3">
        <f t="shared" si="74"/>
        <v>2.083775795334131E-6</v>
      </c>
      <c r="I922" s="3">
        <f t="shared" si="75"/>
        <v>0</v>
      </c>
      <c r="J922" s="3">
        <f t="shared" si="76"/>
        <v>0</v>
      </c>
      <c r="K922" s="3" t="str">
        <f t="shared" si="77"/>
        <v>Sb127</v>
      </c>
      <c r="L922" s="3" cm="1">
        <f t="array" ref="L922">SUM(($J922*EXP(-$H922*12*3600*_xlfn.SEQUENCE(L$1-1))))+$J922</f>
        <v>0</v>
      </c>
      <c r="M922" s="3"/>
      <c r="N922" s="3"/>
    </row>
    <row r="923" spans="2:14" hidden="1" x14ac:dyDescent="0.2">
      <c r="B923" s="3">
        <v>51128</v>
      </c>
      <c r="C923" s="3">
        <v>0</v>
      </c>
      <c r="D923">
        <v>920</v>
      </c>
      <c r="E923" t="str">
        <f>VLOOKUP(B923,Nuclides!A:F,5,FALSE)</f>
        <v>Sb128</v>
      </c>
      <c r="F923">
        <f>VLOOKUP(B923,Nuclides!A:F,4,FALSE)</f>
        <v>32580</v>
      </c>
      <c r="G923" s="3" t="str">
        <f t="shared" si="73"/>
        <v>9.05h</v>
      </c>
      <c r="H923" s="3">
        <f t="shared" si="74"/>
        <v>2.1275235744626926E-5</v>
      </c>
      <c r="I923" s="3">
        <f t="shared" si="75"/>
        <v>0</v>
      </c>
      <c r="J923" s="3">
        <f t="shared" si="76"/>
        <v>0</v>
      </c>
      <c r="K923" s="3" t="str">
        <f t="shared" si="77"/>
        <v>Sb128</v>
      </c>
      <c r="L923" s="3" cm="1">
        <f t="array" ref="L923">SUM(($J923*EXP(-$H923*12*3600*_xlfn.SEQUENCE(L$1-1))))+$J923</f>
        <v>0</v>
      </c>
      <c r="M923" s="3"/>
      <c r="N923" s="3"/>
    </row>
    <row r="924" spans="2:14" hidden="1" x14ac:dyDescent="0.2">
      <c r="B924" s="3">
        <v>51129</v>
      </c>
      <c r="C924" s="3">
        <v>0</v>
      </c>
      <c r="D924">
        <v>921</v>
      </c>
      <c r="E924" t="str">
        <f>VLOOKUP(B924,Nuclides!A:F,5,FALSE)</f>
        <v>Sb129</v>
      </c>
      <c r="F924">
        <f>VLOOKUP(B924,Nuclides!A:F,4,FALSE)</f>
        <v>15717.5999999999</v>
      </c>
      <c r="G924" s="3" t="str">
        <f t="shared" si="73"/>
        <v>4.37h</v>
      </c>
      <c r="H924" s="3">
        <f t="shared" si="74"/>
        <v>4.4100064931029528E-5</v>
      </c>
      <c r="I924" s="3">
        <f t="shared" si="75"/>
        <v>0</v>
      </c>
      <c r="J924" s="3">
        <f t="shared" si="76"/>
        <v>0</v>
      </c>
      <c r="K924" s="3" t="str">
        <f t="shared" si="77"/>
        <v>Sb129</v>
      </c>
      <c r="L924" s="3" cm="1">
        <f t="array" ref="L924">SUM(($J924*EXP(-$H924*12*3600*_xlfn.SEQUENCE(L$1-1))))+$J924</f>
        <v>0</v>
      </c>
      <c r="M924" s="3"/>
      <c r="N924" s="3"/>
    </row>
    <row r="925" spans="2:14" hidden="1" x14ac:dyDescent="0.2">
      <c r="B925" s="3">
        <v>51130</v>
      </c>
      <c r="C925" s="3">
        <v>0</v>
      </c>
      <c r="D925">
        <v>922</v>
      </c>
      <c r="E925" t="str">
        <f>VLOOKUP(B925,Nuclides!A:F,5,FALSE)</f>
        <v>Sb130</v>
      </c>
      <c r="F925">
        <f>VLOOKUP(B925,Nuclides!A:F,4,FALSE)</f>
        <v>2370</v>
      </c>
      <c r="G925" s="3" t="str">
        <f t="shared" si="73"/>
        <v>39.5min</v>
      </c>
      <c r="H925" s="3">
        <f t="shared" si="74"/>
        <v>2.9246716479322586E-4</v>
      </c>
      <c r="I925" s="3">
        <f t="shared" si="75"/>
        <v>0</v>
      </c>
      <c r="J925" s="3">
        <f t="shared" si="76"/>
        <v>0</v>
      </c>
      <c r="K925" s="3" t="str">
        <f t="shared" si="77"/>
        <v>Sb130</v>
      </c>
      <c r="L925" s="3" cm="1">
        <f t="array" ref="L925">SUM(($J925*EXP(-$H925*12*3600*_xlfn.SEQUENCE(L$1-1))))+$J925</f>
        <v>0</v>
      </c>
      <c r="M925" s="3"/>
      <c r="N925" s="3"/>
    </row>
    <row r="926" spans="2:14" hidden="1" x14ac:dyDescent="0.2">
      <c r="B926" s="3">
        <v>51131</v>
      </c>
      <c r="C926" s="3">
        <v>0</v>
      </c>
      <c r="D926">
        <v>923</v>
      </c>
      <c r="E926" t="str">
        <f>VLOOKUP(B926,Nuclides!A:F,5,FALSE)</f>
        <v>Sb131</v>
      </c>
      <c r="F926">
        <f>VLOOKUP(B926,Nuclides!A:F,4,FALSE)</f>
        <v>1381.8</v>
      </c>
      <c r="G926" s="3" t="str">
        <f t="shared" si="73"/>
        <v>23.03min</v>
      </c>
      <c r="H926" s="3">
        <f t="shared" si="74"/>
        <v>5.0162627048773E-4</v>
      </c>
      <c r="I926" s="3">
        <f t="shared" si="75"/>
        <v>0</v>
      </c>
      <c r="J926" s="3">
        <f t="shared" si="76"/>
        <v>0</v>
      </c>
      <c r="K926" s="3" t="str">
        <f t="shared" si="77"/>
        <v>Sb131</v>
      </c>
      <c r="L926" s="3" cm="1">
        <f t="array" ref="L926">SUM(($J926*EXP(-$H926*12*3600*_xlfn.SEQUENCE(L$1-1))))+$J926</f>
        <v>0</v>
      </c>
      <c r="M926" s="3"/>
      <c r="N926" s="3"/>
    </row>
    <row r="927" spans="2:14" hidden="1" x14ac:dyDescent="0.2">
      <c r="B927" s="3">
        <v>51132</v>
      </c>
      <c r="C927" s="3">
        <v>0</v>
      </c>
      <c r="D927">
        <v>924</v>
      </c>
      <c r="E927" t="str">
        <f>VLOOKUP(B927,Nuclides!A:F,5,FALSE)</f>
        <v>Sb132</v>
      </c>
      <c r="F927">
        <f>VLOOKUP(B927,Nuclides!A:F,4,FALSE)</f>
        <v>167.4</v>
      </c>
      <c r="G927" s="3" t="str">
        <f t="shared" si="73"/>
        <v>2.79min</v>
      </c>
      <c r="H927" s="3">
        <f t="shared" si="74"/>
        <v>4.1406641610510471E-3</v>
      </c>
      <c r="I927" s="3">
        <f t="shared" si="75"/>
        <v>0</v>
      </c>
      <c r="J927" s="3">
        <f t="shared" si="76"/>
        <v>0</v>
      </c>
      <c r="K927" s="3" t="str">
        <f t="shared" si="77"/>
        <v>Sb132</v>
      </c>
      <c r="L927" s="3" cm="1">
        <f t="array" ref="L927">SUM(($J927*EXP(-$H927*12*3600*_xlfn.SEQUENCE(L$1-1))))+$J927</f>
        <v>0</v>
      </c>
      <c r="M927" s="3"/>
      <c r="N927" s="3"/>
    </row>
    <row r="928" spans="2:14" hidden="1" x14ac:dyDescent="0.2">
      <c r="B928" s="3">
        <v>51133</v>
      </c>
      <c r="C928" s="3">
        <v>0</v>
      </c>
      <c r="D928">
        <v>925</v>
      </c>
      <c r="E928" t="str">
        <f>VLOOKUP(B928,Nuclides!A:F,5,FALSE)</f>
        <v>Sb133</v>
      </c>
      <c r="F928">
        <f>VLOOKUP(B928,Nuclides!A:F,4,FALSE)</f>
        <v>140.39999999999901</v>
      </c>
      <c r="G928" s="3" t="str">
        <f t="shared" si="73"/>
        <v>2.34min</v>
      </c>
      <c r="H928" s="3">
        <f t="shared" si="74"/>
        <v>4.9369457304839753E-3</v>
      </c>
      <c r="I928" s="3">
        <f t="shared" si="75"/>
        <v>0</v>
      </c>
      <c r="J928" s="3">
        <f t="shared" si="76"/>
        <v>0</v>
      </c>
      <c r="K928" s="3" t="str">
        <f t="shared" si="77"/>
        <v>Sb133</v>
      </c>
      <c r="L928" s="3" cm="1">
        <f t="array" ref="L928">SUM(($J928*EXP(-$H928*12*3600*_xlfn.SEQUENCE(L$1-1))))+$J928</f>
        <v>0</v>
      </c>
      <c r="M928" s="3"/>
      <c r="N928" s="3"/>
    </row>
    <row r="929" spans="2:14" hidden="1" x14ac:dyDescent="0.2">
      <c r="B929" s="3">
        <v>51134</v>
      </c>
      <c r="C929" s="3">
        <v>0</v>
      </c>
      <c r="D929">
        <v>926</v>
      </c>
      <c r="E929" t="str">
        <f>VLOOKUP(B929,Nuclides!A:F,5,FALSE)</f>
        <v>Sb134</v>
      </c>
      <c r="F929">
        <f>VLOOKUP(B929,Nuclides!A:F,4,FALSE)</f>
        <v>0.78</v>
      </c>
      <c r="G929" s="3" t="str">
        <f t="shared" si="73"/>
        <v>0.78s</v>
      </c>
      <c r="H929" s="3">
        <f t="shared" si="74"/>
        <v>0.88865023148710931</v>
      </c>
      <c r="I929" s="3">
        <f t="shared" si="75"/>
        <v>0</v>
      </c>
      <c r="J929" s="3">
        <f t="shared" si="76"/>
        <v>0</v>
      </c>
      <c r="K929" s="3" t="str">
        <f t="shared" si="77"/>
        <v>Sb134</v>
      </c>
      <c r="L929" s="3" cm="1">
        <f t="array" ref="L929">SUM(($J929*EXP(-$H929*12*3600*_xlfn.SEQUENCE(L$1-1))))+$J929</f>
        <v>0</v>
      </c>
      <c r="M929" s="3"/>
      <c r="N929" s="3"/>
    </row>
    <row r="930" spans="2:14" hidden="1" x14ac:dyDescent="0.2">
      <c r="B930" s="3">
        <v>51135</v>
      </c>
      <c r="C930" s="3">
        <v>0</v>
      </c>
      <c r="D930">
        <v>927</v>
      </c>
      <c r="E930" t="str">
        <f>VLOOKUP(B930,Nuclides!A:F,5,FALSE)</f>
        <v>Sb135</v>
      </c>
      <c r="F930">
        <f>VLOOKUP(B930,Nuclides!A:F,4,FALSE)</f>
        <v>1.679</v>
      </c>
      <c r="G930" s="3" t="str">
        <f t="shared" si="73"/>
        <v>1.679s</v>
      </c>
      <c r="H930" s="3">
        <f t="shared" si="74"/>
        <v>0.41283334160806745</v>
      </c>
      <c r="I930" s="3">
        <f t="shared" si="75"/>
        <v>0</v>
      </c>
      <c r="J930" s="3">
        <f t="shared" si="76"/>
        <v>0</v>
      </c>
      <c r="K930" s="3" t="str">
        <f t="shared" si="77"/>
        <v>Sb135</v>
      </c>
      <c r="L930" s="3" cm="1">
        <f t="array" ref="L930">SUM(($J930*EXP(-$H930*12*3600*_xlfn.SEQUENCE(L$1-1))))+$J930</f>
        <v>0</v>
      </c>
      <c r="M930" s="3"/>
      <c r="N930" s="3"/>
    </row>
    <row r="931" spans="2:14" hidden="1" x14ac:dyDescent="0.2">
      <c r="B931" s="3">
        <v>51136</v>
      </c>
      <c r="C931" s="3">
        <v>0</v>
      </c>
      <c r="D931">
        <v>928</v>
      </c>
      <c r="E931" t="str">
        <f>VLOOKUP(B931,Nuclides!A:F,5,FALSE)</f>
        <v>Sb136</v>
      </c>
      <c r="F931">
        <f>VLOOKUP(B931,Nuclides!A:F,4,FALSE)</f>
        <v>0.92300000000000004</v>
      </c>
      <c r="G931" s="3" t="str">
        <f t="shared" si="73"/>
        <v>0.923s</v>
      </c>
      <c r="H931" s="3">
        <f t="shared" si="74"/>
        <v>0.75097202660882478</v>
      </c>
      <c r="I931" s="3">
        <f t="shared" si="75"/>
        <v>0</v>
      </c>
      <c r="J931" s="3">
        <f t="shared" si="76"/>
        <v>0</v>
      </c>
      <c r="K931" s="3" t="str">
        <f t="shared" si="77"/>
        <v>Sb136</v>
      </c>
      <c r="L931" s="3" cm="1">
        <f t="array" ref="L931">SUM(($J931*EXP(-$H931*12*3600*_xlfn.SEQUENCE(L$1-1))))+$J931</f>
        <v>0</v>
      </c>
      <c r="M931" s="3"/>
      <c r="N931" s="3"/>
    </row>
    <row r="932" spans="2:14" hidden="1" x14ac:dyDescent="0.2">
      <c r="B932" s="3">
        <v>52106</v>
      </c>
      <c r="C932" s="3">
        <v>0</v>
      </c>
      <c r="D932">
        <v>929</v>
      </c>
      <c r="E932" t="str">
        <f>VLOOKUP(B932,Nuclides!A:F,5,FALSE)</f>
        <v>Te106</v>
      </c>
      <c r="F932">
        <f>VLOOKUP(B932,Nuclides!A:F,4,FALSE)</f>
        <v>6.9999999999999994E-5</v>
      </c>
      <c r="G932" s="3" t="str">
        <f t="shared" si="73"/>
        <v>0.00007s</v>
      </c>
      <c r="H932" s="3">
        <f t="shared" si="74"/>
        <v>9902.1025794277903</v>
      </c>
      <c r="I932" s="3">
        <f t="shared" si="75"/>
        <v>0</v>
      </c>
      <c r="J932" s="3">
        <f t="shared" si="76"/>
        <v>0</v>
      </c>
      <c r="K932" s="3" t="str">
        <f t="shared" si="77"/>
        <v>Te106</v>
      </c>
      <c r="L932" s="3" cm="1">
        <f t="array" ref="L932">SUM(($J932*EXP(-$H932*12*3600*_xlfn.SEQUENCE(L$1-1))))+$J932</f>
        <v>0</v>
      </c>
      <c r="M932" s="3"/>
      <c r="N932" s="3"/>
    </row>
    <row r="933" spans="2:14" hidden="1" x14ac:dyDescent="0.2">
      <c r="B933" s="3">
        <v>52107</v>
      </c>
      <c r="C933" s="3">
        <v>0</v>
      </c>
      <c r="D933">
        <v>930</v>
      </c>
      <c r="E933" t="str">
        <f>VLOOKUP(B933,Nuclides!A:F,5,FALSE)</f>
        <v>Te107</v>
      </c>
      <c r="F933">
        <f>VLOOKUP(B933,Nuclides!A:F,4,FALSE)</f>
        <v>3.0999999999999999E-3</v>
      </c>
      <c r="G933" s="3" t="str">
        <f t="shared" si="73"/>
        <v>0.0031s</v>
      </c>
      <c r="H933" s="3">
        <f t="shared" si="74"/>
        <v>223.59586469675656</v>
      </c>
      <c r="I933" s="3">
        <f t="shared" si="75"/>
        <v>0</v>
      </c>
      <c r="J933" s="3">
        <f t="shared" si="76"/>
        <v>0</v>
      </c>
      <c r="K933" s="3" t="str">
        <f t="shared" si="77"/>
        <v>Te107</v>
      </c>
      <c r="L933" s="3" cm="1">
        <f t="array" ref="L933">SUM(($J933*EXP(-$H933*12*3600*_xlfn.SEQUENCE(L$1-1))))+$J933</f>
        <v>0</v>
      </c>
      <c r="M933" s="3"/>
      <c r="N933" s="3"/>
    </row>
    <row r="934" spans="2:14" hidden="1" x14ac:dyDescent="0.2">
      <c r="B934" s="3">
        <v>52108</v>
      </c>
      <c r="C934" s="3">
        <v>0</v>
      </c>
      <c r="D934">
        <v>931</v>
      </c>
      <c r="E934" t="str">
        <f>VLOOKUP(B934,Nuclides!A:F,5,FALSE)</f>
        <v>Te108</v>
      </c>
      <c r="F934">
        <f>VLOOKUP(B934,Nuclides!A:F,4,FALSE)</f>
        <v>2.1</v>
      </c>
      <c r="G934" s="3" t="str">
        <f t="shared" si="73"/>
        <v>2.1s</v>
      </c>
      <c r="H934" s="3">
        <f t="shared" si="74"/>
        <v>0.3300700859809263</v>
      </c>
      <c r="I934" s="3">
        <f t="shared" si="75"/>
        <v>0</v>
      </c>
      <c r="J934" s="3">
        <f t="shared" si="76"/>
        <v>0</v>
      </c>
      <c r="K934" s="3" t="str">
        <f t="shared" si="77"/>
        <v>Te108</v>
      </c>
      <c r="L934" s="3" cm="1">
        <f t="array" ref="L934">SUM(($J934*EXP(-$H934*12*3600*_xlfn.SEQUENCE(L$1-1))))+$J934</f>
        <v>0</v>
      </c>
      <c r="M934" s="3"/>
      <c r="N934" s="3"/>
    </row>
    <row r="935" spans="2:14" hidden="1" x14ac:dyDescent="0.2">
      <c r="B935" s="3">
        <v>52109</v>
      </c>
      <c r="C935" s="3">
        <v>0</v>
      </c>
      <c r="D935">
        <v>932</v>
      </c>
      <c r="E935" t="str">
        <f>VLOOKUP(B935,Nuclides!A:F,5,FALSE)</f>
        <v>Te109</v>
      </c>
      <c r="F935">
        <f>VLOOKUP(B935,Nuclides!A:F,4,FALSE)</f>
        <v>4.5999999999999996</v>
      </c>
      <c r="G935" s="3" t="str">
        <f t="shared" si="73"/>
        <v>4.6s</v>
      </c>
      <c r="H935" s="3">
        <f t="shared" si="74"/>
        <v>0.15068416968694465</v>
      </c>
      <c r="I935" s="3">
        <f t="shared" si="75"/>
        <v>0</v>
      </c>
      <c r="J935" s="3">
        <f t="shared" si="76"/>
        <v>0</v>
      </c>
      <c r="K935" s="3" t="str">
        <f t="shared" si="77"/>
        <v>Te109</v>
      </c>
      <c r="L935" s="3" cm="1">
        <f t="array" ref="L935">SUM(($J935*EXP(-$H935*12*3600*_xlfn.SEQUENCE(L$1-1))))+$J935</f>
        <v>0</v>
      </c>
      <c r="M935" s="3"/>
      <c r="N935" s="3"/>
    </row>
    <row r="936" spans="2:14" hidden="1" x14ac:dyDescent="0.2">
      <c r="B936" s="3">
        <v>52110</v>
      </c>
      <c r="C936" s="3">
        <v>0</v>
      </c>
      <c r="D936">
        <v>933</v>
      </c>
      <c r="E936" t="str">
        <f>VLOOKUP(B936,Nuclides!A:F,5,FALSE)</f>
        <v>Te110</v>
      </c>
      <c r="F936">
        <f>VLOOKUP(B936,Nuclides!A:F,4,FALSE)</f>
        <v>18.600000000000001</v>
      </c>
      <c r="G936" s="3" t="str">
        <f t="shared" si="73"/>
        <v>18.6s</v>
      </c>
      <c r="H936" s="3">
        <f t="shared" si="74"/>
        <v>3.726597744945942E-2</v>
      </c>
      <c r="I936" s="3">
        <f t="shared" si="75"/>
        <v>0</v>
      </c>
      <c r="J936" s="3">
        <f t="shared" si="76"/>
        <v>0</v>
      </c>
      <c r="K936" s="3" t="str">
        <f t="shared" si="77"/>
        <v>Te110</v>
      </c>
      <c r="L936" s="3" cm="1">
        <f t="array" ref="L936">SUM(($J936*EXP(-$H936*12*3600*_xlfn.SEQUENCE(L$1-1))))+$J936</f>
        <v>0</v>
      </c>
      <c r="M936" s="3"/>
      <c r="N936" s="3"/>
    </row>
    <row r="937" spans="2:14" hidden="1" x14ac:dyDescent="0.2">
      <c r="B937" s="3">
        <v>52111</v>
      </c>
      <c r="C937" s="3">
        <v>0</v>
      </c>
      <c r="D937">
        <v>934</v>
      </c>
      <c r="E937" t="str">
        <f>VLOOKUP(B937,Nuclides!A:F,5,FALSE)</f>
        <v>Te111</v>
      </c>
      <c r="F937">
        <f>VLOOKUP(B937,Nuclides!A:F,4,FALSE)</f>
        <v>19.3</v>
      </c>
      <c r="G937" s="3" t="str">
        <f t="shared" si="73"/>
        <v>19.3s</v>
      </c>
      <c r="H937" s="3">
        <f t="shared" si="74"/>
        <v>3.5914361687043796E-2</v>
      </c>
      <c r="I937" s="3">
        <f t="shared" si="75"/>
        <v>0</v>
      </c>
      <c r="J937" s="3">
        <f t="shared" si="76"/>
        <v>0</v>
      </c>
      <c r="K937" s="3" t="str">
        <f t="shared" si="77"/>
        <v>Te111</v>
      </c>
      <c r="L937" s="3" cm="1">
        <f t="array" ref="L937">SUM(($J937*EXP(-$H937*12*3600*_xlfn.SEQUENCE(L$1-1))))+$J937</f>
        <v>0</v>
      </c>
      <c r="M937" s="3"/>
      <c r="N937" s="3"/>
    </row>
    <row r="938" spans="2:14" hidden="1" x14ac:dyDescent="0.2">
      <c r="B938" s="3">
        <v>52112</v>
      </c>
      <c r="C938" s="3">
        <v>0</v>
      </c>
      <c r="D938">
        <v>935</v>
      </c>
      <c r="E938" t="str">
        <f>VLOOKUP(B938,Nuclides!A:F,5,FALSE)</f>
        <v>Te112</v>
      </c>
      <c r="F938">
        <f>VLOOKUP(B938,Nuclides!A:F,4,FALSE)</f>
        <v>120</v>
      </c>
      <c r="G938" s="3" t="str">
        <f t="shared" si="73"/>
        <v>2min</v>
      </c>
      <c r="H938" s="3">
        <f t="shared" si="74"/>
        <v>5.7762265046662105E-3</v>
      </c>
      <c r="I938" s="3">
        <f t="shared" si="75"/>
        <v>0</v>
      </c>
      <c r="J938" s="3">
        <f t="shared" si="76"/>
        <v>0</v>
      </c>
      <c r="K938" s="3" t="str">
        <f t="shared" si="77"/>
        <v>Te112</v>
      </c>
      <c r="L938" s="3" cm="1">
        <f t="array" ref="L938">SUM(($J938*EXP(-$H938*12*3600*_xlfn.SEQUENCE(L$1-1))))+$J938</f>
        <v>0</v>
      </c>
      <c r="M938" s="3"/>
      <c r="N938" s="3"/>
    </row>
    <row r="939" spans="2:14" hidden="1" x14ac:dyDescent="0.2">
      <c r="B939" s="3">
        <v>52113</v>
      </c>
      <c r="C939" s="3">
        <v>0</v>
      </c>
      <c r="D939">
        <v>936</v>
      </c>
      <c r="E939" t="str">
        <f>VLOOKUP(B939,Nuclides!A:F,5,FALSE)</f>
        <v>Te113</v>
      </c>
      <c r="F939">
        <f>VLOOKUP(B939,Nuclides!A:F,4,FALSE)</f>
        <v>102</v>
      </c>
      <c r="G939" s="3" t="str">
        <f t="shared" si="73"/>
        <v>1.7min</v>
      </c>
      <c r="H939" s="3">
        <f t="shared" si="74"/>
        <v>6.7955605937249537E-3</v>
      </c>
      <c r="I939" s="3">
        <f t="shared" si="75"/>
        <v>0</v>
      </c>
      <c r="J939" s="3">
        <f t="shared" si="76"/>
        <v>0</v>
      </c>
      <c r="K939" s="3" t="str">
        <f t="shared" si="77"/>
        <v>Te113</v>
      </c>
      <c r="L939" s="3" cm="1">
        <f t="array" ref="L939">SUM(($J939*EXP(-$H939*12*3600*_xlfn.SEQUENCE(L$1-1))))+$J939</f>
        <v>0</v>
      </c>
      <c r="M939" s="3"/>
      <c r="N939" s="3"/>
    </row>
    <row r="940" spans="2:14" hidden="1" x14ac:dyDescent="0.2">
      <c r="B940" s="3">
        <v>52114</v>
      </c>
      <c r="C940" s="3">
        <v>0</v>
      </c>
      <c r="D940">
        <v>937</v>
      </c>
      <c r="E940" t="str">
        <f>VLOOKUP(B940,Nuclides!A:F,5,FALSE)</f>
        <v>Te114</v>
      </c>
      <c r="F940">
        <f>VLOOKUP(B940,Nuclides!A:F,4,FALSE)</f>
        <v>912</v>
      </c>
      <c r="G940" s="3" t="str">
        <f t="shared" si="73"/>
        <v>15.2min</v>
      </c>
      <c r="H940" s="3">
        <f t="shared" si="74"/>
        <v>7.6002980324555401E-4</v>
      </c>
      <c r="I940" s="3">
        <f t="shared" si="75"/>
        <v>0</v>
      </c>
      <c r="J940" s="3">
        <f t="shared" si="76"/>
        <v>0</v>
      </c>
      <c r="K940" s="3" t="str">
        <f t="shared" si="77"/>
        <v>Te114</v>
      </c>
      <c r="L940" s="3" cm="1">
        <f t="array" ref="L940">SUM(($J940*EXP(-$H940*12*3600*_xlfn.SEQUENCE(L$1-1))))+$J940</f>
        <v>0</v>
      </c>
      <c r="M940" s="3"/>
      <c r="N940" s="3"/>
    </row>
    <row r="941" spans="2:14" hidden="1" x14ac:dyDescent="0.2">
      <c r="B941" s="3">
        <v>52115</v>
      </c>
      <c r="C941" s="3">
        <v>0</v>
      </c>
      <c r="D941">
        <v>938</v>
      </c>
      <c r="E941" t="str">
        <f>VLOOKUP(B941,Nuclides!A:F,5,FALSE)</f>
        <v>Te115</v>
      </c>
      <c r="F941">
        <f>VLOOKUP(B941,Nuclides!A:F,4,FALSE)</f>
        <v>348</v>
      </c>
      <c r="G941" s="3" t="str">
        <f t="shared" si="73"/>
        <v>5.8min</v>
      </c>
      <c r="H941" s="3">
        <f t="shared" si="74"/>
        <v>1.9918022429883486E-3</v>
      </c>
      <c r="I941" s="3">
        <f t="shared" si="75"/>
        <v>0</v>
      </c>
      <c r="J941" s="3">
        <f t="shared" si="76"/>
        <v>0</v>
      </c>
      <c r="K941" s="3" t="str">
        <f t="shared" si="77"/>
        <v>Te115</v>
      </c>
      <c r="L941" s="3" cm="1">
        <f t="array" ref="L941">SUM(($J941*EXP(-$H941*12*3600*_xlfn.SEQUENCE(L$1-1))))+$J941</f>
        <v>0</v>
      </c>
      <c r="M941" s="3"/>
      <c r="N941" s="3"/>
    </row>
    <row r="942" spans="2:14" hidden="1" x14ac:dyDescent="0.2">
      <c r="B942" s="3">
        <v>52116</v>
      </c>
      <c r="C942" s="3">
        <v>0</v>
      </c>
      <c r="D942">
        <v>939</v>
      </c>
      <c r="E942" t="str">
        <f>VLOOKUP(B942,Nuclides!A:F,5,FALSE)</f>
        <v>Te116</v>
      </c>
      <c r="F942">
        <f>VLOOKUP(B942,Nuclides!A:F,4,FALSE)</f>
        <v>8964</v>
      </c>
      <c r="G942" s="3" t="str">
        <f t="shared" si="73"/>
        <v>2.49h</v>
      </c>
      <c r="H942" s="3">
        <f t="shared" si="74"/>
        <v>7.7325656019627993E-5</v>
      </c>
      <c r="I942" s="3">
        <f t="shared" si="75"/>
        <v>0</v>
      </c>
      <c r="J942" s="3">
        <f t="shared" si="76"/>
        <v>0</v>
      </c>
      <c r="K942" s="3" t="str">
        <f t="shared" si="77"/>
        <v>Te116</v>
      </c>
      <c r="L942" s="3" cm="1">
        <f t="array" ref="L942">SUM(($J942*EXP(-$H942*12*3600*_xlfn.SEQUENCE(L$1-1))))+$J942</f>
        <v>0</v>
      </c>
      <c r="M942" s="3"/>
      <c r="N942" s="3"/>
    </row>
    <row r="943" spans="2:14" hidden="1" x14ac:dyDescent="0.2">
      <c r="B943" s="3">
        <v>52117</v>
      </c>
      <c r="C943" s="3">
        <v>0</v>
      </c>
      <c r="D943">
        <v>940</v>
      </c>
      <c r="E943" t="str">
        <f>VLOOKUP(B943,Nuclides!A:F,5,FALSE)</f>
        <v>Te117</v>
      </c>
      <c r="F943">
        <f>VLOOKUP(B943,Nuclides!A:F,4,FALSE)</f>
        <v>3720</v>
      </c>
      <c r="G943" s="3" t="str">
        <f t="shared" si="73"/>
        <v>1.03h</v>
      </c>
      <c r="H943" s="3">
        <f t="shared" si="74"/>
        <v>1.8632988724729711E-4</v>
      </c>
      <c r="I943" s="3">
        <f t="shared" si="75"/>
        <v>0</v>
      </c>
      <c r="J943" s="3">
        <f t="shared" si="76"/>
        <v>0</v>
      </c>
      <c r="K943" s="3" t="str">
        <f t="shared" si="77"/>
        <v>Te117</v>
      </c>
      <c r="L943" s="3" cm="1">
        <f t="array" ref="L943">SUM(($J943*EXP(-$H943*12*3600*_xlfn.SEQUENCE(L$1-1))))+$J943</f>
        <v>0</v>
      </c>
      <c r="M943" s="3"/>
      <c r="N943" s="3"/>
    </row>
    <row r="944" spans="2:14" hidden="1" x14ac:dyDescent="0.2">
      <c r="B944" s="3">
        <v>52118</v>
      </c>
      <c r="C944" s="3">
        <v>0</v>
      </c>
      <c r="D944">
        <v>941</v>
      </c>
      <c r="E944" t="str">
        <f>VLOOKUP(B944,Nuclides!A:F,5,FALSE)</f>
        <v>Te118</v>
      </c>
      <c r="F944">
        <f>VLOOKUP(B944,Nuclides!A:F,4,FALSE)</f>
        <v>518400</v>
      </c>
      <c r="G944" s="3" t="str">
        <f t="shared" si="73"/>
        <v>6d</v>
      </c>
      <c r="H944" s="3">
        <f t="shared" si="74"/>
        <v>1.3370894686727339E-6</v>
      </c>
      <c r="I944" s="3">
        <f t="shared" si="75"/>
        <v>0</v>
      </c>
      <c r="J944" s="3">
        <f t="shared" si="76"/>
        <v>0</v>
      </c>
      <c r="K944" s="3" t="str">
        <f t="shared" si="77"/>
        <v>Te118</v>
      </c>
      <c r="L944" s="3" cm="1">
        <f t="array" ref="L944">SUM(($J944*EXP(-$H944*12*3600*_xlfn.SEQUENCE(L$1-1))))+$J944</f>
        <v>0</v>
      </c>
      <c r="M944" s="3"/>
      <c r="N944" s="3"/>
    </row>
    <row r="945" spans="2:14" hidden="1" x14ac:dyDescent="0.2">
      <c r="B945" s="3">
        <v>52119</v>
      </c>
      <c r="C945" s="3">
        <v>0</v>
      </c>
      <c r="D945">
        <v>942</v>
      </c>
      <c r="E945" t="str">
        <f>VLOOKUP(B945,Nuclides!A:F,5,FALSE)</f>
        <v>Te119</v>
      </c>
      <c r="F945">
        <f>VLOOKUP(B945,Nuclides!A:F,4,FALSE)</f>
        <v>57780</v>
      </c>
      <c r="G945" s="3" t="str">
        <f t="shared" si="73"/>
        <v>16.05h</v>
      </c>
      <c r="H945" s="3">
        <f t="shared" si="74"/>
        <v>1.1996316728278734E-5</v>
      </c>
      <c r="I945" s="3">
        <f t="shared" si="75"/>
        <v>0</v>
      </c>
      <c r="J945" s="3">
        <f t="shared" si="76"/>
        <v>0</v>
      </c>
      <c r="K945" s="3" t="str">
        <f t="shared" si="77"/>
        <v>Te119</v>
      </c>
      <c r="L945" s="3" cm="1">
        <f t="array" ref="L945">SUM(($J945*EXP(-$H945*12*3600*_xlfn.SEQUENCE(L$1-1))))+$J945</f>
        <v>0</v>
      </c>
      <c r="M945" s="3"/>
      <c r="N945" s="3"/>
    </row>
    <row r="946" spans="2:14" hidden="1" x14ac:dyDescent="0.2">
      <c r="B946" s="3">
        <v>52120</v>
      </c>
      <c r="C946" s="3">
        <v>0</v>
      </c>
      <c r="D946">
        <v>943</v>
      </c>
      <c r="E946" t="str">
        <f>VLOOKUP(B946,Nuclides!A:F,5,FALSE)</f>
        <v>Te120</v>
      </c>
      <c r="F946" t="str">
        <f>VLOOKUP(B946,Nuclides!A:F,4,FALSE)</f>
        <v>STABLE</v>
      </c>
      <c r="G946" s="3" t="str">
        <f t="shared" si="73"/>
        <v>STABLE</v>
      </c>
      <c r="H946" s="3" t="e">
        <f t="shared" si="74"/>
        <v>#VALUE!</v>
      </c>
      <c r="I946" s="3" t="e">
        <f t="shared" si="75"/>
        <v>#VALUE!</v>
      </c>
      <c r="J946" s="3" t="e">
        <f t="shared" si="76"/>
        <v>#VALUE!</v>
      </c>
      <c r="K946" s="3" t="str">
        <f t="shared" si="77"/>
        <v>Te120</v>
      </c>
      <c r="L946" s="3" t="e" cm="1">
        <f t="array" ref="L946">SUM(($J946*EXP(-$H946*12*3600*_xlfn.SEQUENCE(L$1-1))))+$J946</f>
        <v>#VALUE!</v>
      </c>
      <c r="M946" s="3"/>
      <c r="N946" s="3"/>
    </row>
    <row r="947" spans="2:14" hidden="1" x14ac:dyDescent="0.2">
      <c r="B947" s="3">
        <v>52121</v>
      </c>
      <c r="C947" s="3">
        <v>0</v>
      </c>
      <c r="D947">
        <v>944</v>
      </c>
      <c r="E947" t="str">
        <f>VLOOKUP(B947,Nuclides!A:F,5,FALSE)</f>
        <v>Te121</v>
      </c>
      <c r="F947">
        <f>VLOOKUP(B947,Nuclides!A:F,4,FALSE)</f>
        <v>1656288</v>
      </c>
      <c r="G947" s="3" t="str">
        <f t="shared" si="73"/>
        <v>19.17d</v>
      </c>
      <c r="H947" s="3">
        <f t="shared" si="74"/>
        <v>4.1849435639209198E-7</v>
      </c>
      <c r="I947" s="3">
        <f t="shared" si="75"/>
        <v>0</v>
      </c>
      <c r="J947" s="3">
        <f t="shared" si="76"/>
        <v>0</v>
      </c>
      <c r="K947" s="3" t="str">
        <f t="shared" si="77"/>
        <v>Te121</v>
      </c>
      <c r="L947" s="3" cm="1">
        <f t="array" ref="L947">SUM(($J947*EXP(-$H947*12*3600*_xlfn.SEQUENCE(L$1-1))))+$J947</f>
        <v>0</v>
      </c>
      <c r="M947" s="3"/>
      <c r="N947" s="3"/>
    </row>
    <row r="948" spans="2:14" hidden="1" x14ac:dyDescent="0.2">
      <c r="B948" s="3">
        <v>52122</v>
      </c>
      <c r="C948" s="3">
        <v>0</v>
      </c>
      <c r="D948">
        <v>945</v>
      </c>
      <c r="E948" t="str">
        <f>VLOOKUP(B948,Nuclides!A:F,5,FALSE)</f>
        <v>Te122</v>
      </c>
      <c r="F948" t="str">
        <f>VLOOKUP(B948,Nuclides!A:F,4,FALSE)</f>
        <v>STABLE</v>
      </c>
      <c r="G948" s="3" t="str">
        <f t="shared" si="73"/>
        <v>STABLE</v>
      </c>
      <c r="H948" s="3" t="e">
        <f t="shared" si="74"/>
        <v>#VALUE!</v>
      </c>
      <c r="I948" s="3" t="e">
        <f t="shared" si="75"/>
        <v>#VALUE!</v>
      </c>
      <c r="J948" s="3" t="e">
        <f t="shared" si="76"/>
        <v>#VALUE!</v>
      </c>
      <c r="K948" s="3" t="str">
        <f t="shared" si="77"/>
        <v>Te122</v>
      </c>
      <c r="L948" s="3" t="e" cm="1">
        <f t="array" ref="L948">SUM(($J948*EXP(-$H948*12*3600*_xlfn.SEQUENCE(L$1-1))))+$J948</f>
        <v>#VALUE!</v>
      </c>
      <c r="M948" s="3"/>
      <c r="N948" s="3"/>
    </row>
    <row r="949" spans="2:14" hidden="1" x14ac:dyDescent="0.2">
      <c r="B949" s="3">
        <v>52123</v>
      </c>
      <c r="C949" s="3">
        <v>0</v>
      </c>
      <c r="D949">
        <v>946</v>
      </c>
      <c r="E949" t="str">
        <f>VLOOKUP(B949,Nuclides!A:F,5,FALSE)</f>
        <v>Te123</v>
      </c>
      <c r="F949">
        <f>VLOOKUP(B949,Nuclides!A:F,4,FALSE)</f>
        <v>2.9032991999999999E+24</v>
      </c>
      <c r="G949" s="3" t="str">
        <f t="shared" si="73"/>
        <v>92063013698630100y</v>
      </c>
      <c r="H949" s="3">
        <f t="shared" si="74"/>
        <v>2.3874466006119702E-25</v>
      </c>
      <c r="I949" s="3">
        <f t="shared" si="75"/>
        <v>0</v>
      </c>
      <c r="J949" s="3">
        <f t="shared" si="76"/>
        <v>0</v>
      </c>
      <c r="K949" s="3" t="str">
        <f t="shared" si="77"/>
        <v>Te123</v>
      </c>
      <c r="L949" s="3" cm="1">
        <f t="array" ref="L949">SUM(($J949*EXP(-$H949*12*3600*_xlfn.SEQUENCE(L$1-1))))+$J949</f>
        <v>0</v>
      </c>
      <c r="M949" s="3"/>
      <c r="N949" s="3"/>
    </row>
    <row r="950" spans="2:14" hidden="1" x14ac:dyDescent="0.2">
      <c r="B950" s="3">
        <v>52124</v>
      </c>
      <c r="C950" s="3">
        <v>0</v>
      </c>
      <c r="D950">
        <v>947</v>
      </c>
      <c r="E950" t="str">
        <f>VLOOKUP(B950,Nuclides!A:F,5,FALSE)</f>
        <v>Te124</v>
      </c>
      <c r="F950" t="str">
        <f>VLOOKUP(B950,Nuclides!A:F,4,FALSE)</f>
        <v>STABLE</v>
      </c>
      <c r="G950" s="3" t="str">
        <f t="shared" si="73"/>
        <v>STABLE</v>
      </c>
      <c r="H950" s="3" t="e">
        <f t="shared" si="74"/>
        <v>#VALUE!</v>
      </c>
      <c r="I950" s="3" t="e">
        <f t="shared" si="75"/>
        <v>#VALUE!</v>
      </c>
      <c r="J950" s="3" t="e">
        <f t="shared" si="76"/>
        <v>#VALUE!</v>
      </c>
      <c r="K950" s="3" t="str">
        <f t="shared" si="77"/>
        <v>Te124</v>
      </c>
      <c r="L950" s="3" t="e" cm="1">
        <f t="array" ref="L950">SUM(($J950*EXP(-$H950*12*3600*_xlfn.SEQUENCE(L$1-1))))+$J950</f>
        <v>#VALUE!</v>
      </c>
      <c r="M950" s="3"/>
      <c r="N950" s="3"/>
    </row>
    <row r="951" spans="2:14" hidden="1" x14ac:dyDescent="0.2">
      <c r="B951" s="3">
        <v>52125</v>
      </c>
      <c r="C951" s="3">
        <v>0</v>
      </c>
      <c r="D951">
        <v>948</v>
      </c>
      <c r="E951" t="str">
        <f>VLOOKUP(B951,Nuclides!A:F,5,FALSE)</f>
        <v>Te125</v>
      </c>
      <c r="F951" t="str">
        <f>VLOOKUP(B951,Nuclides!A:F,4,FALSE)</f>
        <v>STABLE</v>
      </c>
      <c r="G951" s="3" t="str">
        <f t="shared" si="73"/>
        <v>STABLE</v>
      </c>
      <c r="H951" s="3" t="e">
        <f t="shared" si="74"/>
        <v>#VALUE!</v>
      </c>
      <c r="I951" s="3" t="e">
        <f t="shared" si="75"/>
        <v>#VALUE!</v>
      </c>
      <c r="J951" s="3" t="e">
        <f t="shared" si="76"/>
        <v>#VALUE!</v>
      </c>
      <c r="K951" s="3" t="str">
        <f t="shared" si="77"/>
        <v>Te125</v>
      </c>
      <c r="L951" s="3" t="e" cm="1">
        <f t="array" ref="L951">SUM(($J951*EXP(-$H951*12*3600*_xlfn.SEQUENCE(L$1-1))))+$J951</f>
        <v>#VALUE!</v>
      </c>
      <c r="M951" s="3"/>
      <c r="N951" s="3"/>
    </row>
    <row r="952" spans="2:14" hidden="1" x14ac:dyDescent="0.2">
      <c r="B952" s="3">
        <v>52126</v>
      </c>
      <c r="C952" s="3">
        <v>0</v>
      </c>
      <c r="D952">
        <v>949</v>
      </c>
      <c r="E952" t="str">
        <f>VLOOKUP(B952,Nuclides!A:F,5,FALSE)</f>
        <v>Te126</v>
      </c>
      <c r="F952" t="str">
        <f>VLOOKUP(B952,Nuclides!A:F,4,FALSE)</f>
        <v>STABLE</v>
      </c>
      <c r="G952" s="3" t="str">
        <f t="shared" si="73"/>
        <v>STABLE</v>
      </c>
      <c r="H952" s="3" t="e">
        <f t="shared" si="74"/>
        <v>#VALUE!</v>
      </c>
      <c r="I952" s="3" t="e">
        <f t="shared" si="75"/>
        <v>#VALUE!</v>
      </c>
      <c r="J952" s="3" t="e">
        <f t="shared" si="76"/>
        <v>#VALUE!</v>
      </c>
      <c r="K952" s="3" t="str">
        <f t="shared" si="77"/>
        <v>Te126</v>
      </c>
      <c r="L952" s="3" t="e" cm="1">
        <f t="array" ref="L952">SUM(($J952*EXP(-$H952*12*3600*_xlfn.SEQUENCE(L$1-1))))+$J952</f>
        <v>#VALUE!</v>
      </c>
      <c r="M952" s="3"/>
      <c r="N952" s="3"/>
    </row>
    <row r="953" spans="2:14" hidden="1" x14ac:dyDescent="0.2">
      <c r="B953" s="3">
        <v>52127</v>
      </c>
      <c r="C953" s="3">
        <v>0</v>
      </c>
      <c r="D953">
        <v>950</v>
      </c>
      <c r="E953" t="str">
        <f>VLOOKUP(B953,Nuclides!A:F,5,FALSE)</f>
        <v>Te127</v>
      </c>
      <c r="F953">
        <f>VLOOKUP(B953,Nuclides!A:F,4,FALSE)</f>
        <v>33660</v>
      </c>
      <c r="G953" s="3" t="str">
        <f t="shared" si="73"/>
        <v>9.35h</v>
      </c>
      <c r="H953" s="3">
        <f t="shared" si="74"/>
        <v>2.0592607859772586E-5</v>
      </c>
      <c r="I953" s="3">
        <f t="shared" si="75"/>
        <v>0</v>
      </c>
      <c r="J953" s="3">
        <f t="shared" si="76"/>
        <v>0</v>
      </c>
      <c r="K953" s="3" t="str">
        <f t="shared" si="77"/>
        <v>Te127</v>
      </c>
      <c r="L953" s="3" cm="1">
        <f t="array" ref="L953">SUM(($J953*EXP(-$H953*12*3600*_xlfn.SEQUENCE(L$1-1))))+$J953</f>
        <v>0</v>
      </c>
      <c r="M953" s="3"/>
      <c r="N953" s="3"/>
    </row>
    <row r="954" spans="2:14" hidden="1" x14ac:dyDescent="0.2">
      <c r="B954" s="3">
        <v>52128</v>
      </c>
      <c r="C954" s="3">
        <v>0</v>
      </c>
      <c r="D954">
        <v>951</v>
      </c>
      <c r="E954" t="str">
        <f>VLOOKUP(B954,Nuclides!A:F,5,FALSE)</f>
        <v>Te128</v>
      </c>
      <c r="F954">
        <f>VLOOKUP(B954,Nuclides!A:F,4,FALSE)</f>
        <v>7.6053815999999996E+31</v>
      </c>
      <c r="G954" s="3" t="str">
        <f t="shared" si="73"/>
        <v>2.41165068493151E+24y</v>
      </c>
      <c r="H954" s="3">
        <f t="shared" si="74"/>
        <v>9.1139040355311737E-33</v>
      </c>
      <c r="I954" s="3">
        <f t="shared" si="75"/>
        <v>0</v>
      </c>
      <c r="J954" s="3">
        <f t="shared" si="76"/>
        <v>0</v>
      </c>
      <c r="K954" s="3" t="str">
        <f t="shared" si="77"/>
        <v>Te128</v>
      </c>
      <c r="L954" s="3" cm="1">
        <f t="array" ref="L954">SUM(($J954*EXP(-$H954*12*3600*_xlfn.SEQUENCE(L$1-1))))+$J954</f>
        <v>0</v>
      </c>
      <c r="M954" s="3"/>
      <c r="N954" s="3"/>
    </row>
    <row r="955" spans="2:14" hidden="1" x14ac:dyDescent="0.2">
      <c r="B955" s="3">
        <v>52129</v>
      </c>
      <c r="C955" s="3">
        <v>0</v>
      </c>
      <c r="D955">
        <v>952</v>
      </c>
      <c r="E955" t="str">
        <f>VLOOKUP(B955,Nuclides!A:F,5,FALSE)</f>
        <v>Te129</v>
      </c>
      <c r="F955">
        <f>VLOOKUP(B955,Nuclides!A:F,4,FALSE)</f>
        <v>4194</v>
      </c>
      <c r="G955" s="3" t="str">
        <f t="shared" si="73"/>
        <v>1.17h</v>
      </c>
      <c r="H955" s="3">
        <f t="shared" si="74"/>
        <v>1.6527114462564266E-4</v>
      </c>
      <c r="I955" s="3">
        <f t="shared" si="75"/>
        <v>0</v>
      </c>
      <c r="J955" s="3">
        <f t="shared" si="76"/>
        <v>0</v>
      </c>
      <c r="K955" s="3" t="str">
        <f t="shared" si="77"/>
        <v>Te129</v>
      </c>
      <c r="L955" s="3" cm="1">
        <f t="array" ref="L955">SUM(($J955*EXP(-$H955*12*3600*_xlfn.SEQUENCE(L$1-1))))+$J955</f>
        <v>0</v>
      </c>
      <c r="M955" s="3"/>
      <c r="N955" s="3"/>
    </row>
    <row r="956" spans="2:14" hidden="1" x14ac:dyDescent="0.2">
      <c r="B956" s="3">
        <v>52130</v>
      </c>
      <c r="C956" s="3">
        <v>0</v>
      </c>
      <c r="D956">
        <v>953</v>
      </c>
      <c r="E956" t="str">
        <f>VLOOKUP(B956,Nuclides!A:F,5,FALSE)</f>
        <v>Te130</v>
      </c>
      <c r="F956">
        <f>VLOOKUP(B956,Nuclides!A:F,4,FALSE)</f>
        <v>9.46728E+31</v>
      </c>
      <c r="G956" s="3" t="str">
        <f t="shared" si="73"/>
        <v>3.00205479452055E+24y</v>
      </c>
      <c r="H956" s="3">
        <f t="shared" si="74"/>
        <v>7.321502908543376E-33</v>
      </c>
      <c r="I956" s="3">
        <f t="shared" si="75"/>
        <v>0</v>
      </c>
      <c r="J956" s="3">
        <f t="shared" si="76"/>
        <v>0</v>
      </c>
      <c r="K956" s="3" t="str">
        <f t="shared" si="77"/>
        <v>Te130</v>
      </c>
      <c r="L956" s="3" cm="1">
        <f t="array" ref="L956">SUM(($J956*EXP(-$H956*12*3600*_xlfn.SEQUENCE(L$1-1))))+$J956</f>
        <v>0</v>
      </c>
      <c r="M956" s="3"/>
      <c r="N956" s="3"/>
    </row>
    <row r="957" spans="2:14" hidden="1" x14ac:dyDescent="0.2">
      <c r="B957" s="3">
        <v>52131</v>
      </c>
      <c r="C957" s="3">
        <v>0</v>
      </c>
      <c r="D957">
        <v>954</v>
      </c>
      <c r="E957" t="str">
        <f>VLOOKUP(B957,Nuclides!A:F,5,FALSE)</f>
        <v>Te131</v>
      </c>
      <c r="F957">
        <f>VLOOKUP(B957,Nuclides!A:F,4,FALSE)</f>
        <v>1500</v>
      </c>
      <c r="G957" s="3" t="str">
        <f t="shared" si="73"/>
        <v>25min</v>
      </c>
      <c r="H957" s="3">
        <f t="shared" si="74"/>
        <v>4.6209812037329687E-4</v>
      </c>
      <c r="I957" s="3">
        <f t="shared" si="75"/>
        <v>0</v>
      </c>
      <c r="J957" s="3">
        <f t="shared" si="76"/>
        <v>0</v>
      </c>
      <c r="K957" s="3" t="str">
        <f t="shared" si="77"/>
        <v>Te131</v>
      </c>
      <c r="L957" s="3" cm="1">
        <f t="array" ref="L957">SUM(($J957*EXP(-$H957*12*3600*_xlfn.SEQUENCE(L$1-1))))+$J957</f>
        <v>0</v>
      </c>
      <c r="M957" s="3"/>
      <c r="N957" s="3"/>
    </row>
    <row r="958" spans="2:14" hidden="1" x14ac:dyDescent="0.2">
      <c r="B958" s="3">
        <v>52132</v>
      </c>
      <c r="C958" s="3">
        <v>0</v>
      </c>
      <c r="D958">
        <v>955</v>
      </c>
      <c r="E958" t="str">
        <f>VLOOKUP(B958,Nuclides!A:F,5,FALSE)</f>
        <v>Te132</v>
      </c>
      <c r="F958">
        <f>VLOOKUP(B958,Nuclides!A:F,4,FALSE)</f>
        <v>276825.59999999998</v>
      </c>
      <c r="G958" s="3" t="str">
        <f t="shared" si="73"/>
        <v>3.2d</v>
      </c>
      <c r="H958" s="3">
        <f t="shared" si="74"/>
        <v>2.5039128626830225E-6</v>
      </c>
      <c r="I958" s="3">
        <f t="shared" si="75"/>
        <v>0</v>
      </c>
      <c r="J958" s="3">
        <f t="shared" si="76"/>
        <v>0</v>
      </c>
      <c r="K958" s="3" t="str">
        <f t="shared" si="77"/>
        <v>Te132</v>
      </c>
      <c r="L958" s="3" cm="1">
        <f t="array" ref="L958">SUM(($J958*EXP(-$H958*12*3600*_xlfn.SEQUENCE(L$1-1))))+$J958</f>
        <v>0</v>
      </c>
      <c r="M958" s="3"/>
      <c r="N958" s="3"/>
    </row>
    <row r="959" spans="2:14" hidden="1" x14ac:dyDescent="0.2">
      <c r="B959" s="3">
        <v>52133</v>
      </c>
      <c r="C959" s="3">
        <v>0</v>
      </c>
      <c r="D959">
        <v>956</v>
      </c>
      <c r="E959" t="str">
        <f>VLOOKUP(B959,Nuclides!A:F,5,FALSE)</f>
        <v>Te133</v>
      </c>
      <c r="F959">
        <f>VLOOKUP(B959,Nuclides!A:F,4,FALSE)</f>
        <v>750</v>
      </c>
      <c r="G959" s="3" t="str">
        <f t="shared" si="73"/>
        <v>12.5min</v>
      </c>
      <c r="H959" s="3">
        <f t="shared" si="74"/>
        <v>9.2419624074659373E-4</v>
      </c>
      <c r="I959" s="3">
        <f t="shared" si="75"/>
        <v>0</v>
      </c>
      <c r="J959" s="3">
        <f t="shared" si="76"/>
        <v>0</v>
      </c>
      <c r="K959" s="3" t="str">
        <f t="shared" si="77"/>
        <v>Te133</v>
      </c>
      <c r="L959" s="3" cm="1">
        <f t="array" ref="L959">SUM(($J959*EXP(-$H959*12*3600*_xlfn.SEQUENCE(L$1-1))))+$J959</f>
        <v>0</v>
      </c>
      <c r="M959" s="3"/>
      <c r="N959" s="3"/>
    </row>
    <row r="960" spans="2:14" hidden="1" x14ac:dyDescent="0.2">
      <c r="B960" s="3">
        <v>52134</v>
      </c>
      <c r="C960" s="3">
        <v>0</v>
      </c>
      <c r="D960">
        <v>957</v>
      </c>
      <c r="E960" t="str">
        <f>VLOOKUP(B960,Nuclides!A:F,5,FALSE)</f>
        <v>Te134</v>
      </c>
      <c r="F960">
        <f>VLOOKUP(B960,Nuclides!A:F,4,FALSE)</f>
        <v>2508</v>
      </c>
      <c r="G960" s="3" t="str">
        <f t="shared" si="73"/>
        <v>41.8min</v>
      </c>
      <c r="H960" s="3">
        <f t="shared" si="74"/>
        <v>2.7637447390747421E-4</v>
      </c>
      <c r="I960" s="3">
        <f t="shared" si="75"/>
        <v>0</v>
      </c>
      <c r="J960" s="3">
        <f t="shared" si="76"/>
        <v>0</v>
      </c>
      <c r="K960" s="3" t="str">
        <f t="shared" si="77"/>
        <v>Te134</v>
      </c>
      <c r="L960" s="3" cm="1">
        <f t="array" ref="L960">SUM(($J960*EXP(-$H960*12*3600*_xlfn.SEQUENCE(L$1-1))))+$J960</f>
        <v>0</v>
      </c>
      <c r="M960" s="3"/>
      <c r="N960" s="3"/>
    </row>
    <row r="961" spans="2:14" hidden="1" x14ac:dyDescent="0.2">
      <c r="B961" s="3">
        <v>52135</v>
      </c>
      <c r="C961" s="3">
        <v>0</v>
      </c>
      <c r="D961">
        <v>958</v>
      </c>
      <c r="E961" t="str">
        <f>VLOOKUP(B961,Nuclides!A:F,5,FALSE)</f>
        <v>Te135</v>
      </c>
      <c r="F961">
        <f>VLOOKUP(B961,Nuclides!A:F,4,FALSE)</f>
        <v>19</v>
      </c>
      <c r="G961" s="3" t="str">
        <f t="shared" si="73"/>
        <v>19s</v>
      </c>
      <c r="H961" s="3">
        <f t="shared" si="74"/>
        <v>3.6481430555786593E-2</v>
      </c>
      <c r="I961" s="3">
        <f t="shared" si="75"/>
        <v>0</v>
      </c>
      <c r="J961" s="3">
        <f t="shared" si="76"/>
        <v>0</v>
      </c>
      <c r="K961" s="3" t="str">
        <f t="shared" si="77"/>
        <v>Te135</v>
      </c>
      <c r="L961" s="3" cm="1">
        <f t="array" ref="L961">SUM(($J961*EXP(-$H961*12*3600*_xlfn.SEQUENCE(L$1-1))))+$J961</f>
        <v>0</v>
      </c>
      <c r="M961" s="3"/>
      <c r="N961" s="3"/>
    </row>
    <row r="962" spans="2:14" hidden="1" x14ac:dyDescent="0.2">
      <c r="B962" s="3">
        <v>52136</v>
      </c>
      <c r="C962" s="3">
        <v>0</v>
      </c>
      <c r="D962">
        <v>959</v>
      </c>
      <c r="E962" t="str">
        <f>VLOOKUP(B962,Nuclides!A:F,5,FALSE)</f>
        <v>Te136</v>
      </c>
      <c r="F962">
        <f>VLOOKUP(B962,Nuclides!A:F,4,FALSE)</f>
        <v>17.63</v>
      </c>
      <c r="G962" s="3" t="str">
        <f t="shared" si="73"/>
        <v>17.63s</v>
      </c>
      <c r="H962" s="3">
        <f t="shared" si="74"/>
        <v>3.9316346032895369E-2</v>
      </c>
      <c r="I962" s="3">
        <f t="shared" si="75"/>
        <v>0</v>
      </c>
      <c r="J962" s="3">
        <f t="shared" si="76"/>
        <v>0</v>
      </c>
      <c r="K962" s="3" t="str">
        <f t="shared" si="77"/>
        <v>Te136</v>
      </c>
      <c r="L962" s="3" cm="1">
        <f t="array" ref="L962">SUM(($J962*EXP(-$H962*12*3600*_xlfn.SEQUENCE(L$1-1))))+$J962</f>
        <v>0</v>
      </c>
      <c r="M962" s="3"/>
      <c r="N962" s="3"/>
    </row>
    <row r="963" spans="2:14" hidden="1" x14ac:dyDescent="0.2">
      <c r="B963" s="3">
        <v>52137</v>
      </c>
      <c r="C963" s="3">
        <v>0</v>
      </c>
      <c r="D963">
        <v>960</v>
      </c>
      <c r="E963" t="str">
        <f>VLOOKUP(B963,Nuclides!A:F,5,FALSE)</f>
        <v>Te137</v>
      </c>
      <c r="F963">
        <f>VLOOKUP(B963,Nuclides!A:F,4,FALSE)</f>
        <v>2.4900000000000002</v>
      </c>
      <c r="G963" s="3" t="str">
        <f t="shared" si="73"/>
        <v>2.49s</v>
      </c>
      <c r="H963" s="3">
        <f t="shared" si="74"/>
        <v>0.27837236167066071</v>
      </c>
      <c r="I963" s="3">
        <f t="shared" si="75"/>
        <v>0</v>
      </c>
      <c r="J963" s="3">
        <f t="shared" si="76"/>
        <v>0</v>
      </c>
      <c r="K963" s="3" t="str">
        <f t="shared" si="77"/>
        <v>Te137</v>
      </c>
      <c r="L963" s="3" cm="1">
        <f t="array" ref="L963">SUM(($J963*EXP(-$H963*12*3600*_xlfn.SEQUENCE(L$1-1))))+$J963</f>
        <v>0</v>
      </c>
      <c r="M963" s="3"/>
      <c r="N963" s="3"/>
    </row>
    <row r="964" spans="2:14" hidden="1" x14ac:dyDescent="0.2">
      <c r="B964" s="3">
        <v>52138</v>
      </c>
      <c r="C964" s="3">
        <v>0</v>
      </c>
      <c r="D964">
        <v>961</v>
      </c>
      <c r="E964" t="str">
        <f>VLOOKUP(B964,Nuclides!A:F,5,FALSE)</f>
        <v>Te138</v>
      </c>
      <c r="F964">
        <f>VLOOKUP(B964,Nuclides!A:F,4,FALSE)</f>
        <v>1.4</v>
      </c>
      <c r="G964" s="3" t="str">
        <f t="shared" ref="G964:G1027" si="78">IF(F964="STABLE", "STABLE", IF(F964&lt;60, F964&amp;"s", IF(F964&lt;3600, ROUND(F964/60,2)&amp;"min", IF(F964&lt;86400, ROUND(F964/3600,2)&amp;"h", IF(F964&lt;31536000, ROUND(F964/86400,2)&amp;"d", ROUND(F964/31536000,2)&amp;"y")))))</f>
        <v>1.4s</v>
      </c>
      <c r="H964" s="3">
        <f t="shared" ref="H964:H1027" si="79">LN(2)/F964</f>
        <v>0.49510512897138953</v>
      </c>
      <c r="I964" s="3">
        <f t="shared" ref="I964:I1027" si="80">100*6240000000000*C964*(1-EXP(-H964*2*3600))</f>
        <v>0</v>
      </c>
      <c r="J964" s="3">
        <f t="shared" ref="J964:J1027" si="81">I964*EXP(-H964*10*3600)</f>
        <v>0</v>
      </c>
      <c r="K964" s="3" t="str">
        <f t="shared" ref="K964:K1027" si="82">E964</f>
        <v>Te138</v>
      </c>
      <c r="L964" s="3" cm="1">
        <f t="array" ref="L964">SUM(($J964*EXP(-$H964*12*3600*_xlfn.SEQUENCE(L$1-1))))+$J964</f>
        <v>0</v>
      </c>
      <c r="M964" s="3"/>
      <c r="N964" s="3"/>
    </row>
    <row r="965" spans="2:14" hidden="1" x14ac:dyDescent="0.2">
      <c r="B965" s="3">
        <v>53110</v>
      </c>
      <c r="C965" s="3">
        <v>0</v>
      </c>
      <c r="D965">
        <v>962</v>
      </c>
      <c r="E965" t="str">
        <f>VLOOKUP(B965,Nuclides!A:F,5,FALSE)</f>
        <v>I110</v>
      </c>
      <c r="F965">
        <f>VLOOKUP(B965,Nuclides!A:F,4,FALSE)</f>
        <v>0.65</v>
      </c>
      <c r="G965" s="3" t="str">
        <f t="shared" si="78"/>
        <v>0.65s</v>
      </c>
      <c r="H965" s="3">
        <f t="shared" si="79"/>
        <v>1.0663802777845313</v>
      </c>
      <c r="I965" s="3">
        <f t="shared" si="80"/>
        <v>0</v>
      </c>
      <c r="J965" s="3">
        <f t="shared" si="81"/>
        <v>0</v>
      </c>
      <c r="K965" s="3" t="str">
        <f t="shared" si="82"/>
        <v>I110</v>
      </c>
      <c r="L965" s="3" cm="1">
        <f t="array" ref="L965">SUM(($J965*EXP(-$H965*12*3600*_xlfn.SEQUENCE(L$1-1))))+$J965</f>
        <v>0</v>
      </c>
      <c r="M965" s="3"/>
      <c r="N965" s="3"/>
    </row>
    <row r="966" spans="2:14" hidden="1" x14ac:dyDescent="0.2">
      <c r="B966" s="3">
        <v>53111</v>
      </c>
      <c r="C966" s="3">
        <v>0</v>
      </c>
      <c r="D966">
        <v>963</v>
      </c>
      <c r="E966" t="str">
        <f>VLOOKUP(B966,Nuclides!A:F,5,FALSE)</f>
        <v>I111</v>
      </c>
      <c r="F966">
        <f>VLOOKUP(B966,Nuclides!A:F,4,FALSE)</f>
        <v>2.5</v>
      </c>
      <c r="G966" s="3" t="str">
        <f t="shared" si="78"/>
        <v>2.5s</v>
      </c>
      <c r="H966" s="3">
        <f t="shared" si="79"/>
        <v>0.2772588722239781</v>
      </c>
      <c r="I966" s="3">
        <f t="shared" si="80"/>
        <v>0</v>
      </c>
      <c r="J966" s="3">
        <f t="shared" si="81"/>
        <v>0</v>
      </c>
      <c r="K966" s="3" t="str">
        <f t="shared" si="82"/>
        <v>I111</v>
      </c>
      <c r="L966" s="3" cm="1">
        <f t="array" ref="L966">SUM(($J966*EXP(-$H966*12*3600*_xlfn.SEQUENCE(L$1-1))))+$J966</f>
        <v>0</v>
      </c>
      <c r="M966" s="3"/>
      <c r="N966" s="3"/>
    </row>
    <row r="967" spans="2:14" hidden="1" x14ac:dyDescent="0.2">
      <c r="B967" s="3">
        <v>53112</v>
      </c>
      <c r="C967" s="3">
        <v>0</v>
      </c>
      <c r="D967">
        <v>964</v>
      </c>
      <c r="E967" t="str">
        <f>VLOOKUP(B967,Nuclides!A:F,5,FALSE)</f>
        <v>I112</v>
      </c>
      <c r="F967">
        <f>VLOOKUP(B967,Nuclides!A:F,4,FALSE)</f>
        <v>3.34</v>
      </c>
      <c r="G967" s="3" t="str">
        <f t="shared" si="78"/>
        <v>3.34s</v>
      </c>
      <c r="H967" s="3">
        <f t="shared" si="79"/>
        <v>0.20752909597603153</v>
      </c>
      <c r="I967" s="3">
        <f t="shared" si="80"/>
        <v>0</v>
      </c>
      <c r="J967" s="3">
        <f t="shared" si="81"/>
        <v>0</v>
      </c>
      <c r="K967" s="3" t="str">
        <f t="shared" si="82"/>
        <v>I112</v>
      </c>
      <c r="L967" s="3" cm="1">
        <f t="array" ref="L967">SUM(($J967*EXP(-$H967*12*3600*_xlfn.SEQUENCE(L$1-1))))+$J967</f>
        <v>0</v>
      </c>
      <c r="M967" s="3"/>
      <c r="N967" s="3"/>
    </row>
    <row r="968" spans="2:14" hidden="1" x14ac:dyDescent="0.2">
      <c r="B968" s="3">
        <v>53113</v>
      </c>
      <c r="C968" s="3">
        <v>0</v>
      </c>
      <c r="D968">
        <v>965</v>
      </c>
      <c r="E968" t="str">
        <f>VLOOKUP(B968,Nuclides!A:F,5,FALSE)</f>
        <v>I113</v>
      </c>
      <c r="F968">
        <f>VLOOKUP(B968,Nuclides!A:F,4,FALSE)</f>
        <v>6.6</v>
      </c>
      <c r="G968" s="3" t="str">
        <f t="shared" si="78"/>
        <v>6.6s</v>
      </c>
      <c r="H968" s="3">
        <f t="shared" si="79"/>
        <v>0.1050223000848402</v>
      </c>
      <c r="I968" s="3">
        <f t="shared" si="80"/>
        <v>0</v>
      </c>
      <c r="J968" s="3">
        <f t="shared" si="81"/>
        <v>0</v>
      </c>
      <c r="K968" s="3" t="str">
        <f t="shared" si="82"/>
        <v>I113</v>
      </c>
      <c r="L968" s="3" cm="1">
        <f t="array" ref="L968">SUM(($J968*EXP(-$H968*12*3600*_xlfn.SEQUENCE(L$1-1))))+$J968</f>
        <v>0</v>
      </c>
      <c r="M968" s="3"/>
      <c r="N968" s="3"/>
    </row>
    <row r="969" spans="2:14" hidden="1" x14ac:dyDescent="0.2">
      <c r="B969" s="3">
        <v>53114</v>
      </c>
      <c r="C969" s="3">
        <v>0</v>
      </c>
      <c r="D969">
        <v>966</v>
      </c>
      <c r="E969" t="str">
        <f>VLOOKUP(B969,Nuclides!A:F,5,FALSE)</f>
        <v>I114</v>
      </c>
      <c r="F969">
        <f>VLOOKUP(B969,Nuclides!A:F,4,FALSE)</f>
        <v>2.1</v>
      </c>
      <c r="G969" s="3" t="str">
        <f t="shared" si="78"/>
        <v>2.1s</v>
      </c>
      <c r="H969" s="3">
        <f t="shared" si="79"/>
        <v>0.3300700859809263</v>
      </c>
      <c r="I969" s="3">
        <f t="shared" si="80"/>
        <v>0</v>
      </c>
      <c r="J969" s="3">
        <f t="shared" si="81"/>
        <v>0</v>
      </c>
      <c r="K969" s="3" t="str">
        <f t="shared" si="82"/>
        <v>I114</v>
      </c>
      <c r="L969" s="3" cm="1">
        <f t="array" ref="L969">SUM(($J969*EXP(-$H969*12*3600*_xlfn.SEQUENCE(L$1-1))))+$J969</f>
        <v>0</v>
      </c>
      <c r="M969" s="3"/>
      <c r="N969" s="3"/>
    </row>
    <row r="970" spans="2:14" hidden="1" x14ac:dyDescent="0.2">
      <c r="B970" s="3">
        <v>53115</v>
      </c>
      <c r="C970" s="3">
        <v>0</v>
      </c>
      <c r="D970">
        <v>967</v>
      </c>
      <c r="E970" t="str">
        <f>VLOOKUP(B970,Nuclides!A:F,5,FALSE)</f>
        <v>I115</v>
      </c>
      <c r="F970">
        <f>VLOOKUP(B970,Nuclides!A:F,4,FALSE)</f>
        <v>78</v>
      </c>
      <c r="G970" s="3" t="str">
        <f t="shared" si="78"/>
        <v>1.3min</v>
      </c>
      <c r="H970" s="3">
        <f t="shared" si="79"/>
        <v>8.8865023148710937E-3</v>
      </c>
      <c r="I970" s="3">
        <f t="shared" si="80"/>
        <v>0</v>
      </c>
      <c r="J970" s="3">
        <f t="shared" si="81"/>
        <v>0</v>
      </c>
      <c r="K970" s="3" t="str">
        <f t="shared" si="82"/>
        <v>I115</v>
      </c>
      <c r="L970" s="3" cm="1">
        <f t="array" ref="L970">SUM(($J970*EXP(-$H970*12*3600*_xlfn.SEQUENCE(L$1-1))))+$J970</f>
        <v>0</v>
      </c>
      <c r="M970" s="3"/>
      <c r="N970" s="3"/>
    </row>
    <row r="971" spans="2:14" hidden="1" x14ac:dyDescent="0.2">
      <c r="B971" s="3">
        <v>53116</v>
      </c>
      <c r="C971" s="3">
        <v>0</v>
      </c>
      <c r="D971">
        <v>968</v>
      </c>
      <c r="E971" t="str">
        <f>VLOOKUP(B971,Nuclides!A:F,5,FALSE)</f>
        <v>I116</v>
      </c>
      <c r="F971">
        <f>VLOOKUP(B971,Nuclides!A:F,4,FALSE)</f>
        <v>2.91</v>
      </c>
      <c r="G971" s="3" t="str">
        <f t="shared" si="78"/>
        <v>2.91s</v>
      </c>
      <c r="H971" s="3">
        <f t="shared" si="79"/>
        <v>0.23819490740891588</v>
      </c>
      <c r="I971" s="3">
        <f t="shared" si="80"/>
        <v>0</v>
      </c>
      <c r="J971" s="3">
        <f t="shared" si="81"/>
        <v>0</v>
      </c>
      <c r="K971" s="3" t="str">
        <f t="shared" si="82"/>
        <v>I116</v>
      </c>
      <c r="L971" s="3" cm="1">
        <f t="array" ref="L971">SUM(($J971*EXP(-$H971*12*3600*_xlfn.SEQUENCE(L$1-1))))+$J971</f>
        <v>0</v>
      </c>
      <c r="M971" s="3"/>
      <c r="N971" s="3"/>
    </row>
    <row r="972" spans="2:14" hidden="1" x14ac:dyDescent="0.2">
      <c r="B972" s="3">
        <v>53117</v>
      </c>
      <c r="C972" s="3">
        <v>0</v>
      </c>
      <c r="D972">
        <v>969</v>
      </c>
      <c r="E972" t="str">
        <f>VLOOKUP(B972,Nuclides!A:F,5,FALSE)</f>
        <v>I117</v>
      </c>
      <c r="F972">
        <f>VLOOKUP(B972,Nuclides!A:F,4,FALSE)</f>
        <v>133.19999999999999</v>
      </c>
      <c r="G972" s="3" t="str">
        <f t="shared" si="78"/>
        <v>2.22min</v>
      </c>
      <c r="H972" s="3">
        <f t="shared" si="79"/>
        <v>5.2038076618614515E-3</v>
      </c>
      <c r="I972" s="3">
        <f t="shared" si="80"/>
        <v>0</v>
      </c>
      <c r="J972" s="3">
        <f t="shared" si="81"/>
        <v>0</v>
      </c>
      <c r="K972" s="3" t="str">
        <f t="shared" si="82"/>
        <v>I117</v>
      </c>
      <c r="L972" s="3" cm="1">
        <f t="array" ref="L972">SUM(($J972*EXP(-$H972*12*3600*_xlfn.SEQUENCE(L$1-1))))+$J972</f>
        <v>0</v>
      </c>
      <c r="M972" s="3"/>
      <c r="N972" s="3"/>
    </row>
    <row r="973" spans="2:14" hidden="1" x14ac:dyDescent="0.2">
      <c r="B973" s="3">
        <v>53118</v>
      </c>
      <c r="C973" s="3">
        <v>0</v>
      </c>
      <c r="D973">
        <v>970</v>
      </c>
      <c r="E973" t="str">
        <f>VLOOKUP(B973,Nuclides!A:F,5,FALSE)</f>
        <v>I118</v>
      </c>
      <c r="F973">
        <f>VLOOKUP(B973,Nuclides!A:F,4,FALSE)</f>
        <v>822</v>
      </c>
      <c r="G973" s="3" t="str">
        <f t="shared" si="78"/>
        <v>13.7min</v>
      </c>
      <c r="H973" s="3">
        <f t="shared" si="79"/>
        <v>8.4324474520674608E-4</v>
      </c>
      <c r="I973" s="3">
        <f t="shared" si="80"/>
        <v>0</v>
      </c>
      <c r="J973" s="3">
        <f t="shared" si="81"/>
        <v>0</v>
      </c>
      <c r="K973" s="3" t="str">
        <f t="shared" si="82"/>
        <v>I118</v>
      </c>
      <c r="L973" s="3" cm="1">
        <f t="array" ref="L973">SUM(($J973*EXP(-$H973*12*3600*_xlfn.SEQUENCE(L$1-1))))+$J973</f>
        <v>0</v>
      </c>
      <c r="M973" s="3"/>
      <c r="N973" s="3"/>
    </row>
    <row r="974" spans="2:14" hidden="1" x14ac:dyDescent="0.2">
      <c r="B974" s="3">
        <v>53119</v>
      </c>
      <c r="C974" s="3">
        <v>0</v>
      </c>
      <c r="D974">
        <v>971</v>
      </c>
      <c r="E974" t="str">
        <f>VLOOKUP(B974,Nuclides!A:F,5,FALSE)</f>
        <v>I119</v>
      </c>
      <c r="F974">
        <f>VLOOKUP(B974,Nuclides!A:F,4,FALSE)</f>
        <v>1146</v>
      </c>
      <c r="G974" s="3" t="str">
        <f t="shared" si="78"/>
        <v>19.1min</v>
      </c>
      <c r="H974" s="3">
        <f t="shared" si="79"/>
        <v>6.0484047169279695E-4</v>
      </c>
      <c r="I974" s="3">
        <f t="shared" si="80"/>
        <v>0</v>
      </c>
      <c r="J974" s="3">
        <f t="shared" si="81"/>
        <v>0</v>
      </c>
      <c r="K974" s="3" t="str">
        <f t="shared" si="82"/>
        <v>I119</v>
      </c>
      <c r="L974" s="3" cm="1">
        <f t="array" ref="L974">SUM(($J974*EXP(-$H974*12*3600*_xlfn.SEQUENCE(L$1-1))))+$J974</f>
        <v>0</v>
      </c>
      <c r="M974" s="3"/>
      <c r="N974" s="3"/>
    </row>
    <row r="975" spans="2:14" hidden="1" x14ac:dyDescent="0.2">
      <c r="B975" s="3">
        <v>53120</v>
      </c>
      <c r="C975" s="3">
        <v>0</v>
      </c>
      <c r="D975">
        <v>972</v>
      </c>
      <c r="E975" t="str">
        <f>VLOOKUP(B975,Nuclides!A:F,5,FALSE)</f>
        <v>I120</v>
      </c>
      <c r="F975">
        <f>VLOOKUP(B975,Nuclides!A:F,4,FALSE)</f>
        <v>4896</v>
      </c>
      <c r="G975" s="3" t="str">
        <f t="shared" si="78"/>
        <v>1.36h</v>
      </c>
      <c r="H975" s="3">
        <f t="shared" si="79"/>
        <v>1.4157417903593654E-4</v>
      </c>
      <c r="I975" s="3">
        <f t="shared" si="80"/>
        <v>0</v>
      </c>
      <c r="J975" s="3">
        <f t="shared" si="81"/>
        <v>0</v>
      </c>
      <c r="K975" s="3" t="str">
        <f t="shared" si="82"/>
        <v>I120</v>
      </c>
      <c r="L975" s="3" cm="1">
        <f t="array" ref="L975">SUM(($J975*EXP(-$H975*12*3600*_xlfn.SEQUENCE(L$1-1))))+$J975</f>
        <v>0</v>
      </c>
      <c r="M975" s="3"/>
      <c r="N975" s="3"/>
    </row>
    <row r="976" spans="2:14" hidden="1" x14ac:dyDescent="0.2">
      <c r="B976" s="3">
        <v>53121</v>
      </c>
      <c r="C976" s="3">
        <v>0</v>
      </c>
      <c r="D976">
        <v>973</v>
      </c>
      <c r="E976" t="str">
        <f>VLOOKUP(B976,Nuclides!A:F,5,FALSE)</f>
        <v>I121</v>
      </c>
      <c r="F976">
        <f>VLOOKUP(B976,Nuclides!A:F,4,FALSE)</f>
        <v>7632</v>
      </c>
      <c r="G976" s="3" t="str">
        <f t="shared" si="78"/>
        <v>2.12h</v>
      </c>
      <c r="H976" s="3">
        <f t="shared" si="79"/>
        <v>9.0821171457015893E-5</v>
      </c>
      <c r="I976" s="3">
        <f t="shared" si="80"/>
        <v>0</v>
      </c>
      <c r="J976" s="3">
        <f t="shared" si="81"/>
        <v>0</v>
      </c>
      <c r="K976" s="3" t="str">
        <f t="shared" si="82"/>
        <v>I121</v>
      </c>
      <c r="L976" s="3" cm="1">
        <f t="array" ref="L976">SUM(($J976*EXP(-$H976*12*3600*_xlfn.SEQUENCE(L$1-1))))+$J976</f>
        <v>0</v>
      </c>
      <c r="M976" s="3"/>
      <c r="N976" s="3"/>
    </row>
    <row r="977" spans="2:14" hidden="1" x14ac:dyDescent="0.2">
      <c r="B977" s="3">
        <v>53122</v>
      </c>
      <c r="C977" s="3">
        <v>0</v>
      </c>
      <c r="D977">
        <v>974</v>
      </c>
      <c r="E977" t="str">
        <f>VLOOKUP(B977,Nuclides!A:F,5,FALSE)</f>
        <v>I122</v>
      </c>
      <c r="F977">
        <f>VLOOKUP(B977,Nuclides!A:F,4,FALSE)</f>
        <v>217.79999999999899</v>
      </c>
      <c r="G977" s="3" t="str">
        <f t="shared" si="78"/>
        <v>3.63min</v>
      </c>
      <c r="H977" s="3">
        <f t="shared" si="79"/>
        <v>3.1824939419648692E-3</v>
      </c>
      <c r="I977" s="3">
        <f t="shared" si="80"/>
        <v>0</v>
      </c>
      <c r="J977" s="3">
        <f t="shared" si="81"/>
        <v>0</v>
      </c>
      <c r="K977" s="3" t="str">
        <f t="shared" si="82"/>
        <v>I122</v>
      </c>
      <c r="L977" s="3" cm="1">
        <f t="array" ref="L977">SUM(($J977*EXP(-$H977*12*3600*_xlfn.SEQUENCE(L$1-1))))+$J977</f>
        <v>0</v>
      </c>
      <c r="M977" s="3"/>
      <c r="N977" s="3"/>
    </row>
    <row r="978" spans="2:14" hidden="1" x14ac:dyDescent="0.2">
      <c r="B978" s="3">
        <v>53123</v>
      </c>
      <c r="C978" s="3">
        <v>0</v>
      </c>
      <c r="D978">
        <v>975</v>
      </c>
      <c r="E978" t="str">
        <f>VLOOKUP(B978,Nuclides!A:F,5,FALSE)</f>
        <v>I123</v>
      </c>
      <c r="F978">
        <f>VLOOKUP(B978,Nuclides!A:F,4,FALSE)</f>
        <v>47604.6</v>
      </c>
      <c r="G978" s="3" t="str">
        <f t="shared" si="78"/>
        <v>13.22h</v>
      </c>
      <c r="H978" s="3">
        <f t="shared" si="79"/>
        <v>1.4560508450022588E-5</v>
      </c>
      <c r="I978" s="3">
        <f t="shared" si="80"/>
        <v>0</v>
      </c>
      <c r="J978" s="3">
        <f t="shared" si="81"/>
        <v>0</v>
      </c>
      <c r="K978" s="3" t="str">
        <f t="shared" si="82"/>
        <v>I123</v>
      </c>
      <c r="L978" s="3" cm="1">
        <f t="array" ref="L978">SUM(($J978*EXP(-$H978*12*3600*_xlfn.SEQUENCE(L$1-1))))+$J978</f>
        <v>0</v>
      </c>
      <c r="M978" s="3"/>
      <c r="N978" s="3"/>
    </row>
    <row r="979" spans="2:14" hidden="1" x14ac:dyDescent="0.2">
      <c r="B979" s="3">
        <v>53124</v>
      </c>
      <c r="C979" s="3">
        <v>0</v>
      </c>
      <c r="D979">
        <v>976</v>
      </c>
      <c r="E979" t="str">
        <f>VLOOKUP(B979,Nuclides!A:F,5,FALSE)</f>
        <v>I124</v>
      </c>
      <c r="F979">
        <f>VLOOKUP(B979,Nuclides!A:F,4,FALSE)</f>
        <v>360806.40000000002</v>
      </c>
      <c r="G979" s="3" t="str">
        <f t="shared" si="78"/>
        <v>4.18d</v>
      </c>
      <c r="H979" s="3">
        <f t="shared" si="79"/>
        <v>1.9211055584378362E-6</v>
      </c>
      <c r="I979" s="3">
        <f t="shared" si="80"/>
        <v>0</v>
      </c>
      <c r="J979" s="3">
        <f t="shared" si="81"/>
        <v>0</v>
      </c>
      <c r="K979" s="3" t="str">
        <f t="shared" si="82"/>
        <v>I124</v>
      </c>
      <c r="L979" s="3" cm="1">
        <f t="array" ref="L979">SUM(($J979*EXP(-$H979*12*3600*_xlfn.SEQUENCE(L$1-1))))+$J979</f>
        <v>0</v>
      </c>
      <c r="M979" s="3"/>
      <c r="N979" s="3"/>
    </row>
    <row r="980" spans="2:14" hidden="1" x14ac:dyDescent="0.2">
      <c r="B980" s="3">
        <v>53125</v>
      </c>
      <c r="C980" s="3">
        <v>0</v>
      </c>
      <c r="D980">
        <v>977</v>
      </c>
      <c r="E980" t="str">
        <f>VLOOKUP(B980,Nuclides!A:F,5,FALSE)</f>
        <v>I125</v>
      </c>
      <c r="F980">
        <f>VLOOKUP(B980,Nuclides!A:F,4,FALSE)</f>
        <v>5132764.8</v>
      </c>
      <c r="G980" s="3" t="str">
        <f t="shared" si="78"/>
        <v>59.41d</v>
      </c>
      <c r="H980" s="3">
        <f t="shared" si="79"/>
        <v>1.3504362805791244E-7</v>
      </c>
      <c r="I980" s="3">
        <f t="shared" si="80"/>
        <v>0</v>
      </c>
      <c r="J980" s="3">
        <f t="shared" si="81"/>
        <v>0</v>
      </c>
      <c r="K980" s="3" t="str">
        <f t="shared" si="82"/>
        <v>I125</v>
      </c>
      <c r="L980" s="3" cm="1">
        <f t="array" ref="L980">SUM(($J980*EXP(-$H980*12*3600*_xlfn.SEQUENCE(L$1-1))))+$J980</f>
        <v>0</v>
      </c>
      <c r="M980" s="3"/>
      <c r="N980" s="3"/>
    </row>
    <row r="981" spans="2:14" hidden="1" x14ac:dyDescent="0.2">
      <c r="B981" s="3">
        <v>53126</v>
      </c>
      <c r="C981" s="3">
        <v>0</v>
      </c>
      <c r="D981">
        <v>978</v>
      </c>
      <c r="E981" t="str">
        <f>VLOOKUP(B981,Nuclides!A:F,5,FALSE)</f>
        <v>I126</v>
      </c>
      <c r="F981">
        <f>VLOOKUP(B981,Nuclides!A:F,4,FALSE)</f>
        <v>1117152</v>
      </c>
      <c r="G981" s="3" t="str">
        <f t="shared" si="78"/>
        <v>12.93d</v>
      </c>
      <c r="H981" s="3">
        <f t="shared" si="79"/>
        <v>6.2045915019616423E-7</v>
      </c>
      <c r="I981" s="3">
        <f t="shared" si="80"/>
        <v>0</v>
      </c>
      <c r="J981" s="3">
        <f t="shared" si="81"/>
        <v>0</v>
      </c>
      <c r="K981" s="3" t="str">
        <f t="shared" si="82"/>
        <v>I126</v>
      </c>
      <c r="L981" s="3" cm="1">
        <f t="array" ref="L981">SUM(($J981*EXP(-$H981*12*3600*_xlfn.SEQUENCE(L$1-1))))+$J981</f>
        <v>0</v>
      </c>
      <c r="M981" s="3"/>
      <c r="N981" s="3"/>
    </row>
    <row r="982" spans="2:14" hidden="1" x14ac:dyDescent="0.2">
      <c r="B982" s="3">
        <v>53127</v>
      </c>
      <c r="C982" s="3">
        <v>0</v>
      </c>
      <c r="D982">
        <v>979</v>
      </c>
      <c r="E982" t="str">
        <f>VLOOKUP(B982,Nuclides!A:F,5,FALSE)</f>
        <v>I127</v>
      </c>
      <c r="F982" t="str">
        <f>VLOOKUP(B982,Nuclides!A:F,4,FALSE)</f>
        <v>STABLE</v>
      </c>
      <c r="G982" s="3" t="str">
        <f t="shared" si="78"/>
        <v>STABLE</v>
      </c>
      <c r="H982" s="3" t="e">
        <f t="shared" si="79"/>
        <v>#VALUE!</v>
      </c>
      <c r="I982" s="3" t="e">
        <f t="shared" si="80"/>
        <v>#VALUE!</v>
      </c>
      <c r="J982" s="3" t="e">
        <f t="shared" si="81"/>
        <v>#VALUE!</v>
      </c>
      <c r="K982" s="3" t="str">
        <f t="shared" si="82"/>
        <v>I127</v>
      </c>
      <c r="L982" s="3" t="e" cm="1">
        <f t="array" ref="L982">SUM(($J982*EXP(-$H982*12*3600*_xlfn.SEQUENCE(L$1-1))))+$J982</f>
        <v>#VALUE!</v>
      </c>
      <c r="M982" s="3"/>
      <c r="N982" s="3"/>
    </row>
    <row r="983" spans="2:14" hidden="1" x14ac:dyDescent="0.2">
      <c r="B983" s="3">
        <v>53128</v>
      </c>
      <c r="C983" s="3">
        <v>0</v>
      </c>
      <c r="D983">
        <v>980</v>
      </c>
      <c r="E983" t="str">
        <f>VLOOKUP(B983,Nuclides!A:F,5,FALSE)</f>
        <v>I128</v>
      </c>
      <c r="F983">
        <f>VLOOKUP(B983,Nuclides!A:F,4,FALSE)</f>
        <v>1499.3999999999901</v>
      </c>
      <c r="G983" s="3" t="str">
        <f t="shared" si="78"/>
        <v>24.99min</v>
      </c>
      <c r="H983" s="3">
        <f t="shared" si="79"/>
        <v>4.622830335867346E-4</v>
      </c>
      <c r="I983" s="3">
        <f t="shared" si="80"/>
        <v>0</v>
      </c>
      <c r="J983" s="3">
        <f t="shared" si="81"/>
        <v>0</v>
      </c>
      <c r="K983" s="3" t="str">
        <f t="shared" si="82"/>
        <v>I128</v>
      </c>
      <c r="L983" s="3" cm="1">
        <f t="array" ref="L983">SUM(($J983*EXP(-$H983*12*3600*_xlfn.SEQUENCE(L$1-1))))+$J983</f>
        <v>0</v>
      </c>
      <c r="M983" s="3"/>
      <c r="N983" s="3"/>
    </row>
    <row r="984" spans="2:14" hidden="1" x14ac:dyDescent="0.2">
      <c r="B984" s="3">
        <v>53129</v>
      </c>
      <c r="C984" s="3">
        <v>0</v>
      </c>
      <c r="D984">
        <v>981</v>
      </c>
      <c r="E984" t="str">
        <f>VLOOKUP(B984,Nuclides!A:F,5,FALSE)</f>
        <v>I129</v>
      </c>
      <c r="F984">
        <f>VLOOKUP(B984,Nuclides!A:F,4,FALSE)</f>
        <v>495454320000000</v>
      </c>
      <c r="G984" s="3" t="str">
        <f t="shared" si="78"/>
        <v>15710753.42y</v>
      </c>
      <c r="H984" s="3">
        <f t="shared" si="79"/>
        <v>1.3990132946261228E-15</v>
      </c>
      <c r="I984" s="3">
        <f t="shared" si="80"/>
        <v>0</v>
      </c>
      <c r="J984" s="3">
        <f t="shared" si="81"/>
        <v>0</v>
      </c>
      <c r="K984" s="3" t="str">
        <f t="shared" si="82"/>
        <v>I129</v>
      </c>
      <c r="L984" s="3" cm="1">
        <f t="array" ref="L984">SUM(($J984*EXP(-$H984*12*3600*_xlfn.SEQUENCE(L$1-1))))+$J984</f>
        <v>0</v>
      </c>
      <c r="M984" s="3"/>
      <c r="N984" s="3"/>
    </row>
    <row r="985" spans="2:14" hidden="1" x14ac:dyDescent="0.2">
      <c r="B985" s="3">
        <v>53130</v>
      </c>
      <c r="C985" s="3">
        <v>0</v>
      </c>
      <c r="D985">
        <v>982</v>
      </c>
      <c r="E985" t="str">
        <f>VLOOKUP(B985,Nuclides!A:F,5,FALSE)</f>
        <v>I130</v>
      </c>
      <c r="F985">
        <f>VLOOKUP(B985,Nuclides!A:F,4,FALSE)</f>
        <v>44496</v>
      </c>
      <c r="G985" s="3" t="str">
        <f t="shared" si="78"/>
        <v>12.36h</v>
      </c>
      <c r="H985" s="3">
        <f t="shared" si="79"/>
        <v>1.5577741382594957E-5</v>
      </c>
      <c r="I985" s="3">
        <f t="shared" si="80"/>
        <v>0</v>
      </c>
      <c r="J985" s="3">
        <f t="shared" si="81"/>
        <v>0</v>
      </c>
      <c r="K985" s="3" t="str">
        <f t="shared" si="82"/>
        <v>I130</v>
      </c>
      <c r="L985" s="3" cm="1">
        <f t="array" ref="L985">SUM(($J985*EXP(-$H985*12*3600*_xlfn.SEQUENCE(L$1-1))))+$J985</f>
        <v>0</v>
      </c>
      <c r="M985" s="3"/>
      <c r="N985" s="3"/>
    </row>
    <row r="986" spans="2:14" hidden="1" x14ac:dyDescent="0.2">
      <c r="B986" s="3">
        <v>53131</v>
      </c>
      <c r="C986" s="3">
        <v>0</v>
      </c>
      <c r="D986">
        <v>983</v>
      </c>
      <c r="E986" t="str">
        <f>VLOOKUP(B986,Nuclides!A:F,5,FALSE)</f>
        <v>I131</v>
      </c>
      <c r="F986">
        <f>VLOOKUP(B986,Nuclides!A:F,4,FALSE)</f>
        <v>693377.28</v>
      </c>
      <c r="G986" s="3" t="str">
        <f t="shared" si="78"/>
        <v>8.03d</v>
      </c>
      <c r="H986" s="3">
        <f t="shared" si="79"/>
        <v>9.9966814684199819E-7</v>
      </c>
      <c r="I986" s="3">
        <f t="shared" si="80"/>
        <v>0</v>
      </c>
      <c r="J986" s="3">
        <f t="shared" si="81"/>
        <v>0</v>
      </c>
      <c r="K986" s="3" t="str">
        <f t="shared" si="82"/>
        <v>I131</v>
      </c>
      <c r="L986" s="3" cm="1">
        <f t="array" ref="L986">SUM(($J986*EXP(-$H986*12*3600*_xlfn.SEQUENCE(L$1-1))))+$J986</f>
        <v>0</v>
      </c>
      <c r="M986" s="3"/>
      <c r="N986" s="3"/>
    </row>
    <row r="987" spans="2:14" hidden="1" x14ac:dyDescent="0.2">
      <c r="B987" s="3">
        <v>53132</v>
      </c>
      <c r="C987" s="3">
        <v>0</v>
      </c>
      <c r="D987">
        <v>984</v>
      </c>
      <c r="E987" t="str">
        <f>VLOOKUP(B987,Nuclides!A:F,5,FALSE)</f>
        <v>I132</v>
      </c>
      <c r="F987">
        <f>VLOOKUP(B987,Nuclides!A:F,4,FALSE)</f>
        <v>8262</v>
      </c>
      <c r="G987" s="3" t="str">
        <f t="shared" si="78"/>
        <v>2.3h</v>
      </c>
      <c r="H987" s="3">
        <f t="shared" si="79"/>
        <v>8.389580979907351E-5</v>
      </c>
      <c r="I987" s="3">
        <f t="shared" si="80"/>
        <v>0</v>
      </c>
      <c r="J987" s="3">
        <f t="shared" si="81"/>
        <v>0</v>
      </c>
      <c r="K987" s="3" t="str">
        <f t="shared" si="82"/>
        <v>I132</v>
      </c>
      <c r="L987" s="3" cm="1">
        <f t="array" ref="L987">SUM(($J987*EXP(-$H987*12*3600*_xlfn.SEQUENCE(L$1-1))))+$J987</f>
        <v>0</v>
      </c>
      <c r="M987" s="3"/>
      <c r="N987" s="3"/>
    </row>
    <row r="988" spans="2:14" hidden="1" x14ac:dyDescent="0.2">
      <c r="B988" s="3">
        <v>53133</v>
      </c>
      <c r="C988" s="3">
        <v>0</v>
      </c>
      <c r="D988">
        <v>985</v>
      </c>
      <c r="E988" t="str">
        <f>VLOOKUP(B988,Nuclides!A:F,5,FALSE)</f>
        <v>I133</v>
      </c>
      <c r="F988">
        <f>VLOOKUP(B988,Nuclides!A:F,4,FALSE)</f>
        <v>74988</v>
      </c>
      <c r="G988" s="3" t="str">
        <f t="shared" si="78"/>
        <v>20.83h</v>
      </c>
      <c r="H988" s="3">
        <f t="shared" si="79"/>
        <v>9.2434413580832301E-6</v>
      </c>
      <c r="I988" s="3">
        <f t="shared" si="80"/>
        <v>0</v>
      </c>
      <c r="J988" s="3">
        <f t="shared" si="81"/>
        <v>0</v>
      </c>
      <c r="K988" s="3" t="str">
        <f t="shared" si="82"/>
        <v>I133</v>
      </c>
      <c r="L988" s="3" cm="1">
        <f t="array" ref="L988">SUM(($J988*EXP(-$H988*12*3600*_xlfn.SEQUENCE(L$1-1))))+$J988</f>
        <v>0</v>
      </c>
      <c r="M988" s="3"/>
      <c r="N988" s="3"/>
    </row>
    <row r="989" spans="2:14" hidden="1" x14ac:dyDescent="0.2">
      <c r="B989" s="3">
        <v>53134</v>
      </c>
      <c r="C989" s="3">
        <v>0</v>
      </c>
      <c r="D989">
        <v>986</v>
      </c>
      <c r="E989" t="str">
        <f>VLOOKUP(B989,Nuclides!A:F,5,FALSE)</f>
        <v>I134</v>
      </c>
      <c r="F989">
        <f>VLOOKUP(B989,Nuclides!A:F,4,FALSE)</f>
        <v>3150</v>
      </c>
      <c r="G989" s="3" t="str">
        <f t="shared" si="78"/>
        <v>52.5min</v>
      </c>
      <c r="H989" s="3">
        <f t="shared" si="79"/>
        <v>2.2004672398728421E-4</v>
      </c>
      <c r="I989" s="3">
        <f t="shared" si="80"/>
        <v>0</v>
      </c>
      <c r="J989" s="3">
        <f t="shared" si="81"/>
        <v>0</v>
      </c>
      <c r="K989" s="3" t="str">
        <f t="shared" si="82"/>
        <v>I134</v>
      </c>
      <c r="L989" s="3" cm="1">
        <f t="array" ref="L989">SUM(($J989*EXP(-$H989*12*3600*_xlfn.SEQUENCE(L$1-1))))+$J989</f>
        <v>0</v>
      </c>
      <c r="M989" s="3"/>
      <c r="N989" s="3"/>
    </row>
    <row r="990" spans="2:14" hidden="1" x14ac:dyDescent="0.2">
      <c r="B990" s="3">
        <v>53135</v>
      </c>
      <c r="C990" s="3">
        <v>0</v>
      </c>
      <c r="D990">
        <v>987</v>
      </c>
      <c r="E990" t="str">
        <f>VLOOKUP(B990,Nuclides!A:F,5,FALSE)</f>
        <v>I135</v>
      </c>
      <c r="F990">
        <f>VLOOKUP(B990,Nuclides!A:F,4,FALSE)</f>
        <v>23688</v>
      </c>
      <c r="G990" s="3" t="str">
        <f t="shared" si="78"/>
        <v>6.58h</v>
      </c>
      <c r="H990" s="3">
        <f t="shared" si="79"/>
        <v>2.9261532445117581E-5</v>
      </c>
      <c r="I990" s="3">
        <f t="shared" si="80"/>
        <v>0</v>
      </c>
      <c r="J990" s="3">
        <f t="shared" si="81"/>
        <v>0</v>
      </c>
      <c r="K990" s="3" t="str">
        <f t="shared" si="82"/>
        <v>I135</v>
      </c>
      <c r="L990" s="3" cm="1">
        <f t="array" ref="L990">SUM(($J990*EXP(-$H990*12*3600*_xlfn.SEQUENCE(L$1-1))))+$J990</f>
        <v>0</v>
      </c>
      <c r="M990" s="3"/>
      <c r="N990" s="3"/>
    </row>
    <row r="991" spans="2:14" hidden="1" x14ac:dyDescent="0.2">
      <c r="B991" s="3">
        <v>53136</v>
      </c>
      <c r="C991" s="3">
        <v>0</v>
      </c>
      <c r="D991">
        <v>988</v>
      </c>
      <c r="E991" t="str">
        <f>VLOOKUP(B991,Nuclides!A:F,5,FALSE)</f>
        <v>I136</v>
      </c>
      <c r="F991">
        <f>VLOOKUP(B991,Nuclides!A:F,4,FALSE)</f>
        <v>83.4</v>
      </c>
      <c r="G991" s="3" t="str">
        <f t="shared" si="78"/>
        <v>1.39min</v>
      </c>
      <c r="H991" s="3">
        <f t="shared" si="79"/>
        <v>8.3111172729010228E-3</v>
      </c>
      <c r="I991" s="3">
        <f t="shared" si="80"/>
        <v>0</v>
      </c>
      <c r="J991" s="3">
        <f t="shared" si="81"/>
        <v>0</v>
      </c>
      <c r="K991" s="3" t="str">
        <f t="shared" si="82"/>
        <v>I136</v>
      </c>
      <c r="L991" s="3" cm="1">
        <f t="array" ref="L991">SUM(($J991*EXP(-$H991*12*3600*_xlfn.SEQUENCE(L$1-1))))+$J991</f>
        <v>0</v>
      </c>
      <c r="M991" s="3"/>
      <c r="N991" s="3"/>
    </row>
    <row r="992" spans="2:14" hidden="1" x14ac:dyDescent="0.2">
      <c r="B992" s="3">
        <v>53137</v>
      </c>
      <c r="C992" s="3">
        <v>0</v>
      </c>
      <c r="D992">
        <v>989</v>
      </c>
      <c r="E992" t="str">
        <f>VLOOKUP(B992,Nuclides!A:F,5,FALSE)</f>
        <v>I137</v>
      </c>
      <c r="F992">
        <f>VLOOKUP(B992,Nuclides!A:F,4,FALSE)</f>
        <v>24.5</v>
      </c>
      <c r="G992" s="3" t="str">
        <f t="shared" si="78"/>
        <v>24.5s</v>
      </c>
      <c r="H992" s="3">
        <f t="shared" si="79"/>
        <v>2.829172165550797E-2</v>
      </c>
      <c r="I992" s="3">
        <f t="shared" si="80"/>
        <v>0</v>
      </c>
      <c r="J992" s="3">
        <f t="shared" si="81"/>
        <v>0</v>
      </c>
      <c r="K992" s="3" t="str">
        <f t="shared" si="82"/>
        <v>I137</v>
      </c>
      <c r="L992" s="3" cm="1">
        <f t="array" ref="L992">SUM(($J992*EXP(-$H992*12*3600*_xlfn.SEQUENCE(L$1-1))))+$J992</f>
        <v>0</v>
      </c>
      <c r="M992" s="3"/>
      <c r="N992" s="3"/>
    </row>
    <row r="993" spans="2:14" hidden="1" x14ac:dyDescent="0.2">
      <c r="B993" s="3">
        <v>53138</v>
      </c>
      <c r="C993" s="3">
        <v>0</v>
      </c>
      <c r="D993">
        <v>990</v>
      </c>
      <c r="E993" t="str">
        <f>VLOOKUP(B993,Nuclides!A:F,5,FALSE)</f>
        <v>I138</v>
      </c>
      <c r="F993">
        <f>VLOOKUP(B993,Nuclides!A:F,4,FALSE)</f>
        <v>6.23</v>
      </c>
      <c r="G993" s="3" t="str">
        <f t="shared" si="78"/>
        <v>6.23s</v>
      </c>
      <c r="H993" s="3">
        <f t="shared" si="79"/>
        <v>0.11125957954413246</v>
      </c>
      <c r="I993" s="3">
        <f t="shared" si="80"/>
        <v>0</v>
      </c>
      <c r="J993" s="3">
        <f t="shared" si="81"/>
        <v>0</v>
      </c>
      <c r="K993" s="3" t="str">
        <f t="shared" si="82"/>
        <v>I138</v>
      </c>
      <c r="L993" s="3" cm="1">
        <f t="array" ref="L993">SUM(($J993*EXP(-$H993*12*3600*_xlfn.SEQUENCE(L$1-1))))+$J993</f>
        <v>0</v>
      </c>
      <c r="M993" s="3"/>
      <c r="N993" s="3"/>
    </row>
    <row r="994" spans="2:14" hidden="1" x14ac:dyDescent="0.2">
      <c r="B994" s="3">
        <v>53139</v>
      </c>
      <c r="C994" s="3">
        <v>0</v>
      </c>
      <c r="D994">
        <v>991</v>
      </c>
      <c r="E994" t="str">
        <f>VLOOKUP(B994,Nuclides!A:F,5,FALSE)</f>
        <v>I139</v>
      </c>
      <c r="F994">
        <f>VLOOKUP(B994,Nuclides!A:F,4,FALSE)</f>
        <v>2.2799999999999998</v>
      </c>
      <c r="G994" s="3" t="str">
        <f t="shared" si="78"/>
        <v>2.28s</v>
      </c>
      <c r="H994" s="3">
        <f t="shared" si="79"/>
        <v>0.30401192129822163</v>
      </c>
      <c r="I994" s="3">
        <f t="shared" si="80"/>
        <v>0</v>
      </c>
      <c r="J994" s="3">
        <f t="shared" si="81"/>
        <v>0</v>
      </c>
      <c r="K994" s="3" t="str">
        <f t="shared" si="82"/>
        <v>I139</v>
      </c>
      <c r="L994" s="3" cm="1">
        <f t="array" ref="L994">SUM(($J994*EXP(-$H994*12*3600*_xlfn.SEQUENCE(L$1-1))))+$J994</f>
        <v>0</v>
      </c>
      <c r="M994" s="3"/>
      <c r="N994" s="3"/>
    </row>
    <row r="995" spans="2:14" hidden="1" x14ac:dyDescent="0.2">
      <c r="B995" s="3">
        <v>53140</v>
      </c>
      <c r="C995" s="3">
        <v>0</v>
      </c>
      <c r="D995">
        <v>992</v>
      </c>
      <c r="E995" t="str">
        <f>VLOOKUP(B995,Nuclides!A:F,5,FALSE)</f>
        <v>I140</v>
      </c>
      <c r="F995">
        <f>VLOOKUP(B995,Nuclides!A:F,4,FALSE)</f>
        <v>0.86</v>
      </c>
      <c r="G995" s="3" t="str">
        <f t="shared" si="78"/>
        <v>0.86s</v>
      </c>
      <c r="H995" s="3">
        <f t="shared" si="79"/>
        <v>0.805985093674355</v>
      </c>
      <c r="I995" s="3">
        <f t="shared" si="80"/>
        <v>0</v>
      </c>
      <c r="J995" s="3">
        <f t="shared" si="81"/>
        <v>0</v>
      </c>
      <c r="K995" s="3" t="str">
        <f t="shared" si="82"/>
        <v>I140</v>
      </c>
      <c r="L995" s="3" cm="1">
        <f t="array" ref="L995">SUM(($J995*EXP(-$H995*12*3600*_xlfn.SEQUENCE(L$1-1))))+$J995</f>
        <v>0</v>
      </c>
      <c r="M995" s="3"/>
      <c r="N995" s="3"/>
    </row>
    <row r="996" spans="2:14" hidden="1" x14ac:dyDescent="0.2">
      <c r="B996" s="3">
        <v>53141</v>
      </c>
      <c r="C996" s="3">
        <v>0</v>
      </c>
      <c r="D996">
        <v>993</v>
      </c>
      <c r="E996" t="str">
        <f>VLOOKUP(B996,Nuclides!A:F,5,FALSE)</f>
        <v>I141</v>
      </c>
      <c r="F996">
        <f>VLOOKUP(B996,Nuclides!A:F,4,FALSE)</f>
        <v>0.43</v>
      </c>
      <c r="G996" s="3" t="str">
        <f t="shared" si="78"/>
        <v>0.43s</v>
      </c>
      <c r="H996" s="3">
        <f t="shared" si="79"/>
        <v>1.61197018734871</v>
      </c>
      <c r="I996" s="3">
        <f t="shared" si="80"/>
        <v>0</v>
      </c>
      <c r="J996" s="3">
        <f t="shared" si="81"/>
        <v>0</v>
      </c>
      <c r="K996" s="3" t="str">
        <f t="shared" si="82"/>
        <v>I141</v>
      </c>
      <c r="L996" s="3" cm="1">
        <f t="array" ref="L996">SUM(($J996*EXP(-$H996*12*3600*_xlfn.SEQUENCE(L$1-1))))+$J996</f>
        <v>0</v>
      </c>
      <c r="M996" s="3"/>
      <c r="N996" s="3"/>
    </row>
    <row r="997" spans="2:14" hidden="1" x14ac:dyDescent="0.2">
      <c r="B997" s="3">
        <v>53142</v>
      </c>
      <c r="C997" s="3">
        <v>0</v>
      </c>
      <c r="D997">
        <v>994</v>
      </c>
      <c r="E997" t="str">
        <f>VLOOKUP(B997,Nuclides!A:F,5,FALSE)</f>
        <v>I142</v>
      </c>
      <c r="F997">
        <f>VLOOKUP(B997,Nuclides!A:F,4,FALSE)</f>
        <v>0.222</v>
      </c>
      <c r="G997" s="3" t="str">
        <f t="shared" si="78"/>
        <v>0.222s</v>
      </c>
      <c r="H997" s="3">
        <f t="shared" si="79"/>
        <v>3.1222845971168707</v>
      </c>
      <c r="I997" s="3">
        <f t="shared" si="80"/>
        <v>0</v>
      </c>
      <c r="J997" s="3">
        <f t="shared" si="81"/>
        <v>0</v>
      </c>
      <c r="K997" s="3" t="str">
        <f t="shared" si="82"/>
        <v>I142</v>
      </c>
      <c r="L997" s="3" cm="1">
        <f t="array" ref="L997">SUM(($J997*EXP(-$H997*12*3600*_xlfn.SEQUENCE(L$1-1))))+$J997</f>
        <v>0</v>
      </c>
      <c r="M997" s="3"/>
      <c r="N997" s="3"/>
    </row>
    <row r="998" spans="2:14" hidden="1" x14ac:dyDescent="0.2">
      <c r="B998" s="3">
        <v>54110</v>
      </c>
      <c r="C998" s="3">
        <v>0</v>
      </c>
      <c r="D998">
        <v>995</v>
      </c>
      <c r="E998" t="str">
        <f>VLOOKUP(B998,Nuclides!A:F,5,FALSE)</f>
        <v>Xe110</v>
      </c>
      <c r="F998">
        <f>VLOOKUP(B998,Nuclides!A:F,4,FALSE)</f>
        <v>9.2999999999999999E-2</v>
      </c>
      <c r="G998" s="3" t="str">
        <f t="shared" si="78"/>
        <v>0.093s</v>
      </c>
      <c r="H998" s="3">
        <f t="shared" si="79"/>
        <v>7.4531954898918853</v>
      </c>
      <c r="I998" s="3">
        <f t="shared" si="80"/>
        <v>0</v>
      </c>
      <c r="J998" s="3">
        <f t="shared" si="81"/>
        <v>0</v>
      </c>
      <c r="K998" s="3" t="str">
        <f t="shared" si="82"/>
        <v>Xe110</v>
      </c>
      <c r="L998" s="3" cm="1">
        <f t="array" ref="L998">SUM(($J998*EXP(-$H998*12*3600*_xlfn.SEQUENCE(L$1-1))))+$J998</f>
        <v>0</v>
      </c>
      <c r="M998" s="3"/>
      <c r="N998" s="3"/>
    </row>
    <row r="999" spans="2:14" hidden="1" x14ac:dyDescent="0.2">
      <c r="B999" s="3">
        <v>54111</v>
      </c>
      <c r="C999" s="3">
        <v>0</v>
      </c>
      <c r="D999">
        <v>996</v>
      </c>
      <c r="E999" t="str">
        <f>VLOOKUP(B999,Nuclides!A:F,5,FALSE)</f>
        <v>Xe111</v>
      </c>
      <c r="F999">
        <f>VLOOKUP(B999,Nuclides!A:F,4,FALSE)</f>
        <v>0.81</v>
      </c>
      <c r="G999" s="3" t="str">
        <f t="shared" si="78"/>
        <v>0.81s</v>
      </c>
      <c r="H999" s="3">
        <f t="shared" si="79"/>
        <v>0.85573725995054972</v>
      </c>
      <c r="I999" s="3">
        <f t="shared" si="80"/>
        <v>0</v>
      </c>
      <c r="J999" s="3">
        <f t="shared" si="81"/>
        <v>0</v>
      </c>
      <c r="K999" s="3" t="str">
        <f t="shared" si="82"/>
        <v>Xe111</v>
      </c>
      <c r="L999" s="3" cm="1">
        <f t="array" ref="L999">SUM(($J999*EXP(-$H999*12*3600*_xlfn.SEQUENCE(L$1-1))))+$J999</f>
        <v>0</v>
      </c>
      <c r="M999" s="3"/>
      <c r="N999" s="3"/>
    </row>
    <row r="1000" spans="2:14" hidden="1" x14ac:dyDescent="0.2">
      <c r="B1000" s="3">
        <v>54112</v>
      </c>
      <c r="C1000" s="3">
        <v>0</v>
      </c>
      <c r="D1000">
        <v>997</v>
      </c>
      <c r="E1000" t="str">
        <f>VLOOKUP(B1000,Nuclides!A:F,5,FALSE)</f>
        <v>Xe112</v>
      </c>
      <c r="F1000">
        <f>VLOOKUP(B1000,Nuclides!A:F,4,FALSE)</f>
        <v>2.7</v>
      </c>
      <c r="G1000" s="3" t="str">
        <f t="shared" si="78"/>
        <v>2.7s</v>
      </c>
      <c r="H1000" s="3">
        <f t="shared" si="79"/>
        <v>0.25672117798516492</v>
      </c>
      <c r="I1000" s="3">
        <f t="shared" si="80"/>
        <v>0</v>
      </c>
      <c r="J1000" s="3">
        <f t="shared" si="81"/>
        <v>0</v>
      </c>
      <c r="K1000" s="3" t="str">
        <f t="shared" si="82"/>
        <v>Xe112</v>
      </c>
      <c r="L1000" s="3" cm="1">
        <f t="array" ref="L1000">SUM(($J1000*EXP(-$H1000*12*3600*_xlfn.SEQUENCE(L$1-1))))+$J1000</f>
        <v>0</v>
      </c>
      <c r="M1000" s="3"/>
      <c r="N1000" s="3"/>
    </row>
    <row r="1001" spans="2:14" hidden="1" x14ac:dyDescent="0.2">
      <c r="B1001" s="3">
        <v>54113</v>
      </c>
      <c r="C1001" s="3">
        <v>0</v>
      </c>
      <c r="D1001">
        <v>998</v>
      </c>
      <c r="E1001" t="str">
        <f>VLOOKUP(B1001,Nuclides!A:F,5,FALSE)</f>
        <v>Xe113</v>
      </c>
      <c r="F1001">
        <f>VLOOKUP(B1001,Nuclides!A:F,4,FALSE)</f>
        <v>2.74</v>
      </c>
      <c r="G1001" s="3" t="str">
        <f t="shared" si="78"/>
        <v>2.74s</v>
      </c>
      <c r="H1001" s="3">
        <f t="shared" si="79"/>
        <v>0.25297342356202379</v>
      </c>
      <c r="I1001" s="3">
        <f t="shared" si="80"/>
        <v>0</v>
      </c>
      <c r="J1001" s="3">
        <f t="shared" si="81"/>
        <v>0</v>
      </c>
      <c r="K1001" s="3" t="str">
        <f t="shared" si="82"/>
        <v>Xe113</v>
      </c>
      <c r="L1001" s="3" cm="1">
        <f t="array" ref="L1001">SUM(($J1001*EXP(-$H1001*12*3600*_xlfn.SEQUENCE(L$1-1))))+$J1001</f>
        <v>0</v>
      </c>
      <c r="M1001" s="3"/>
      <c r="N1001" s="3"/>
    </row>
    <row r="1002" spans="2:14" hidden="1" x14ac:dyDescent="0.2">
      <c r="B1002" s="3">
        <v>54114</v>
      </c>
      <c r="C1002" s="3">
        <v>0</v>
      </c>
      <c r="D1002">
        <v>999</v>
      </c>
      <c r="E1002" t="str">
        <f>VLOOKUP(B1002,Nuclides!A:F,5,FALSE)</f>
        <v>Xe114</v>
      </c>
      <c r="F1002">
        <f>VLOOKUP(B1002,Nuclides!A:F,4,FALSE)</f>
        <v>10</v>
      </c>
      <c r="G1002" s="3" t="str">
        <f t="shared" si="78"/>
        <v>10s</v>
      </c>
      <c r="H1002" s="3">
        <f t="shared" si="79"/>
        <v>6.9314718055994526E-2</v>
      </c>
      <c r="I1002" s="3">
        <f t="shared" si="80"/>
        <v>0</v>
      </c>
      <c r="J1002" s="3">
        <f t="shared" si="81"/>
        <v>0</v>
      </c>
      <c r="K1002" s="3" t="str">
        <f t="shared" si="82"/>
        <v>Xe114</v>
      </c>
      <c r="L1002" s="3" cm="1">
        <f t="array" ref="L1002">SUM(($J1002*EXP(-$H1002*12*3600*_xlfn.SEQUENCE(L$1-1))))+$J1002</f>
        <v>0</v>
      </c>
      <c r="M1002" s="3"/>
      <c r="N1002" s="3"/>
    </row>
    <row r="1003" spans="2:14" hidden="1" x14ac:dyDescent="0.2">
      <c r="B1003" s="3">
        <v>54115</v>
      </c>
      <c r="C1003" s="3">
        <v>0</v>
      </c>
      <c r="D1003">
        <v>1000</v>
      </c>
      <c r="E1003" t="str">
        <f>VLOOKUP(B1003,Nuclides!A:F,5,FALSE)</f>
        <v>Xe115</v>
      </c>
      <c r="F1003">
        <f>VLOOKUP(B1003,Nuclides!A:F,4,FALSE)</f>
        <v>18</v>
      </c>
      <c r="G1003" s="3" t="str">
        <f t="shared" si="78"/>
        <v>18s</v>
      </c>
      <c r="H1003" s="3">
        <f t="shared" si="79"/>
        <v>3.8508176697774739E-2</v>
      </c>
      <c r="I1003" s="3">
        <f t="shared" si="80"/>
        <v>0</v>
      </c>
      <c r="J1003" s="3">
        <f t="shared" si="81"/>
        <v>0</v>
      </c>
      <c r="K1003" s="3" t="str">
        <f t="shared" si="82"/>
        <v>Xe115</v>
      </c>
      <c r="L1003" s="3" cm="1">
        <f t="array" ref="L1003">SUM(($J1003*EXP(-$H1003*12*3600*_xlfn.SEQUENCE(L$1-1))))+$J1003</f>
        <v>0</v>
      </c>
      <c r="M1003" s="3"/>
      <c r="N1003" s="3"/>
    </row>
    <row r="1004" spans="2:14" hidden="1" x14ac:dyDescent="0.2">
      <c r="B1004" s="3">
        <v>54116</v>
      </c>
      <c r="C1004" s="3">
        <v>0</v>
      </c>
      <c r="D1004">
        <v>1001</v>
      </c>
      <c r="E1004" t="str">
        <f>VLOOKUP(B1004,Nuclides!A:F,5,FALSE)</f>
        <v>Xe116</v>
      </c>
      <c r="F1004">
        <f>VLOOKUP(B1004,Nuclides!A:F,4,FALSE)</f>
        <v>59</v>
      </c>
      <c r="G1004" s="3" t="str">
        <f t="shared" si="78"/>
        <v>59s</v>
      </c>
      <c r="H1004" s="3">
        <f t="shared" si="79"/>
        <v>1.1748257297626191E-2</v>
      </c>
      <c r="I1004" s="3">
        <f t="shared" si="80"/>
        <v>0</v>
      </c>
      <c r="J1004" s="3">
        <f t="shared" si="81"/>
        <v>0</v>
      </c>
      <c r="K1004" s="3" t="str">
        <f t="shared" si="82"/>
        <v>Xe116</v>
      </c>
      <c r="L1004" s="3" cm="1">
        <f t="array" ref="L1004">SUM(($J1004*EXP(-$H1004*12*3600*_xlfn.SEQUENCE(L$1-1))))+$J1004</f>
        <v>0</v>
      </c>
      <c r="M1004" s="3"/>
      <c r="N1004" s="3"/>
    </row>
    <row r="1005" spans="2:14" hidden="1" x14ac:dyDescent="0.2">
      <c r="B1005" s="3">
        <v>54117</v>
      </c>
      <c r="C1005" s="3">
        <v>0</v>
      </c>
      <c r="D1005">
        <v>1002</v>
      </c>
      <c r="E1005" t="str">
        <f>VLOOKUP(B1005,Nuclides!A:F,5,FALSE)</f>
        <v>Xe117</v>
      </c>
      <c r="F1005">
        <f>VLOOKUP(B1005,Nuclides!A:F,4,FALSE)</f>
        <v>61</v>
      </c>
      <c r="G1005" s="3" t="str">
        <f t="shared" si="78"/>
        <v>1.02min</v>
      </c>
      <c r="H1005" s="3">
        <f t="shared" si="79"/>
        <v>1.1363068533769595E-2</v>
      </c>
      <c r="I1005" s="3">
        <f t="shared" si="80"/>
        <v>0</v>
      </c>
      <c r="J1005" s="3">
        <f t="shared" si="81"/>
        <v>0</v>
      </c>
      <c r="K1005" s="3" t="str">
        <f t="shared" si="82"/>
        <v>Xe117</v>
      </c>
      <c r="L1005" s="3" cm="1">
        <f t="array" ref="L1005">SUM(($J1005*EXP(-$H1005*12*3600*_xlfn.SEQUENCE(L$1-1))))+$J1005</f>
        <v>0</v>
      </c>
      <c r="M1005" s="3"/>
      <c r="N1005" s="3"/>
    </row>
    <row r="1006" spans="2:14" hidden="1" x14ac:dyDescent="0.2">
      <c r="B1006" s="3">
        <v>54118</v>
      </c>
      <c r="C1006" s="3">
        <v>0</v>
      </c>
      <c r="D1006">
        <v>1003</v>
      </c>
      <c r="E1006" t="str">
        <f>VLOOKUP(B1006,Nuclides!A:F,5,FALSE)</f>
        <v>Xe118</v>
      </c>
      <c r="F1006">
        <f>VLOOKUP(B1006,Nuclides!A:F,4,FALSE)</f>
        <v>228</v>
      </c>
      <c r="G1006" s="3" t="str">
        <f t="shared" si="78"/>
        <v>3.8min</v>
      </c>
      <c r="H1006" s="3">
        <f t="shared" si="79"/>
        <v>3.040119212982216E-3</v>
      </c>
      <c r="I1006" s="3">
        <f t="shared" si="80"/>
        <v>0</v>
      </c>
      <c r="J1006" s="3">
        <f t="shared" si="81"/>
        <v>0</v>
      </c>
      <c r="K1006" s="3" t="str">
        <f t="shared" si="82"/>
        <v>Xe118</v>
      </c>
      <c r="L1006" s="3" cm="1">
        <f t="array" ref="L1006">SUM(($J1006*EXP(-$H1006*12*3600*_xlfn.SEQUENCE(L$1-1))))+$J1006</f>
        <v>0</v>
      </c>
      <c r="M1006" s="3"/>
      <c r="N1006" s="3"/>
    </row>
    <row r="1007" spans="2:14" hidden="1" x14ac:dyDescent="0.2">
      <c r="B1007" s="3">
        <v>54119</v>
      </c>
      <c r="C1007" s="3">
        <v>0</v>
      </c>
      <c r="D1007">
        <v>1004</v>
      </c>
      <c r="E1007" t="str">
        <f>VLOOKUP(B1007,Nuclides!A:F,5,FALSE)</f>
        <v>Xe119</v>
      </c>
      <c r="F1007">
        <f>VLOOKUP(B1007,Nuclides!A:F,4,FALSE)</f>
        <v>348</v>
      </c>
      <c r="G1007" s="3" t="str">
        <f t="shared" si="78"/>
        <v>5.8min</v>
      </c>
      <c r="H1007" s="3">
        <f t="shared" si="79"/>
        <v>1.9918022429883486E-3</v>
      </c>
      <c r="I1007" s="3">
        <f t="shared" si="80"/>
        <v>0</v>
      </c>
      <c r="J1007" s="3">
        <f t="shared" si="81"/>
        <v>0</v>
      </c>
      <c r="K1007" s="3" t="str">
        <f t="shared" si="82"/>
        <v>Xe119</v>
      </c>
      <c r="L1007" s="3" cm="1">
        <f t="array" ref="L1007">SUM(($J1007*EXP(-$H1007*12*3600*_xlfn.SEQUENCE(L$1-1))))+$J1007</f>
        <v>0</v>
      </c>
      <c r="M1007" s="3"/>
      <c r="N1007" s="3"/>
    </row>
    <row r="1008" spans="2:14" hidden="1" x14ac:dyDescent="0.2">
      <c r="B1008" s="3">
        <v>54120</v>
      </c>
      <c r="C1008" s="3">
        <v>0</v>
      </c>
      <c r="D1008">
        <v>1005</v>
      </c>
      <c r="E1008" t="str">
        <f>VLOOKUP(B1008,Nuclides!A:F,5,FALSE)</f>
        <v>Xe120</v>
      </c>
      <c r="F1008">
        <f>VLOOKUP(B1008,Nuclides!A:F,4,FALSE)</f>
        <v>2400</v>
      </c>
      <c r="G1008" s="3" t="str">
        <f t="shared" si="78"/>
        <v>40min</v>
      </c>
      <c r="H1008" s="3">
        <f t="shared" si="79"/>
        <v>2.8881132523331054E-4</v>
      </c>
      <c r="I1008" s="3">
        <f t="shared" si="80"/>
        <v>0</v>
      </c>
      <c r="J1008" s="3">
        <f t="shared" si="81"/>
        <v>0</v>
      </c>
      <c r="K1008" s="3" t="str">
        <f t="shared" si="82"/>
        <v>Xe120</v>
      </c>
      <c r="L1008" s="3" cm="1">
        <f t="array" ref="L1008">SUM(($J1008*EXP(-$H1008*12*3600*_xlfn.SEQUENCE(L$1-1))))+$J1008</f>
        <v>0</v>
      </c>
      <c r="M1008" s="3"/>
      <c r="N1008" s="3"/>
    </row>
    <row r="1009" spans="2:14" hidden="1" x14ac:dyDescent="0.2">
      <c r="B1009" s="3">
        <v>54121</v>
      </c>
      <c r="C1009" s="3">
        <v>0</v>
      </c>
      <c r="D1009">
        <v>1006</v>
      </c>
      <c r="E1009" t="str">
        <f>VLOOKUP(B1009,Nuclides!A:F,5,FALSE)</f>
        <v>Xe121</v>
      </c>
      <c r="F1009">
        <f>VLOOKUP(B1009,Nuclides!A:F,4,FALSE)</f>
        <v>2406</v>
      </c>
      <c r="G1009" s="3" t="str">
        <f t="shared" si="78"/>
        <v>40.1min</v>
      </c>
      <c r="H1009" s="3">
        <f t="shared" si="79"/>
        <v>2.8809109748958658E-4</v>
      </c>
      <c r="I1009" s="3">
        <f t="shared" si="80"/>
        <v>0</v>
      </c>
      <c r="J1009" s="3">
        <f t="shared" si="81"/>
        <v>0</v>
      </c>
      <c r="K1009" s="3" t="str">
        <f t="shared" si="82"/>
        <v>Xe121</v>
      </c>
      <c r="L1009" s="3" cm="1">
        <f t="array" ref="L1009">SUM(($J1009*EXP(-$H1009*12*3600*_xlfn.SEQUENCE(L$1-1))))+$J1009</f>
        <v>0</v>
      </c>
      <c r="M1009" s="3"/>
      <c r="N1009" s="3"/>
    </row>
    <row r="1010" spans="2:14" hidden="1" x14ac:dyDescent="0.2">
      <c r="B1010" s="3">
        <v>54122</v>
      </c>
      <c r="C1010" s="3">
        <v>0</v>
      </c>
      <c r="D1010">
        <v>1007</v>
      </c>
      <c r="E1010" t="str">
        <f>VLOOKUP(B1010,Nuclides!A:F,5,FALSE)</f>
        <v>Xe122</v>
      </c>
      <c r="F1010">
        <f>VLOOKUP(B1010,Nuclides!A:F,4,FALSE)</f>
        <v>72360</v>
      </c>
      <c r="G1010" s="3" t="str">
        <f t="shared" si="78"/>
        <v>20.1h</v>
      </c>
      <c r="H1010" s="3">
        <f t="shared" si="79"/>
        <v>9.5791484322822727E-6</v>
      </c>
      <c r="I1010" s="3">
        <f t="shared" si="80"/>
        <v>0</v>
      </c>
      <c r="J1010" s="3">
        <f t="shared" si="81"/>
        <v>0</v>
      </c>
      <c r="K1010" s="3" t="str">
        <f t="shared" si="82"/>
        <v>Xe122</v>
      </c>
      <c r="L1010" s="3" cm="1">
        <f t="array" ref="L1010">SUM(($J1010*EXP(-$H1010*12*3600*_xlfn.SEQUENCE(L$1-1))))+$J1010</f>
        <v>0</v>
      </c>
      <c r="M1010" s="3"/>
      <c r="N1010" s="3"/>
    </row>
    <row r="1011" spans="2:14" hidden="1" x14ac:dyDescent="0.2">
      <c r="B1011" s="3">
        <v>54123</v>
      </c>
      <c r="C1011" s="3">
        <v>0</v>
      </c>
      <c r="D1011">
        <v>1008</v>
      </c>
      <c r="E1011" t="str">
        <f>VLOOKUP(B1011,Nuclides!A:F,5,FALSE)</f>
        <v>Xe123</v>
      </c>
      <c r="F1011">
        <f>VLOOKUP(B1011,Nuclides!A:F,4,FALSE)</f>
        <v>7488</v>
      </c>
      <c r="G1011" s="3" t="str">
        <f t="shared" si="78"/>
        <v>2.08h</v>
      </c>
      <c r="H1011" s="3">
        <f t="shared" si="79"/>
        <v>9.2567732446573888E-5</v>
      </c>
      <c r="I1011" s="3">
        <f t="shared" si="80"/>
        <v>0</v>
      </c>
      <c r="J1011" s="3">
        <f t="shared" si="81"/>
        <v>0</v>
      </c>
      <c r="K1011" s="3" t="str">
        <f t="shared" si="82"/>
        <v>Xe123</v>
      </c>
      <c r="L1011" s="3" cm="1">
        <f t="array" ref="L1011">SUM(($J1011*EXP(-$H1011*12*3600*_xlfn.SEQUENCE(L$1-1))))+$J1011</f>
        <v>0</v>
      </c>
      <c r="M1011" s="3"/>
      <c r="N1011" s="3"/>
    </row>
    <row r="1012" spans="2:14" hidden="1" x14ac:dyDescent="0.2">
      <c r="B1012" s="3">
        <v>54124</v>
      </c>
      <c r="C1012" s="3">
        <v>0</v>
      </c>
      <c r="D1012">
        <v>1009</v>
      </c>
      <c r="E1012" t="str">
        <f>VLOOKUP(B1012,Nuclides!A:F,5,FALSE)</f>
        <v>Xe124</v>
      </c>
      <c r="F1012">
        <f>VLOOKUP(B1012,Nuclides!A:F,4,FALSE)</f>
        <v>5.049216E+21</v>
      </c>
      <c r="G1012" s="3" t="str">
        <f t="shared" si="78"/>
        <v>160109589041096y</v>
      </c>
      <c r="H1012" s="3">
        <f t="shared" si="79"/>
        <v>1.3727817953518829E-22</v>
      </c>
      <c r="I1012" s="3">
        <f t="shared" si="80"/>
        <v>0</v>
      </c>
      <c r="J1012" s="3">
        <f t="shared" si="81"/>
        <v>0</v>
      </c>
      <c r="K1012" s="3" t="str">
        <f t="shared" si="82"/>
        <v>Xe124</v>
      </c>
      <c r="L1012" s="3" cm="1">
        <f t="array" ref="L1012">SUM(($J1012*EXP(-$H1012*12*3600*_xlfn.SEQUENCE(L$1-1))))+$J1012</f>
        <v>0</v>
      </c>
      <c r="M1012" s="3"/>
      <c r="N1012" s="3"/>
    </row>
    <row r="1013" spans="2:14" hidden="1" x14ac:dyDescent="0.2">
      <c r="B1013" s="3">
        <v>54125</v>
      </c>
      <c r="C1013" s="3">
        <v>0</v>
      </c>
      <c r="D1013">
        <v>1010</v>
      </c>
      <c r="E1013" t="str">
        <f>VLOOKUP(B1013,Nuclides!A:F,5,FALSE)</f>
        <v>Xe125</v>
      </c>
      <c r="F1013">
        <f>VLOOKUP(B1013,Nuclides!A:F,4,FALSE)</f>
        <v>60839.999999999898</v>
      </c>
      <c r="G1013" s="3" t="str">
        <f t="shared" si="78"/>
        <v>16.9h</v>
      </c>
      <c r="H1013" s="3">
        <f t="shared" si="79"/>
        <v>1.1392951685732191E-5</v>
      </c>
      <c r="I1013" s="3">
        <f t="shared" si="80"/>
        <v>0</v>
      </c>
      <c r="J1013" s="3">
        <f t="shared" si="81"/>
        <v>0</v>
      </c>
      <c r="K1013" s="3" t="str">
        <f t="shared" si="82"/>
        <v>Xe125</v>
      </c>
      <c r="L1013" s="3" cm="1">
        <f t="array" ref="L1013">SUM(($J1013*EXP(-$H1013*12*3600*_xlfn.SEQUENCE(L$1-1))))+$J1013</f>
        <v>0</v>
      </c>
      <c r="M1013" s="3"/>
      <c r="N1013" s="3"/>
    </row>
    <row r="1014" spans="2:14" hidden="1" x14ac:dyDescent="0.2">
      <c r="B1014" s="3">
        <v>54126</v>
      </c>
      <c r="C1014" s="3">
        <v>0</v>
      </c>
      <c r="D1014">
        <v>1011</v>
      </c>
      <c r="E1014" t="str">
        <f>VLOOKUP(B1014,Nuclides!A:F,5,FALSE)</f>
        <v>Xe126</v>
      </c>
      <c r="F1014" t="str">
        <f>VLOOKUP(B1014,Nuclides!A:F,4,FALSE)</f>
        <v>STABLE</v>
      </c>
      <c r="G1014" s="3" t="str">
        <f t="shared" si="78"/>
        <v>STABLE</v>
      </c>
      <c r="H1014" s="3" t="e">
        <f t="shared" si="79"/>
        <v>#VALUE!</v>
      </c>
      <c r="I1014" s="3" t="e">
        <f t="shared" si="80"/>
        <v>#VALUE!</v>
      </c>
      <c r="J1014" s="3" t="e">
        <f t="shared" si="81"/>
        <v>#VALUE!</v>
      </c>
      <c r="K1014" s="3" t="str">
        <f t="shared" si="82"/>
        <v>Xe126</v>
      </c>
      <c r="L1014" s="3" t="e" cm="1">
        <f t="array" ref="L1014">SUM(($J1014*EXP(-$H1014*12*3600*_xlfn.SEQUENCE(L$1-1))))+$J1014</f>
        <v>#VALUE!</v>
      </c>
      <c r="M1014" s="3"/>
      <c r="N1014" s="3"/>
    </row>
    <row r="1015" spans="2:14" hidden="1" x14ac:dyDescent="0.2">
      <c r="B1015" s="3">
        <v>54127</v>
      </c>
      <c r="C1015" s="3">
        <v>0</v>
      </c>
      <c r="D1015">
        <v>1012</v>
      </c>
      <c r="E1015" t="str">
        <f>VLOOKUP(B1015,Nuclides!A:F,5,FALSE)</f>
        <v>Xe127</v>
      </c>
      <c r="F1015">
        <f>VLOOKUP(B1015,Nuclides!A:F,4,FALSE)</f>
        <v>3140294.4</v>
      </c>
      <c r="G1015" s="3" t="str">
        <f t="shared" si="78"/>
        <v>36.35d</v>
      </c>
      <c r="H1015" s="3">
        <f t="shared" si="79"/>
        <v>2.2072681483619667E-7</v>
      </c>
      <c r="I1015" s="3">
        <f t="shared" si="80"/>
        <v>0</v>
      </c>
      <c r="J1015" s="3">
        <f t="shared" si="81"/>
        <v>0</v>
      </c>
      <c r="K1015" s="3" t="str">
        <f t="shared" si="82"/>
        <v>Xe127</v>
      </c>
      <c r="L1015" s="3" cm="1">
        <f t="array" ref="L1015">SUM(($J1015*EXP(-$H1015*12*3600*_xlfn.SEQUENCE(L$1-1))))+$J1015</f>
        <v>0</v>
      </c>
      <c r="M1015" s="3"/>
      <c r="N1015" s="3"/>
    </row>
    <row r="1016" spans="2:14" hidden="1" x14ac:dyDescent="0.2">
      <c r="B1016" s="3">
        <v>54128</v>
      </c>
      <c r="C1016" s="3">
        <v>0</v>
      </c>
      <c r="D1016">
        <v>1013</v>
      </c>
      <c r="E1016" t="str">
        <f>VLOOKUP(B1016,Nuclides!A:F,5,FALSE)</f>
        <v>Xe128</v>
      </c>
      <c r="F1016" t="str">
        <f>VLOOKUP(B1016,Nuclides!A:F,4,FALSE)</f>
        <v>STABLE</v>
      </c>
      <c r="G1016" s="3" t="str">
        <f t="shared" si="78"/>
        <v>STABLE</v>
      </c>
      <c r="H1016" s="3" t="e">
        <f t="shared" si="79"/>
        <v>#VALUE!</v>
      </c>
      <c r="I1016" s="3" t="e">
        <f t="shared" si="80"/>
        <v>#VALUE!</v>
      </c>
      <c r="J1016" s="3" t="e">
        <f t="shared" si="81"/>
        <v>#VALUE!</v>
      </c>
      <c r="K1016" s="3" t="str">
        <f t="shared" si="82"/>
        <v>Xe128</v>
      </c>
      <c r="L1016" s="3" t="e" cm="1">
        <f t="array" ref="L1016">SUM(($J1016*EXP(-$H1016*12*3600*_xlfn.SEQUENCE(L$1-1))))+$J1016</f>
        <v>#VALUE!</v>
      </c>
      <c r="M1016" s="3"/>
      <c r="N1016" s="3"/>
    </row>
    <row r="1017" spans="2:14" hidden="1" x14ac:dyDescent="0.2">
      <c r="B1017" s="3">
        <v>54129</v>
      </c>
      <c r="C1017" s="3">
        <v>0</v>
      </c>
      <c r="D1017">
        <v>1014</v>
      </c>
      <c r="E1017" t="str">
        <f>VLOOKUP(B1017,Nuclides!A:F,5,FALSE)</f>
        <v>Xe129</v>
      </c>
      <c r="F1017" t="str">
        <f>VLOOKUP(B1017,Nuclides!A:F,4,FALSE)</f>
        <v>STABLE</v>
      </c>
      <c r="G1017" s="3" t="str">
        <f t="shared" si="78"/>
        <v>STABLE</v>
      </c>
      <c r="H1017" s="3" t="e">
        <f t="shared" si="79"/>
        <v>#VALUE!</v>
      </c>
      <c r="I1017" s="3" t="e">
        <f t="shared" si="80"/>
        <v>#VALUE!</v>
      </c>
      <c r="J1017" s="3" t="e">
        <f t="shared" si="81"/>
        <v>#VALUE!</v>
      </c>
      <c r="K1017" s="3" t="str">
        <f t="shared" si="82"/>
        <v>Xe129</v>
      </c>
      <c r="L1017" s="3" t="e" cm="1">
        <f t="array" ref="L1017">SUM(($J1017*EXP(-$H1017*12*3600*_xlfn.SEQUENCE(L$1-1))))+$J1017</f>
        <v>#VALUE!</v>
      </c>
      <c r="M1017" s="3"/>
      <c r="N1017" s="3"/>
    </row>
    <row r="1018" spans="2:14" hidden="1" x14ac:dyDescent="0.2">
      <c r="B1018" s="3">
        <v>54130</v>
      </c>
      <c r="C1018" s="3">
        <v>0</v>
      </c>
      <c r="D1018">
        <v>1015</v>
      </c>
      <c r="E1018" t="str">
        <f>VLOOKUP(B1018,Nuclides!A:F,5,FALSE)</f>
        <v>Xe130</v>
      </c>
      <c r="F1018" t="str">
        <f>VLOOKUP(B1018,Nuclides!A:F,4,FALSE)</f>
        <v>STABLE</v>
      </c>
      <c r="G1018" s="3" t="str">
        <f t="shared" si="78"/>
        <v>STABLE</v>
      </c>
      <c r="H1018" s="3" t="e">
        <f t="shared" si="79"/>
        <v>#VALUE!</v>
      </c>
      <c r="I1018" s="3" t="e">
        <f t="shared" si="80"/>
        <v>#VALUE!</v>
      </c>
      <c r="J1018" s="3" t="e">
        <f t="shared" si="81"/>
        <v>#VALUE!</v>
      </c>
      <c r="K1018" s="3" t="str">
        <f t="shared" si="82"/>
        <v>Xe130</v>
      </c>
      <c r="L1018" s="3" t="e" cm="1">
        <f t="array" ref="L1018">SUM(($J1018*EXP(-$H1018*12*3600*_xlfn.SEQUENCE(L$1-1))))+$J1018</f>
        <v>#VALUE!</v>
      </c>
      <c r="M1018" s="3"/>
      <c r="N1018" s="3"/>
    </row>
    <row r="1019" spans="2:14" hidden="1" x14ac:dyDescent="0.2">
      <c r="B1019" s="3">
        <v>54131</v>
      </c>
      <c r="C1019" s="3">
        <v>0</v>
      </c>
      <c r="D1019">
        <v>1016</v>
      </c>
      <c r="E1019" t="str">
        <f>VLOOKUP(B1019,Nuclides!A:F,5,FALSE)</f>
        <v>Xe131</v>
      </c>
      <c r="F1019" t="str">
        <f>VLOOKUP(B1019,Nuclides!A:F,4,FALSE)</f>
        <v>STABLE</v>
      </c>
      <c r="G1019" s="3" t="str">
        <f t="shared" si="78"/>
        <v>STABLE</v>
      </c>
      <c r="H1019" s="3" t="e">
        <f t="shared" si="79"/>
        <v>#VALUE!</v>
      </c>
      <c r="I1019" s="3" t="e">
        <f t="shared" si="80"/>
        <v>#VALUE!</v>
      </c>
      <c r="J1019" s="3" t="e">
        <f t="shared" si="81"/>
        <v>#VALUE!</v>
      </c>
      <c r="K1019" s="3" t="str">
        <f t="shared" si="82"/>
        <v>Xe131</v>
      </c>
      <c r="L1019" s="3" t="e" cm="1">
        <f t="array" ref="L1019">SUM(($J1019*EXP(-$H1019*12*3600*_xlfn.SEQUENCE(L$1-1))))+$J1019</f>
        <v>#VALUE!</v>
      </c>
      <c r="M1019" s="3"/>
      <c r="N1019" s="3"/>
    </row>
    <row r="1020" spans="2:14" hidden="1" x14ac:dyDescent="0.2">
      <c r="B1020" s="3">
        <v>54132</v>
      </c>
      <c r="C1020" s="3">
        <v>0</v>
      </c>
      <c r="D1020">
        <v>1017</v>
      </c>
      <c r="E1020" t="str">
        <f>VLOOKUP(B1020,Nuclides!A:F,5,FALSE)</f>
        <v>Xe132</v>
      </c>
      <c r="F1020" t="str">
        <f>VLOOKUP(B1020,Nuclides!A:F,4,FALSE)</f>
        <v>STABLE</v>
      </c>
      <c r="G1020" s="3" t="str">
        <f t="shared" si="78"/>
        <v>STABLE</v>
      </c>
      <c r="H1020" s="3" t="e">
        <f t="shared" si="79"/>
        <v>#VALUE!</v>
      </c>
      <c r="I1020" s="3" t="e">
        <f t="shared" si="80"/>
        <v>#VALUE!</v>
      </c>
      <c r="J1020" s="3" t="e">
        <f t="shared" si="81"/>
        <v>#VALUE!</v>
      </c>
      <c r="K1020" s="3" t="str">
        <f t="shared" si="82"/>
        <v>Xe132</v>
      </c>
      <c r="L1020" s="3" t="e" cm="1">
        <f t="array" ref="L1020">SUM(($J1020*EXP(-$H1020*12*3600*_xlfn.SEQUENCE(L$1-1))))+$J1020</f>
        <v>#VALUE!</v>
      </c>
      <c r="M1020" s="3"/>
      <c r="N1020" s="3"/>
    </row>
    <row r="1021" spans="2:14" hidden="1" x14ac:dyDescent="0.2">
      <c r="B1021" s="3">
        <v>54133</v>
      </c>
      <c r="C1021" s="3">
        <v>0</v>
      </c>
      <c r="D1021">
        <v>1018</v>
      </c>
      <c r="E1021" t="str">
        <f>VLOOKUP(B1021,Nuclides!A:F,5,FALSE)</f>
        <v>Xe133</v>
      </c>
      <c r="F1021">
        <f>VLOOKUP(B1021,Nuclides!A:F,4,FALSE)</f>
        <v>453383.99999999901</v>
      </c>
      <c r="G1021" s="3" t="str">
        <f t="shared" si="78"/>
        <v>5.25d</v>
      </c>
      <c r="H1021" s="3">
        <f t="shared" si="79"/>
        <v>1.5288302643232817E-6</v>
      </c>
      <c r="I1021" s="3">
        <f t="shared" si="80"/>
        <v>0</v>
      </c>
      <c r="J1021" s="3">
        <f t="shared" si="81"/>
        <v>0</v>
      </c>
      <c r="K1021" s="3" t="str">
        <f t="shared" si="82"/>
        <v>Xe133</v>
      </c>
      <c r="L1021" s="3" cm="1">
        <f t="array" ref="L1021">SUM(($J1021*EXP(-$H1021*12*3600*_xlfn.SEQUENCE(L$1-1))))+$J1021</f>
        <v>0</v>
      </c>
      <c r="M1021" s="3"/>
      <c r="N1021" s="3"/>
    </row>
    <row r="1022" spans="2:14" hidden="1" x14ac:dyDescent="0.2">
      <c r="B1022" s="3">
        <v>54134</v>
      </c>
      <c r="C1022" s="3">
        <v>0</v>
      </c>
      <c r="D1022">
        <v>1019</v>
      </c>
      <c r="E1022" t="str">
        <f>VLOOKUP(B1022,Nuclides!A:F,5,FALSE)</f>
        <v>Xe134</v>
      </c>
      <c r="F1022">
        <f>VLOOKUP(B1022,Nuclides!A:F,4,FALSE)</f>
        <v>1.8303407999999899E+30</v>
      </c>
      <c r="G1022" s="3" t="str">
        <f t="shared" si="78"/>
        <v>5.80397260273969E+22y</v>
      </c>
      <c r="H1022" s="3">
        <f t="shared" si="79"/>
        <v>3.7869842630396979E-31</v>
      </c>
      <c r="I1022" s="3">
        <f t="shared" si="80"/>
        <v>0</v>
      </c>
      <c r="J1022" s="3">
        <f t="shared" si="81"/>
        <v>0</v>
      </c>
      <c r="K1022" s="3" t="str">
        <f t="shared" si="82"/>
        <v>Xe134</v>
      </c>
      <c r="L1022" s="3" cm="1">
        <f t="array" ref="L1022">SUM(($J1022*EXP(-$H1022*12*3600*_xlfn.SEQUENCE(L$1-1))))+$J1022</f>
        <v>0</v>
      </c>
      <c r="M1022" s="3"/>
      <c r="N1022" s="3"/>
    </row>
    <row r="1023" spans="2:14" hidden="1" x14ac:dyDescent="0.2">
      <c r="B1023" s="3">
        <v>54135</v>
      </c>
      <c r="C1023" s="3">
        <v>0</v>
      </c>
      <c r="D1023">
        <v>1020</v>
      </c>
      <c r="E1023" t="str">
        <f>VLOOKUP(B1023,Nuclides!A:F,5,FALSE)</f>
        <v>Xe135</v>
      </c>
      <c r="F1023">
        <f>VLOOKUP(B1023,Nuclides!A:F,4,FALSE)</f>
        <v>32904</v>
      </c>
      <c r="G1023" s="3" t="str">
        <f t="shared" si="78"/>
        <v>9.14h</v>
      </c>
      <c r="H1023" s="3">
        <f t="shared" si="79"/>
        <v>2.1065742176025568E-5</v>
      </c>
      <c r="I1023" s="3">
        <f t="shared" si="80"/>
        <v>0</v>
      </c>
      <c r="J1023" s="3">
        <f t="shared" si="81"/>
        <v>0</v>
      </c>
      <c r="K1023" s="3" t="str">
        <f t="shared" si="82"/>
        <v>Xe135</v>
      </c>
      <c r="L1023" s="3" cm="1">
        <f t="array" ref="L1023">SUM(($J1023*EXP(-$H1023*12*3600*_xlfn.SEQUENCE(L$1-1))))+$J1023</f>
        <v>0</v>
      </c>
      <c r="M1023" s="3"/>
      <c r="N1023" s="3"/>
    </row>
    <row r="1024" spans="2:14" hidden="1" x14ac:dyDescent="0.2">
      <c r="B1024" s="3">
        <v>54136</v>
      </c>
      <c r="C1024" s="3">
        <v>0</v>
      </c>
      <c r="D1024">
        <v>1021</v>
      </c>
      <c r="E1024" t="str">
        <f>VLOOKUP(B1024,Nuclides!A:F,5,FALSE)</f>
        <v>Xe136</v>
      </c>
      <c r="F1024">
        <f>VLOOKUP(B1024,Nuclides!A:F,4,FALSE)</f>
        <v>7.573824E+28</v>
      </c>
      <c r="G1024" s="3" t="str">
        <f t="shared" si="78"/>
        <v>2.40164383561644E+21y</v>
      </c>
      <c r="H1024" s="3">
        <f t="shared" si="79"/>
        <v>9.1518786356792195E-30</v>
      </c>
      <c r="I1024" s="3">
        <f t="shared" si="80"/>
        <v>0</v>
      </c>
      <c r="J1024" s="3">
        <f t="shared" si="81"/>
        <v>0</v>
      </c>
      <c r="K1024" s="3" t="str">
        <f t="shared" si="82"/>
        <v>Xe136</v>
      </c>
      <c r="L1024" s="3" cm="1">
        <f t="array" ref="L1024">SUM(($J1024*EXP(-$H1024*12*3600*_xlfn.SEQUENCE(L$1-1))))+$J1024</f>
        <v>0</v>
      </c>
      <c r="M1024" s="3"/>
      <c r="N1024" s="3"/>
    </row>
    <row r="1025" spans="2:14" hidden="1" x14ac:dyDescent="0.2">
      <c r="B1025" s="3">
        <v>54137</v>
      </c>
      <c r="C1025" s="3">
        <v>0</v>
      </c>
      <c r="D1025">
        <v>1022</v>
      </c>
      <c r="E1025" t="str">
        <f>VLOOKUP(B1025,Nuclides!A:F,5,FALSE)</f>
        <v>Xe137</v>
      </c>
      <c r="F1025">
        <f>VLOOKUP(B1025,Nuclides!A:F,4,FALSE)</f>
        <v>229.08</v>
      </c>
      <c r="G1025" s="3" t="str">
        <f t="shared" si="78"/>
        <v>3.82min</v>
      </c>
      <c r="H1025" s="3">
        <f t="shared" si="79"/>
        <v>3.0257865398984865E-3</v>
      </c>
      <c r="I1025" s="3">
        <f t="shared" si="80"/>
        <v>0</v>
      </c>
      <c r="J1025" s="3">
        <f t="shared" si="81"/>
        <v>0</v>
      </c>
      <c r="K1025" s="3" t="str">
        <f t="shared" si="82"/>
        <v>Xe137</v>
      </c>
      <c r="L1025" s="3" cm="1">
        <f t="array" ref="L1025">SUM(($J1025*EXP(-$H1025*12*3600*_xlfn.SEQUENCE(L$1-1))))+$J1025</f>
        <v>0</v>
      </c>
      <c r="M1025" s="3"/>
      <c r="N1025" s="3"/>
    </row>
    <row r="1026" spans="2:14" hidden="1" x14ac:dyDescent="0.2">
      <c r="B1026" s="3">
        <v>54138</v>
      </c>
      <c r="C1026" s="3">
        <v>0</v>
      </c>
      <c r="D1026">
        <v>1023</v>
      </c>
      <c r="E1026" t="str">
        <f>VLOOKUP(B1026,Nuclides!A:F,5,FALSE)</f>
        <v>Xe138</v>
      </c>
      <c r="F1026">
        <f>VLOOKUP(B1026,Nuclides!A:F,4,FALSE)</f>
        <v>848.4</v>
      </c>
      <c r="G1026" s="3" t="str">
        <f t="shared" si="78"/>
        <v>14.14min</v>
      </c>
      <c r="H1026" s="3">
        <f t="shared" si="79"/>
        <v>8.170051633191246E-4</v>
      </c>
      <c r="I1026" s="3">
        <f t="shared" si="80"/>
        <v>0</v>
      </c>
      <c r="J1026" s="3">
        <f t="shared" si="81"/>
        <v>0</v>
      </c>
      <c r="K1026" s="3" t="str">
        <f t="shared" si="82"/>
        <v>Xe138</v>
      </c>
      <c r="L1026" s="3" cm="1">
        <f t="array" ref="L1026">SUM(($J1026*EXP(-$H1026*12*3600*_xlfn.SEQUENCE(L$1-1))))+$J1026</f>
        <v>0</v>
      </c>
      <c r="M1026" s="3"/>
      <c r="N1026" s="3"/>
    </row>
    <row r="1027" spans="2:14" hidden="1" x14ac:dyDescent="0.2">
      <c r="B1027" s="3">
        <v>54139</v>
      </c>
      <c r="C1027" s="3">
        <v>0</v>
      </c>
      <c r="D1027">
        <v>1024</v>
      </c>
      <c r="E1027" t="str">
        <f>VLOOKUP(B1027,Nuclides!A:F,5,FALSE)</f>
        <v>Xe139</v>
      </c>
      <c r="F1027">
        <f>VLOOKUP(B1027,Nuclides!A:F,4,FALSE)</f>
        <v>39.68</v>
      </c>
      <c r="G1027" s="3" t="str">
        <f t="shared" si="78"/>
        <v>39.68s</v>
      </c>
      <c r="H1027" s="3">
        <f t="shared" si="79"/>
        <v>1.7468426929434105E-2</v>
      </c>
      <c r="I1027" s="3">
        <f t="shared" si="80"/>
        <v>0</v>
      </c>
      <c r="J1027" s="3">
        <f t="shared" si="81"/>
        <v>0</v>
      </c>
      <c r="K1027" s="3" t="str">
        <f t="shared" si="82"/>
        <v>Xe139</v>
      </c>
      <c r="L1027" s="3" cm="1">
        <f t="array" ref="L1027">SUM(($J1027*EXP(-$H1027*12*3600*_xlfn.SEQUENCE(L$1-1))))+$J1027</f>
        <v>0</v>
      </c>
      <c r="M1027" s="3"/>
      <c r="N1027" s="3"/>
    </row>
    <row r="1028" spans="2:14" hidden="1" x14ac:dyDescent="0.2">
      <c r="B1028" s="3">
        <v>54140</v>
      </c>
      <c r="C1028" s="3">
        <v>0</v>
      </c>
      <c r="D1028">
        <v>1025</v>
      </c>
      <c r="E1028" t="str">
        <f>VLOOKUP(B1028,Nuclides!A:F,5,FALSE)</f>
        <v>Xe140</v>
      </c>
      <c r="F1028">
        <f>VLOOKUP(B1028,Nuclides!A:F,4,FALSE)</f>
        <v>13.6</v>
      </c>
      <c r="G1028" s="3" t="str">
        <f t="shared" ref="G1028:G1091" si="83">IF(F1028="STABLE", "STABLE", IF(F1028&lt;60, F1028&amp;"s", IF(F1028&lt;3600, ROUND(F1028/60,2)&amp;"min", IF(F1028&lt;86400, ROUND(F1028/3600,2)&amp;"h", IF(F1028&lt;31536000, ROUND(F1028/86400,2)&amp;"d", ROUND(F1028/31536000,2)&amp;"y")))))</f>
        <v>13.6s</v>
      </c>
      <c r="H1028" s="3">
        <f t="shared" ref="H1028:H1091" si="84">LN(2)/F1028</f>
        <v>5.0966704452937155E-2</v>
      </c>
      <c r="I1028" s="3">
        <f t="shared" ref="I1028:I1091" si="85">100*6240000000000*C1028*(1-EXP(-H1028*2*3600))</f>
        <v>0</v>
      </c>
      <c r="J1028" s="3">
        <f t="shared" ref="J1028:J1091" si="86">I1028*EXP(-H1028*10*3600)</f>
        <v>0</v>
      </c>
      <c r="K1028" s="3" t="str">
        <f t="shared" ref="K1028:K1091" si="87">E1028</f>
        <v>Xe140</v>
      </c>
      <c r="L1028" s="3" cm="1">
        <f t="array" ref="L1028">SUM(($J1028*EXP(-$H1028*12*3600*_xlfn.SEQUENCE(L$1-1))))+$J1028</f>
        <v>0</v>
      </c>
      <c r="M1028" s="3"/>
      <c r="N1028" s="3"/>
    </row>
    <row r="1029" spans="2:14" hidden="1" x14ac:dyDescent="0.2">
      <c r="B1029" s="3">
        <v>54141</v>
      </c>
      <c r="C1029" s="3">
        <v>0</v>
      </c>
      <c r="D1029">
        <v>1026</v>
      </c>
      <c r="E1029" t="str">
        <f>VLOOKUP(B1029,Nuclides!A:F,5,FALSE)</f>
        <v>Xe141</v>
      </c>
      <c r="F1029">
        <f>VLOOKUP(B1029,Nuclides!A:F,4,FALSE)</f>
        <v>1.73</v>
      </c>
      <c r="G1029" s="3" t="str">
        <f t="shared" si="83"/>
        <v>1.73s</v>
      </c>
      <c r="H1029" s="3">
        <f t="shared" si="84"/>
        <v>0.40066311015025741</v>
      </c>
      <c r="I1029" s="3">
        <f t="shared" si="85"/>
        <v>0</v>
      </c>
      <c r="J1029" s="3">
        <f t="shared" si="86"/>
        <v>0</v>
      </c>
      <c r="K1029" s="3" t="str">
        <f t="shared" si="87"/>
        <v>Xe141</v>
      </c>
      <c r="L1029" s="3" cm="1">
        <f t="array" ref="L1029">SUM(($J1029*EXP(-$H1029*12*3600*_xlfn.SEQUENCE(L$1-1))))+$J1029</f>
        <v>0</v>
      </c>
      <c r="M1029" s="3"/>
      <c r="N1029" s="3"/>
    </row>
    <row r="1030" spans="2:14" hidden="1" x14ac:dyDescent="0.2">
      <c r="B1030" s="3">
        <v>54142</v>
      </c>
      <c r="C1030" s="3">
        <v>0</v>
      </c>
      <c r="D1030">
        <v>1027</v>
      </c>
      <c r="E1030" t="str">
        <f>VLOOKUP(B1030,Nuclides!A:F,5,FALSE)</f>
        <v>Xe142</v>
      </c>
      <c r="F1030">
        <f>VLOOKUP(B1030,Nuclides!A:F,4,FALSE)</f>
        <v>1.23</v>
      </c>
      <c r="G1030" s="3" t="str">
        <f t="shared" si="83"/>
        <v>1.23s</v>
      </c>
      <c r="H1030" s="3">
        <f t="shared" si="84"/>
        <v>0.56353429313816694</v>
      </c>
      <c r="I1030" s="3">
        <f t="shared" si="85"/>
        <v>0</v>
      </c>
      <c r="J1030" s="3">
        <f t="shared" si="86"/>
        <v>0</v>
      </c>
      <c r="K1030" s="3" t="str">
        <f t="shared" si="87"/>
        <v>Xe142</v>
      </c>
      <c r="L1030" s="3" cm="1">
        <f t="array" ref="L1030">SUM(($J1030*EXP(-$H1030*12*3600*_xlfn.SEQUENCE(L$1-1))))+$J1030</f>
        <v>0</v>
      </c>
      <c r="M1030" s="3"/>
      <c r="N1030" s="3"/>
    </row>
    <row r="1031" spans="2:14" hidden="1" x14ac:dyDescent="0.2">
      <c r="B1031" s="3">
        <v>54143</v>
      </c>
      <c r="C1031" s="3">
        <v>0</v>
      </c>
      <c r="D1031">
        <v>1028</v>
      </c>
      <c r="E1031" t="str">
        <f>VLOOKUP(B1031,Nuclides!A:F,5,FALSE)</f>
        <v>Xe143</v>
      </c>
      <c r="F1031">
        <f>VLOOKUP(B1031,Nuclides!A:F,4,FALSE)</f>
        <v>0.51100000000000001</v>
      </c>
      <c r="G1031" s="3" t="str">
        <f t="shared" si="83"/>
        <v>0.511s</v>
      </c>
      <c r="H1031" s="3">
        <f t="shared" si="84"/>
        <v>1.3564524081407932</v>
      </c>
      <c r="I1031" s="3">
        <f t="shared" si="85"/>
        <v>0</v>
      </c>
      <c r="J1031" s="3">
        <f t="shared" si="86"/>
        <v>0</v>
      </c>
      <c r="K1031" s="3" t="str">
        <f t="shared" si="87"/>
        <v>Xe143</v>
      </c>
      <c r="L1031" s="3" cm="1">
        <f t="array" ref="L1031">SUM(($J1031*EXP(-$H1031*12*3600*_xlfn.SEQUENCE(L$1-1))))+$J1031</f>
        <v>0</v>
      </c>
      <c r="M1031" s="3"/>
      <c r="N1031" s="3"/>
    </row>
    <row r="1032" spans="2:14" hidden="1" x14ac:dyDescent="0.2">
      <c r="B1032" s="3">
        <v>54144</v>
      </c>
      <c r="C1032" s="3">
        <v>0</v>
      </c>
      <c r="D1032">
        <v>1029</v>
      </c>
      <c r="E1032" t="str">
        <f>VLOOKUP(B1032,Nuclides!A:F,5,FALSE)</f>
        <v>Xe144</v>
      </c>
      <c r="F1032">
        <f>VLOOKUP(B1032,Nuclides!A:F,4,FALSE)</f>
        <v>0.38800000000000001</v>
      </c>
      <c r="G1032" s="3" t="str">
        <f t="shared" si="83"/>
        <v>0.388s</v>
      </c>
      <c r="H1032" s="3">
        <f t="shared" si="84"/>
        <v>1.7864618055668693</v>
      </c>
      <c r="I1032" s="3">
        <f t="shared" si="85"/>
        <v>0</v>
      </c>
      <c r="J1032" s="3">
        <f t="shared" si="86"/>
        <v>0</v>
      </c>
      <c r="K1032" s="3" t="str">
        <f t="shared" si="87"/>
        <v>Xe144</v>
      </c>
      <c r="L1032" s="3" cm="1">
        <f t="array" ref="L1032">SUM(($J1032*EXP(-$H1032*12*3600*_xlfn.SEQUENCE(L$1-1))))+$J1032</f>
        <v>0</v>
      </c>
      <c r="M1032" s="3"/>
      <c r="N1032" s="3"/>
    </row>
    <row r="1033" spans="2:14" hidden="1" x14ac:dyDescent="0.2">
      <c r="B1033" s="3">
        <v>54145</v>
      </c>
      <c r="C1033" s="3">
        <v>0</v>
      </c>
      <c r="D1033">
        <v>1030</v>
      </c>
      <c r="E1033" t="str">
        <f>VLOOKUP(B1033,Nuclides!A:F,5,FALSE)</f>
        <v>Xe145</v>
      </c>
      <c r="F1033">
        <f>VLOOKUP(B1033,Nuclides!A:F,4,FALSE)</f>
        <v>0.188</v>
      </c>
      <c r="G1033" s="3" t="str">
        <f t="shared" si="83"/>
        <v>0.188s</v>
      </c>
      <c r="H1033" s="3">
        <f t="shared" si="84"/>
        <v>3.6869530880848154</v>
      </c>
      <c r="I1033" s="3">
        <f t="shared" si="85"/>
        <v>0</v>
      </c>
      <c r="J1033" s="3">
        <f t="shared" si="86"/>
        <v>0</v>
      </c>
      <c r="K1033" s="3" t="str">
        <f t="shared" si="87"/>
        <v>Xe145</v>
      </c>
      <c r="L1033" s="3" cm="1">
        <f t="array" ref="L1033">SUM(($J1033*EXP(-$H1033*12*3600*_xlfn.SEQUENCE(L$1-1))))+$J1033</f>
        <v>0</v>
      </c>
      <c r="M1033" s="3"/>
      <c r="N1033" s="3"/>
    </row>
    <row r="1034" spans="2:14" hidden="1" x14ac:dyDescent="0.2">
      <c r="B1034" s="3">
        <v>55114</v>
      </c>
      <c r="C1034" s="3">
        <v>0</v>
      </c>
      <c r="D1034">
        <v>1031</v>
      </c>
      <c r="E1034" t="str">
        <f>VLOOKUP(B1034,Nuclides!A:F,5,FALSE)</f>
        <v>Cs114</v>
      </c>
      <c r="F1034">
        <f>VLOOKUP(B1034,Nuclides!A:F,4,FALSE)</f>
        <v>0.56999999999999995</v>
      </c>
      <c r="G1034" s="3" t="str">
        <f t="shared" si="83"/>
        <v>0.57s</v>
      </c>
      <c r="H1034" s="3">
        <f t="shared" si="84"/>
        <v>1.2160476851928865</v>
      </c>
      <c r="I1034" s="3">
        <f t="shared" si="85"/>
        <v>0</v>
      </c>
      <c r="J1034" s="3">
        <f t="shared" si="86"/>
        <v>0</v>
      </c>
      <c r="K1034" s="3" t="str">
        <f t="shared" si="87"/>
        <v>Cs114</v>
      </c>
      <c r="L1034" s="3" cm="1">
        <f t="array" ref="L1034">SUM(($J1034*EXP(-$H1034*12*3600*_xlfn.SEQUENCE(L$1-1))))+$J1034</f>
        <v>0</v>
      </c>
      <c r="M1034" s="3"/>
      <c r="N1034" s="3"/>
    </row>
    <row r="1035" spans="2:14" hidden="1" x14ac:dyDescent="0.2">
      <c r="B1035" s="3">
        <v>55115</v>
      </c>
      <c r="C1035" s="3">
        <v>0</v>
      </c>
      <c r="D1035">
        <v>1032</v>
      </c>
      <c r="E1035" t="str">
        <f>VLOOKUP(B1035,Nuclides!A:F,5,FALSE)</f>
        <v>Cs115</v>
      </c>
      <c r="F1035">
        <f>VLOOKUP(B1035,Nuclides!A:F,4,FALSE)</f>
        <v>1.4</v>
      </c>
      <c r="G1035" s="3" t="str">
        <f t="shared" si="83"/>
        <v>1.4s</v>
      </c>
      <c r="H1035" s="3">
        <f t="shared" si="84"/>
        <v>0.49510512897138953</v>
      </c>
      <c r="I1035" s="3">
        <f t="shared" si="85"/>
        <v>0</v>
      </c>
      <c r="J1035" s="3">
        <f t="shared" si="86"/>
        <v>0</v>
      </c>
      <c r="K1035" s="3" t="str">
        <f t="shared" si="87"/>
        <v>Cs115</v>
      </c>
      <c r="L1035" s="3" cm="1">
        <f t="array" ref="L1035">SUM(($J1035*EXP(-$H1035*12*3600*_xlfn.SEQUENCE(L$1-1))))+$J1035</f>
        <v>0</v>
      </c>
      <c r="M1035" s="3"/>
      <c r="N1035" s="3"/>
    </row>
    <row r="1036" spans="2:14" hidden="1" x14ac:dyDescent="0.2">
      <c r="B1036" s="3">
        <v>55116</v>
      </c>
      <c r="C1036" s="3">
        <v>0</v>
      </c>
      <c r="D1036">
        <v>1033</v>
      </c>
      <c r="E1036" t="str">
        <f>VLOOKUP(B1036,Nuclides!A:F,5,FALSE)</f>
        <v>Cs116</v>
      </c>
      <c r="F1036">
        <f>VLOOKUP(B1036,Nuclides!A:F,4,FALSE)</f>
        <v>0.7</v>
      </c>
      <c r="G1036" s="3" t="str">
        <f t="shared" si="83"/>
        <v>0.7s</v>
      </c>
      <c r="H1036" s="3">
        <f t="shared" si="84"/>
        <v>0.99021025794277906</v>
      </c>
      <c r="I1036" s="3">
        <f t="shared" si="85"/>
        <v>0</v>
      </c>
      <c r="J1036" s="3">
        <f t="shared" si="86"/>
        <v>0</v>
      </c>
      <c r="K1036" s="3" t="str">
        <f t="shared" si="87"/>
        <v>Cs116</v>
      </c>
      <c r="L1036" s="3" cm="1">
        <f t="array" ref="L1036">SUM(($J1036*EXP(-$H1036*12*3600*_xlfn.SEQUENCE(L$1-1))))+$J1036</f>
        <v>0</v>
      </c>
      <c r="M1036" s="3"/>
      <c r="N1036" s="3"/>
    </row>
    <row r="1037" spans="2:14" hidden="1" x14ac:dyDescent="0.2">
      <c r="B1037" s="3">
        <v>55117</v>
      </c>
      <c r="C1037" s="3">
        <v>0</v>
      </c>
      <c r="D1037">
        <v>1034</v>
      </c>
      <c r="E1037" t="str">
        <f>VLOOKUP(B1037,Nuclides!A:F,5,FALSE)</f>
        <v>Cs117</v>
      </c>
      <c r="F1037">
        <f>VLOOKUP(B1037,Nuclides!A:F,4,FALSE)</f>
        <v>8.4</v>
      </c>
      <c r="G1037" s="3" t="str">
        <f t="shared" si="83"/>
        <v>8.4s</v>
      </c>
      <c r="H1037" s="3">
        <f t="shared" si="84"/>
        <v>8.2517521495231574E-2</v>
      </c>
      <c r="I1037" s="3">
        <f t="shared" si="85"/>
        <v>0</v>
      </c>
      <c r="J1037" s="3">
        <f t="shared" si="86"/>
        <v>0</v>
      </c>
      <c r="K1037" s="3" t="str">
        <f t="shared" si="87"/>
        <v>Cs117</v>
      </c>
      <c r="L1037" s="3" cm="1">
        <f t="array" ref="L1037">SUM(($J1037*EXP(-$H1037*12*3600*_xlfn.SEQUENCE(L$1-1))))+$J1037</f>
        <v>0</v>
      </c>
      <c r="M1037" s="3"/>
      <c r="N1037" s="3"/>
    </row>
    <row r="1038" spans="2:14" hidden="1" x14ac:dyDescent="0.2">
      <c r="B1038" s="3">
        <v>55118</v>
      </c>
      <c r="C1038" s="3">
        <v>0</v>
      </c>
      <c r="D1038">
        <v>1035</v>
      </c>
      <c r="E1038" t="str">
        <f>VLOOKUP(B1038,Nuclides!A:F,5,FALSE)</f>
        <v>Cs118</v>
      </c>
      <c r="F1038">
        <f>VLOOKUP(B1038,Nuclides!A:F,4,FALSE)</f>
        <v>14</v>
      </c>
      <c r="G1038" s="3" t="str">
        <f t="shared" si="83"/>
        <v>14s</v>
      </c>
      <c r="H1038" s="3">
        <f t="shared" si="84"/>
        <v>4.9510512897138946E-2</v>
      </c>
      <c r="I1038" s="3">
        <f t="shared" si="85"/>
        <v>0</v>
      </c>
      <c r="J1038" s="3">
        <f t="shared" si="86"/>
        <v>0</v>
      </c>
      <c r="K1038" s="3" t="str">
        <f t="shared" si="87"/>
        <v>Cs118</v>
      </c>
      <c r="L1038" s="3" cm="1">
        <f t="array" ref="L1038">SUM(($J1038*EXP(-$H1038*12*3600*_xlfn.SEQUENCE(L$1-1))))+$J1038</f>
        <v>0</v>
      </c>
      <c r="M1038" s="3"/>
      <c r="N1038" s="3"/>
    </row>
    <row r="1039" spans="2:14" hidden="1" x14ac:dyDescent="0.2">
      <c r="B1039" s="3">
        <v>55119</v>
      </c>
      <c r="C1039" s="3">
        <v>0</v>
      </c>
      <c r="D1039">
        <v>1036</v>
      </c>
      <c r="E1039" t="str">
        <f>VLOOKUP(B1039,Nuclides!A:F,5,FALSE)</f>
        <v>Cs119</v>
      </c>
      <c r="F1039">
        <f>VLOOKUP(B1039,Nuclides!A:F,4,FALSE)</f>
        <v>43</v>
      </c>
      <c r="G1039" s="3" t="str">
        <f t="shared" si="83"/>
        <v>43s</v>
      </c>
      <c r="H1039" s="3">
        <f t="shared" si="84"/>
        <v>1.6119701873487099E-2</v>
      </c>
      <c r="I1039" s="3">
        <f t="shared" si="85"/>
        <v>0</v>
      </c>
      <c r="J1039" s="3">
        <f t="shared" si="86"/>
        <v>0</v>
      </c>
      <c r="K1039" s="3" t="str">
        <f t="shared" si="87"/>
        <v>Cs119</v>
      </c>
      <c r="L1039" s="3" cm="1">
        <f t="array" ref="L1039">SUM(($J1039*EXP(-$H1039*12*3600*_xlfn.SEQUENCE(L$1-1))))+$J1039</f>
        <v>0</v>
      </c>
      <c r="M1039" s="3"/>
      <c r="N1039" s="3"/>
    </row>
    <row r="1040" spans="2:14" hidden="1" x14ac:dyDescent="0.2">
      <c r="B1040" s="3">
        <v>55120</v>
      </c>
      <c r="C1040" s="3">
        <v>0</v>
      </c>
      <c r="D1040">
        <v>1037</v>
      </c>
      <c r="E1040" t="str">
        <f>VLOOKUP(B1040,Nuclides!A:F,5,FALSE)</f>
        <v>Cs120</v>
      </c>
      <c r="F1040">
        <f>VLOOKUP(B1040,Nuclides!A:F,4,FALSE)</f>
        <v>61.3</v>
      </c>
      <c r="G1040" s="3" t="str">
        <f t="shared" si="83"/>
        <v>1.02min</v>
      </c>
      <c r="H1040" s="3">
        <f t="shared" si="84"/>
        <v>1.1307458084175291E-2</v>
      </c>
      <c r="I1040" s="3">
        <f t="shared" si="85"/>
        <v>0</v>
      </c>
      <c r="J1040" s="3">
        <f t="shared" si="86"/>
        <v>0</v>
      </c>
      <c r="K1040" s="3" t="str">
        <f t="shared" si="87"/>
        <v>Cs120</v>
      </c>
      <c r="L1040" s="3" cm="1">
        <f t="array" ref="L1040">SUM(($J1040*EXP(-$H1040*12*3600*_xlfn.SEQUENCE(L$1-1))))+$J1040</f>
        <v>0</v>
      </c>
      <c r="M1040" s="3"/>
      <c r="N1040" s="3"/>
    </row>
    <row r="1041" spans="2:14" hidden="1" x14ac:dyDescent="0.2">
      <c r="B1041" s="3">
        <v>55121</v>
      </c>
      <c r="C1041" s="3">
        <v>0</v>
      </c>
      <c r="D1041">
        <v>1038</v>
      </c>
      <c r="E1041" t="str">
        <f>VLOOKUP(B1041,Nuclides!A:F,5,FALSE)</f>
        <v>Cs121</v>
      </c>
      <c r="F1041">
        <f>VLOOKUP(B1041,Nuclides!A:F,4,FALSE)</f>
        <v>155</v>
      </c>
      <c r="G1041" s="3" t="str">
        <f t="shared" si="83"/>
        <v>2.58min</v>
      </c>
      <c r="H1041" s="3">
        <f t="shared" si="84"/>
        <v>4.4719172939351312E-3</v>
      </c>
      <c r="I1041" s="3">
        <f t="shared" si="85"/>
        <v>0</v>
      </c>
      <c r="J1041" s="3">
        <f t="shared" si="86"/>
        <v>0</v>
      </c>
      <c r="K1041" s="3" t="str">
        <f t="shared" si="87"/>
        <v>Cs121</v>
      </c>
      <c r="L1041" s="3" cm="1">
        <f t="array" ref="L1041">SUM(($J1041*EXP(-$H1041*12*3600*_xlfn.SEQUENCE(L$1-1))))+$J1041</f>
        <v>0</v>
      </c>
      <c r="M1041" s="3"/>
      <c r="N1041" s="3"/>
    </row>
    <row r="1042" spans="2:14" hidden="1" x14ac:dyDescent="0.2">
      <c r="B1042" s="3">
        <v>55122</v>
      </c>
      <c r="C1042" s="3">
        <v>0</v>
      </c>
      <c r="D1042">
        <v>1039</v>
      </c>
      <c r="E1042" t="str">
        <f>VLOOKUP(B1042,Nuclides!A:F,5,FALSE)</f>
        <v>Cs122</v>
      </c>
      <c r="F1042">
        <f>VLOOKUP(B1042,Nuclides!A:F,4,FALSE)</f>
        <v>21.18</v>
      </c>
      <c r="G1042" s="3" t="str">
        <f t="shared" si="83"/>
        <v>21.18s</v>
      </c>
      <c r="H1042" s="3">
        <f t="shared" si="84"/>
        <v>3.2726495777145669E-2</v>
      </c>
      <c r="I1042" s="3">
        <f t="shared" si="85"/>
        <v>0</v>
      </c>
      <c r="J1042" s="3">
        <f t="shared" si="86"/>
        <v>0</v>
      </c>
      <c r="K1042" s="3" t="str">
        <f t="shared" si="87"/>
        <v>Cs122</v>
      </c>
      <c r="L1042" s="3" cm="1">
        <f t="array" ref="L1042">SUM(($J1042*EXP(-$H1042*12*3600*_xlfn.SEQUENCE(L$1-1))))+$J1042</f>
        <v>0</v>
      </c>
      <c r="M1042" s="3"/>
      <c r="N1042" s="3"/>
    </row>
    <row r="1043" spans="2:14" hidden="1" x14ac:dyDescent="0.2">
      <c r="B1043" s="3">
        <v>55123</v>
      </c>
      <c r="C1043" s="3">
        <v>0</v>
      </c>
      <c r="D1043">
        <v>1040</v>
      </c>
      <c r="E1043" t="str">
        <f>VLOOKUP(B1043,Nuclides!A:F,5,FALSE)</f>
        <v>Cs123</v>
      </c>
      <c r="F1043">
        <f>VLOOKUP(B1043,Nuclides!A:F,4,FALSE)</f>
        <v>352.8</v>
      </c>
      <c r="G1043" s="3" t="str">
        <f t="shared" si="83"/>
        <v>5.88min</v>
      </c>
      <c r="H1043" s="3">
        <f t="shared" si="84"/>
        <v>1.9647028927436091E-3</v>
      </c>
      <c r="I1043" s="3">
        <f t="shared" si="85"/>
        <v>0</v>
      </c>
      <c r="J1043" s="3">
        <f t="shared" si="86"/>
        <v>0</v>
      </c>
      <c r="K1043" s="3" t="str">
        <f t="shared" si="87"/>
        <v>Cs123</v>
      </c>
      <c r="L1043" s="3" cm="1">
        <f t="array" ref="L1043">SUM(($J1043*EXP(-$H1043*12*3600*_xlfn.SEQUENCE(L$1-1))))+$J1043</f>
        <v>0</v>
      </c>
      <c r="M1043" s="3"/>
      <c r="N1043" s="3"/>
    </row>
    <row r="1044" spans="2:14" hidden="1" x14ac:dyDescent="0.2">
      <c r="B1044" s="3">
        <v>55124</v>
      </c>
      <c r="C1044" s="3">
        <v>0</v>
      </c>
      <c r="D1044">
        <v>1041</v>
      </c>
      <c r="E1044" t="str">
        <f>VLOOKUP(B1044,Nuclides!A:F,5,FALSE)</f>
        <v>Cs124</v>
      </c>
      <c r="F1044">
        <f>VLOOKUP(B1044,Nuclides!A:F,4,FALSE)</f>
        <v>30.9</v>
      </c>
      <c r="G1044" s="3" t="str">
        <f t="shared" si="83"/>
        <v>30.9s</v>
      </c>
      <c r="H1044" s="3">
        <f t="shared" si="84"/>
        <v>2.2431947590936741E-2</v>
      </c>
      <c r="I1044" s="3">
        <f t="shared" si="85"/>
        <v>0</v>
      </c>
      <c r="J1044" s="3">
        <f t="shared" si="86"/>
        <v>0</v>
      </c>
      <c r="K1044" s="3" t="str">
        <f t="shared" si="87"/>
        <v>Cs124</v>
      </c>
      <c r="L1044" s="3" cm="1">
        <f t="array" ref="L1044">SUM(($J1044*EXP(-$H1044*12*3600*_xlfn.SEQUENCE(L$1-1))))+$J1044</f>
        <v>0</v>
      </c>
      <c r="M1044" s="3"/>
      <c r="N1044" s="3"/>
    </row>
    <row r="1045" spans="2:14" hidden="1" x14ac:dyDescent="0.2">
      <c r="B1045" s="3">
        <v>55125</v>
      </c>
      <c r="C1045" s="3">
        <v>0</v>
      </c>
      <c r="D1045">
        <v>1042</v>
      </c>
      <c r="E1045" t="str">
        <f>VLOOKUP(B1045,Nuclides!A:F,5,FALSE)</f>
        <v>Cs125</v>
      </c>
      <c r="F1045">
        <f>VLOOKUP(B1045,Nuclides!A:F,4,FALSE)</f>
        <v>2802</v>
      </c>
      <c r="G1045" s="3" t="str">
        <f t="shared" si="83"/>
        <v>46.7min</v>
      </c>
      <c r="H1045" s="3">
        <f t="shared" si="84"/>
        <v>2.4737586743752506E-4</v>
      </c>
      <c r="I1045" s="3">
        <f t="shared" si="85"/>
        <v>0</v>
      </c>
      <c r="J1045" s="3">
        <f t="shared" si="86"/>
        <v>0</v>
      </c>
      <c r="K1045" s="3" t="str">
        <f t="shared" si="87"/>
        <v>Cs125</v>
      </c>
      <c r="L1045" s="3" cm="1">
        <f t="array" ref="L1045">SUM(($J1045*EXP(-$H1045*12*3600*_xlfn.SEQUENCE(L$1-1))))+$J1045</f>
        <v>0</v>
      </c>
      <c r="M1045" s="3"/>
      <c r="N1045" s="3"/>
    </row>
    <row r="1046" spans="2:14" hidden="1" x14ac:dyDescent="0.2">
      <c r="B1046" s="3">
        <v>55126</v>
      </c>
      <c r="C1046" s="3">
        <v>0</v>
      </c>
      <c r="D1046">
        <v>1043</v>
      </c>
      <c r="E1046" t="str">
        <f>VLOOKUP(B1046,Nuclides!A:F,5,FALSE)</f>
        <v>Cs126</v>
      </c>
      <c r="F1046">
        <f>VLOOKUP(B1046,Nuclides!A:F,4,FALSE)</f>
        <v>98.399999999999906</v>
      </c>
      <c r="G1046" s="3" t="str">
        <f t="shared" si="83"/>
        <v>1.64min</v>
      </c>
      <c r="H1046" s="3">
        <f t="shared" si="84"/>
        <v>7.0441786642270934E-3</v>
      </c>
      <c r="I1046" s="3">
        <f t="shared" si="85"/>
        <v>0</v>
      </c>
      <c r="J1046" s="3">
        <f t="shared" si="86"/>
        <v>0</v>
      </c>
      <c r="K1046" s="3" t="str">
        <f t="shared" si="87"/>
        <v>Cs126</v>
      </c>
      <c r="L1046" s="3" cm="1">
        <f t="array" ref="L1046">SUM(($J1046*EXP(-$H1046*12*3600*_xlfn.SEQUENCE(L$1-1))))+$J1046</f>
        <v>0</v>
      </c>
      <c r="M1046" s="3"/>
      <c r="N1046" s="3"/>
    </row>
    <row r="1047" spans="2:14" hidden="1" x14ac:dyDescent="0.2">
      <c r="B1047" s="3">
        <v>55127</v>
      </c>
      <c r="C1047" s="3">
        <v>0</v>
      </c>
      <c r="D1047">
        <v>1044</v>
      </c>
      <c r="E1047" t="str">
        <f>VLOOKUP(B1047,Nuclides!A:F,5,FALSE)</f>
        <v>Cs127</v>
      </c>
      <c r="F1047">
        <f>VLOOKUP(B1047,Nuclides!A:F,4,FALSE)</f>
        <v>22500</v>
      </c>
      <c r="G1047" s="3" t="str">
        <f t="shared" si="83"/>
        <v>6.25h</v>
      </c>
      <c r="H1047" s="3">
        <f t="shared" si="84"/>
        <v>3.0806541358219791E-5</v>
      </c>
      <c r="I1047" s="3">
        <f t="shared" si="85"/>
        <v>0</v>
      </c>
      <c r="J1047" s="3">
        <f t="shared" si="86"/>
        <v>0</v>
      </c>
      <c r="K1047" s="3" t="str">
        <f t="shared" si="87"/>
        <v>Cs127</v>
      </c>
      <c r="L1047" s="3" cm="1">
        <f t="array" ref="L1047">SUM(($J1047*EXP(-$H1047*12*3600*_xlfn.SEQUENCE(L$1-1))))+$J1047</f>
        <v>0</v>
      </c>
      <c r="M1047" s="3"/>
      <c r="N1047" s="3"/>
    </row>
    <row r="1048" spans="2:14" hidden="1" x14ac:dyDescent="0.2">
      <c r="B1048" s="3">
        <v>55128</v>
      </c>
      <c r="C1048" s="3">
        <v>0</v>
      </c>
      <c r="D1048">
        <v>1045</v>
      </c>
      <c r="E1048" t="str">
        <f>VLOOKUP(B1048,Nuclides!A:F,5,FALSE)</f>
        <v>Cs128</v>
      </c>
      <c r="F1048">
        <f>VLOOKUP(B1048,Nuclides!A:F,4,FALSE)</f>
        <v>219.6</v>
      </c>
      <c r="G1048" s="3" t="str">
        <f t="shared" si="83"/>
        <v>3.66min</v>
      </c>
      <c r="H1048" s="3">
        <f t="shared" si="84"/>
        <v>3.1564079260471096E-3</v>
      </c>
      <c r="I1048" s="3">
        <f t="shared" si="85"/>
        <v>0</v>
      </c>
      <c r="J1048" s="3">
        <f t="shared" si="86"/>
        <v>0</v>
      </c>
      <c r="K1048" s="3" t="str">
        <f t="shared" si="87"/>
        <v>Cs128</v>
      </c>
      <c r="L1048" s="3" cm="1">
        <f t="array" ref="L1048">SUM(($J1048*EXP(-$H1048*12*3600*_xlfn.SEQUENCE(L$1-1))))+$J1048</f>
        <v>0</v>
      </c>
      <c r="M1048" s="3"/>
      <c r="N1048" s="3"/>
    </row>
    <row r="1049" spans="2:14" hidden="1" x14ac:dyDescent="0.2">
      <c r="B1049" s="3">
        <v>55129</v>
      </c>
      <c r="C1049" s="3">
        <v>0</v>
      </c>
      <c r="D1049">
        <v>1046</v>
      </c>
      <c r="E1049" t="str">
        <f>VLOOKUP(B1049,Nuclides!A:F,5,FALSE)</f>
        <v>Cs129</v>
      </c>
      <c r="F1049">
        <f>VLOOKUP(B1049,Nuclides!A:F,4,FALSE)</f>
        <v>115416</v>
      </c>
      <c r="G1049" s="3" t="str">
        <f t="shared" si="83"/>
        <v>1.34d</v>
      </c>
      <c r="H1049" s="3">
        <f t="shared" si="84"/>
        <v>6.0056420302206393E-6</v>
      </c>
      <c r="I1049" s="3">
        <f t="shared" si="85"/>
        <v>0</v>
      </c>
      <c r="J1049" s="3">
        <f t="shared" si="86"/>
        <v>0</v>
      </c>
      <c r="K1049" s="3" t="str">
        <f t="shared" si="87"/>
        <v>Cs129</v>
      </c>
      <c r="L1049" s="3" cm="1">
        <f t="array" ref="L1049">SUM(($J1049*EXP(-$H1049*12*3600*_xlfn.SEQUENCE(L$1-1))))+$J1049</f>
        <v>0</v>
      </c>
      <c r="M1049" s="3"/>
      <c r="N1049" s="3"/>
    </row>
    <row r="1050" spans="2:14" hidden="1" x14ac:dyDescent="0.2">
      <c r="B1050" s="3">
        <v>55130</v>
      </c>
      <c r="C1050" s="3">
        <v>0</v>
      </c>
      <c r="D1050">
        <v>1047</v>
      </c>
      <c r="E1050" t="str">
        <f>VLOOKUP(B1050,Nuclides!A:F,5,FALSE)</f>
        <v>Cs130</v>
      </c>
      <c r="F1050">
        <f>VLOOKUP(B1050,Nuclides!A:F,4,FALSE)</f>
        <v>1752.6</v>
      </c>
      <c r="G1050" s="3" t="str">
        <f t="shared" si="83"/>
        <v>29.21min</v>
      </c>
      <c r="H1050" s="3">
        <f t="shared" si="84"/>
        <v>3.9549650836468407E-4</v>
      </c>
      <c r="I1050" s="3">
        <f t="shared" si="85"/>
        <v>0</v>
      </c>
      <c r="J1050" s="3">
        <f t="shared" si="86"/>
        <v>0</v>
      </c>
      <c r="K1050" s="3" t="str">
        <f t="shared" si="87"/>
        <v>Cs130</v>
      </c>
      <c r="L1050" s="3" cm="1">
        <f t="array" ref="L1050">SUM(($J1050*EXP(-$H1050*12*3600*_xlfn.SEQUENCE(L$1-1))))+$J1050</f>
        <v>0</v>
      </c>
      <c r="M1050" s="3"/>
      <c r="N1050" s="3"/>
    </row>
    <row r="1051" spans="2:14" hidden="1" x14ac:dyDescent="0.2">
      <c r="B1051" s="3">
        <v>55131</v>
      </c>
      <c r="C1051" s="3">
        <v>0</v>
      </c>
      <c r="D1051">
        <v>1048</v>
      </c>
      <c r="E1051" t="str">
        <f>VLOOKUP(B1051,Nuclides!A:F,5,FALSE)</f>
        <v>Cs131</v>
      </c>
      <c r="F1051">
        <f>VLOOKUP(B1051,Nuclides!A:F,4,FALSE)</f>
        <v>837129.6</v>
      </c>
      <c r="G1051" s="3" t="str">
        <f t="shared" si="83"/>
        <v>9.69d</v>
      </c>
      <c r="H1051" s="3">
        <f t="shared" si="84"/>
        <v>8.2800462504246091E-7</v>
      </c>
      <c r="I1051" s="3">
        <f t="shared" si="85"/>
        <v>0</v>
      </c>
      <c r="J1051" s="3">
        <f t="shared" si="86"/>
        <v>0</v>
      </c>
      <c r="K1051" s="3" t="str">
        <f t="shared" si="87"/>
        <v>Cs131</v>
      </c>
      <c r="L1051" s="3" cm="1">
        <f t="array" ref="L1051">SUM(($J1051*EXP(-$H1051*12*3600*_xlfn.SEQUENCE(L$1-1))))+$J1051</f>
        <v>0</v>
      </c>
      <c r="M1051" s="3"/>
      <c r="N1051" s="3"/>
    </row>
    <row r="1052" spans="2:14" hidden="1" x14ac:dyDescent="0.2">
      <c r="B1052" s="3">
        <v>55132</v>
      </c>
      <c r="C1052" s="3">
        <v>0</v>
      </c>
      <c r="D1052">
        <v>1049</v>
      </c>
      <c r="E1052" t="str">
        <f>VLOOKUP(B1052,Nuclides!A:F,5,FALSE)</f>
        <v>Cs132</v>
      </c>
      <c r="F1052">
        <f>VLOOKUP(B1052,Nuclides!A:F,4,FALSE)</f>
        <v>559872</v>
      </c>
      <c r="G1052" s="3" t="str">
        <f t="shared" si="83"/>
        <v>6.48d</v>
      </c>
      <c r="H1052" s="3">
        <f t="shared" si="84"/>
        <v>1.2380458043266055E-6</v>
      </c>
      <c r="I1052" s="3">
        <f t="shared" si="85"/>
        <v>0</v>
      </c>
      <c r="J1052" s="3">
        <f t="shared" si="86"/>
        <v>0</v>
      </c>
      <c r="K1052" s="3" t="str">
        <f t="shared" si="87"/>
        <v>Cs132</v>
      </c>
      <c r="L1052" s="3" cm="1">
        <f t="array" ref="L1052">SUM(($J1052*EXP(-$H1052*12*3600*_xlfn.SEQUENCE(L$1-1))))+$J1052</f>
        <v>0</v>
      </c>
      <c r="M1052" s="3"/>
      <c r="N1052" s="3"/>
    </row>
    <row r="1053" spans="2:14" hidden="1" x14ac:dyDescent="0.2">
      <c r="B1053" s="3">
        <v>55133</v>
      </c>
      <c r="C1053" s="3">
        <v>0</v>
      </c>
      <c r="D1053">
        <v>1050</v>
      </c>
      <c r="E1053" t="str">
        <f>VLOOKUP(B1053,Nuclides!A:F,5,FALSE)</f>
        <v>Cs133</v>
      </c>
      <c r="F1053" t="str">
        <f>VLOOKUP(B1053,Nuclides!A:F,4,FALSE)</f>
        <v>STABLE</v>
      </c>
      <c r="G1053" s="3" t="str">
        <f t="shared" si="83"/>
        <v>STABLE</v>
      </c>
      <c r="H1053" s="3" t="e">
        <f t="shared" si="84"/>
        <v>#VALUE!</v>
      </c>
      <c r="I1053" s="3" t="e">
        <f t="shared" si="85"/>
        <v>#VALUE!</v>
      </c>
      <c r="J1053" s="3" t="e">
        <f t="shared" si="86"/>
        <v>#VALUE!</v>
      </c>
      <c r="K1053" s="3" t="str">
        <f t="shared" si="87"/>
        <v>Cs133</v>
      </c>
      <c r="L1053" s="3" t="e" cm="1">
        <f t="array" ref="L1053">SUM(($J1053*EXP(-$H1053*12*3600*_xlfn.SEQUENCE(L$1-1))))+$J1053</f>
        <v>#VALUE!</v>
      </c>
      <c r="M1053" s="3"/>
      <c r="N1053" s="3"/>
    </row>
    <row r="1054" spans="2:14" hidden="1" x14ac:dyDescent="0.2">
      <c r="B1054" s="3">
        <v>55134</v>
      </c>
      <c r="C1054" s="3">
        <v>0</v>
      </c>
      <c r="D1054">
        <v>1051</v>
      </c>
      <c r="E1054" t="str">
        <f>VLOOKUP(B1054,Nuclides!A:F,5,FALSE)</f>
        <v>Cs134</v>
      </c>
      <c r="F1054">
        <f>VLOOKUP(B1054,Nuclides!A:F,4,FALSE)</f>
        <v>65172755.519999899</v>
      </c>
      <c r="G1054" s="3" t="str">
        <f t="shared" si="83"/>
        <v>2.07y</v>
      </c>
      <c r="H1054" s="3">
        <f t="shared" si="84"/>
        <v>1.0635535892712647E-8</v>
      </c>
      <c r="I1054" s="3">
        <f t="shared" si="85"/>
        <v>0</v>
      </c>
      <c r="J1054" s="3">
        <f t="shared" si="86"/>
        <v>0</v>
      </c>
      <c r="K1054" s="3" t="str">
        <f t="shared" si="87"/>
        <v>Cs134</v>
      </c>
      <c r="L1054" s="3" cm="1">
        <f t="array" ref="L1054">SUM(($J1054*EXP(-$H1054*12*3600*_xlfn.SEQUENCE(L$1-1))))+$J1054</f>
        <v>0</v>
      </c>
      <c r="M1054" s="3"/>
      <c r="N1054" s="3"/>
    </row>
    <row r="1055" spans="2:14" hidden="1" x14ac:dyDescent="0.2">
      <c r="B1055" s="3">
        <v>55135</v>
      </c>
      <c r="C1055" s="3">
        <v>0</v>
      </c>
      <c r="D1055">
        <v>1052</v>
      </c>
      <c r="E1055" t="str">
        <f>VLOOKUP(B1055,Nuclides!A:F,5,FALSE)</f>
        <v>Cs135</v>
      </c>
      <c r="F1055">
        <f>VLOOKUP(B1055,Nuclides!A:F,4,FALSE)</f>
        <v>72582480000000</v>
      </c>
      <c r="G1055" s="3" t="str">
        <f t="shared" si="83"/>
        <v>2301575.34y</v>
      </c>
      <c r="H1055" s="3">
        <f t="shared" si="84"/>
        <v>9.5497864024478811E-15</v>
      </c>
      <c r="I1055" s="3">
        <f t="shared" si="85"/>
        <v>0</v>
      </c>
      <c r="J1055" s="3">
        <f t="shared" si="86"/>
        <v>0</v>
      </c>
      <c r="K1055" s="3" t="str">
        <f t="shared" si="87"/>
        <v>Cs135</v>
      </c>
      <c r="L1055" s="3" cm="1">
        <f t="array" ref="L1055">SUM(($J1055*EXP(-$H1055*12*3600*_xlfn.SEQUENCE(L$1-1))))+$J1055</f>
        <v>0</v>
      </c>
      <c r="M1055" s="3"/>
      <c r="N1055" s="3"/>
    </row>
    <row r="1056" spans="2:14" hidden="1" x14ac:dyDescent="0.2">
      <c r="B1056" s="3">
        <v>55136</v>
      </c>
      <c r="C1056" s="3">
        <v>0</v>
      </c>
      <c r="D1056">
        <v>1053</v>
      </c>
      <c r="E1056" t="str">
        <f>VLOOKUP(B1056,Nuclides!A:F,5,FALSE)</f>
        <v>Cs136</v>
      </c>
      <c r="F1056">
        <f>VLOOKUP(B1056,Nuclides!A:F,4,FALSE)</f>
        <v>1126656</v>
      </c>
      <c r="G1056" s="3" t="str">
        <f t="shared" si="83"/>
        <v>13.04d</v>
      </c>
      <c r="H1056" s="3">
        <f t="shared" si="84"/>
        <v>6.1522521564696349E-7</v>
      </c>
      <c r="I1056" s="3">
        <f t="shared" si="85"/>
        <v>0</v>
      </c>
      <c r="J1056" s="3">
        <f t="shared" si="86"/>
        <v>0</v>
      </c>
      <c r="K1056" s="3" t="str">
        <f t="shared" si="87"/>
        <v>Cs136</v>
      </c>
      <c r="L1056" s="3" cm="1">
        <f t="array" ref="L1056">SUM(($J1056*EXP(-$H1056*12*3600*_xlfn.SEQUENCE(L$1-1))))+$J1056</f>
        <v>0</v>
      </c>
      <c r="M1056" s="3"/>
      <c r="N1056" s="3"/>
    </row>
    <row r="1057" spans="2:14" hidden="1" x14ac:dyDescent="0.2">
      <c r="B1057" s="3">
        <v>55137</v>
      </c>
      <c r="C1057" s="3">
        <v>0</v>
      </c>
      <c r="D1057">
        <v>1054</v>
      </c>
      <c r="E1057" t="str">
        <f>VLOOKUP(B1057,Nuclides!A:F,5,FALSE)</f>
        <v>Cs137</v>
      </c>
      <c r="F1057">
        <f>VLOOKUP(B1057,Nuclides!A:F,4,FALSE)</f>
        <v>949252608</v>
      </c>
      <c r="G1057" s="3" t="str">
        <f t="shared" si="83"/>
        <v>30.1y</v>
      </c>
      <c r="H1057" s="3">
        <f t="shared" si="84"/>
        <v>7.3020308263398025E-10</v>
      </c>
      <c r="I1057" s="3">
        <f t="shared" si="85"/>
        <v>0</v>
      </c>
      <c r="J1057" s="3">
        <f t="shared" si="86"/>
        <v>0</v>
      </c>
      <c r="K1057" s="3" t="str">
        <f t="shared" si="87"/>
        <v>Cs137</v>
      </c>
      <c r="L1057" s="3" cm="1">
        <f t="array" ref="L1057">SUM(($J1057*EXP(-$H1057*12*3600*_xlfn.SEQUENCE(L$1-1))))+$J1057</f>
        <v>0</v>
      </c>
      <c r="M1057" s="3"/>
      <c r="N1057" s="3"/>
    </row>
    <row r="1058" spans="2:14" hidden="1" x14ac:dyDescent="0.2">
      <c r="B1058" s="3">
        <v>55138</v>
      </c>
      <c r="C1058" s="3">
        <v>0</v>
      </c>
      <c r="D1058">
        <v>1055</v>
      </c>
      <c r="E1058" t="str">
        <f>VLOOKUP(B1058,Nuclides!A:F,5,FALSE)</f>
        <v>Cs138</v>
      </c>
      <c r="F1058">
        <f>VLOOKUP(B1058,Nuclides!A:F,4,FALSE)</f>
        <v>2004.6</v>
      </c>
      <c r="G1058" s="3" t="str">
        <f t="shared" si="83"/>
        <v>33.41min</v>
      </c>
      <c r="H1058" s="3">
        <f t="shared" si="84"/>
        <v>3.4577830018953673E-4</v>
      </c>
      <c r="I1058" s="3">
        <f t="shared" si="85"/>
        <v>0</v>
      </c>
      <c r="J1058" s="3">
        <f t="shared" si="86"/>
        <v>0</v>
      </c>
      <c r="K1058" s="3" t="str">
        <f t="shared" si="87"/>
        <v>Cs138</v>
      </c>
      <c r="L1058" s="3" cm="1">
        <f t="array" ref="L1058">SUM(($J1058*EXP(-$H1058*12*3600*_xlfn.SEQUENCE(L$1-1))))+$J1058</f>
        <v>0</v>
      </c>
      <c r="M1058" s="3"/>
      <c r="N1058" s="3"/>
    </row>
    <row r="1059" spans="2:14" hidden="1" x14ac:dyDescent="0.2">
      <c r="B1059" s="3">
        <v>55139</v>
      </c>
      <c r="C1059" s="3">
        <v>0</v>
      </c>
      <c r="D1059">
        <v>1056</v>
      </c>
      <c r="E1059" t="str">
        <f>VLOOKUP(B1059,Nuclides!A:F,5,FALSE)</f>
        <v>Cs139</v>
      </c>
      <c r="F1059">
        <f>VLOOKUP(B1059,Nuclides!A:F,4,FALSE)</f>
        <v>556.19999999999902</v>
      </c>
      <c r="G1059" s="3" t="str">
        <f t="shared" si="83"/>
        <v>9.27min</v>
      </c>
      <c r="H1059" s="3">
        <f t="shared" si="84"/>
        <v>1.2462193106075989E-3</v>
      </c>
      <c r="I1059" s="3">
        <f t="shared" si="85"/>
        <v>0</v>
      </c>
      <c r="J1059" s="3">
        <f t="shared" si="86"/>
        <v>0</v>
      </c>
      <c r="K1059" s="3" t="str">
        <f t="shared" si="87"/>
        <v>Cs139</v>
      </c>
      <c r="L1059" s="3" cm="1">
        <f t="array" ref="L1059">SUM(($J1059*EXP(-$H1059*12*3600*_xlfn.SEQUENCE(L$1-1))))+$J1059</f>
        <v>0</v>
      </c>
      <c r="M1059" s="3"/>
      <c r="N1059" s="3"/>
    </row>
    <row r="1060" spans="2:14" hidden="1" x14ac:dyDescent="0.2">
      <c r="B1060" s="3">
        <v>55140</v>
      </c>
      <c r="C1060" s="3">
        <v>0</v>
      </c>
      <c r="D1060">
        <v>1057</v>
      </c>
      <c r="E1060" t="str">
        <f>VLOOKUP(B1060,Nuclides!A:F,5,FALSE)</f>
        <v>Cs140</v>
      </c>
      <c r="F1060">
        <f>VLOOKUP(B1060,Nuclides!A:F,4,FALSE)</f>
        <v>63.7</v>
      </c>
      <c r="G1060" s="3" t="str">
        <f t="shared" si="83"/>
        <v>1.06min</v>
      </c>
      <c r="H1060" s="3">
        <f t="shared" si="84"/>
        <v>1.0881431405964604E-2</v>
      </c>
      <c r="I1060" s="3">
        <f t="shared" si="85"/>
        <v>0</v>
      </c>
      <c r="J1060" s="3">
        <f t="shared" si="86"/>
        <v>0</v>
      </c>
      <c r="K1060" s="3" t="str">
        <f t="shared" si="87"/>
        <v>Cs140</v>
      </c>
      <c r="L1060" s="3" cm="1">
        <f t="array" ref="L1060">SUM(($J1060*EXP(-$H1060*12*3600*_xlfn.SEQUENCE(L$1-1))))+$J1060</f>
        <v>0</v>
      </c>
      <c r="M1060" s="3"/>
      <c r="N1060" s="3"/>
    </row>
    <row r="1061" spans="2:14" hidden="1" x14ac:dyDescent="0.2">
      <c r="B1061" s="3">
        <v>55141</v>
      </c>
      <c r="C1061" s="3">
        <v>0</v>
      </c>
      <c r="D1061">
        <v>1058</v>
      </c>
      <c r="E1061" t="str">
        <f>VLOOKUP(B1061,Nuclides!A:F,5,FALSE)</f>
        <v>Cs141</v>
      </c>
      <c r="F1061">
        <f>VLOOKUP(B1061,Nuclides!A:F,4,FALSE)</f>
        <v>24.84</v>
      </c>
      <c r="G1061" s="3" t="str">
        <f t="shared" si="83"/>
        <v>24.84s</v>
      </c>
      <c r="H1061" s="3">
        <f t="shared" si="84"/>
        <v>2.7904475867952708E-2</v>
      </c>
      <c r="I1061" s="3">
        <f t="shared" si="85"/>
        <v>0</v>
      </c>
      <c r="J1061" s="3">
        <f t="shared" si="86"/>
        <v>0</v>
      </c>
      <c r="K1061" s="3" t="str">
        <f t="shared" si="87"/>
        <v>Cs141</v>
      </c>
      <c r="L1061" s="3" cm="1">
        <f t="array" ref="L1061">SUM(($J1061*EXP(-$H1061*12*3600*_xlfn.SEQUENCE(L$1-1))))+$J1061</f>
        <v>0</v>
      </c>
      <c r="M1061" s="3"/>
      <c r="N1061" s="3"/>
    </row>
    <row r="1062" spans="2:14" hidden="1" x14ac:dyDescent="0.2">
      <c r="B1062" s="3">
        <v>55142</v>
      </c>
      <c r="C1062" s="3">
        <v>0</v>
      </c>
      <c r="D1062">
        <v>1059</v>
      </c>
      <c r="E1062" t="str">
        <f>VLOOKUP(B1062,Nuclides!A:F,5,FALSE)</f>
        <v>Cs142</v>
      </c>
      <c r="F1062">
        <f>VLOOKUP(B1062,Nuclides!A:F,4,FALSE)</f>
        <v>1.6839999999999999</v>
      </c>
      <c r="G1062" s="3" t="str">
        <f t="shared" si="83"/>
        <v>1.684s</v>
      </c>
      <c r="H1062" s="3">
        <f t="shared" si="84"/>
        <v>0.41160758940614328</v>
      </c>
      <c r="I1062" s="3">
        <f t="shared" si="85"/>
        <v>0</v>
      </c>
      <c r="J1062" s="3">
        <f t="shared" si="86"/>
        <v>0</v>
      </c>
      <c r="K1062" s="3" t="str">
        <f t="shared" si="87"/>
        <v>Cs142</v>
      </c>
      <c r="L1062" s="3" cm="1">
        <f t="array" ref="L1062">SUM(($J1062*EXP(-$H1062*12*3600*_xlfn.SEQUENCE(L$1-1))))+$J1062</f>
        <v>0</v>
      </c>
      <c r="M1062" s="3"/>
      <c r="N1062" s="3"/>
    </row>
    <row r="1063" spans="2:14" hidden="1" x14ac:dyDescent="0.2">
      <c r="B1063" s="3">
        <v>55143</v>
      </c>
      <c r="C1063" s="3">
        <v>0</v>
      </c>
      <c r="D1063">
        <v>1060</v>
      </c>
      <c r="E1063" t="str">
        <f>VLOOKUP(B1063,Nuclides!A:F,5,FALSE)</f>
        <v>Cs143</v>
      </c>
      <c r="F1063">
        <f>VLOOKUP(B1063,Nuclides!A:F,4,FALSE)</f>
        <v>1.7909999999999999</v>
      </c>
      <c r="G1063" s="3" t="str">
        <f t="shared" si="83"/>
        <v>1.791s</v>
      </c>
      <c r="H1063" s="3">
        <f t="shared" si="84"/>
        <v>0.38701685123391699</v>
      </c>
      <c r="I1063" s="3">
        <f t="shared" si="85"/>
        <v>0</v>
      </c>
      <c r="J1063" s="3">
        <f t="shared" si="86"/>
        <v>0</v>
      </c>
      <c r="K1063" s="3" t="str">
        <f t="shared" si="87"/>
        <v>Cs143</v>
      </c>
      <c r="L1063" s="3" cm="1">
        <f t="array" ref="L1063">SUM(($J1063*EXP(-$H1063*12*3600*_xlfn.SEQUENCE(L$1-1))))+$J1063</f>
        <v>0</v>
      </c>
      <c r="M1063" s="3"/>
      <c r="N1063" s="3"/>
    </row>
    <row r="1064" spans="2:14" hidden="1" x14ac:dyDescent="0.2">
      <c r="B1064" s="3">
        <v>55144</v>
      </c>
      <c r="C1064" s="3">
        <v>0</v>
      </c>
      <c r="D1064">
        <v>1061</v>
      </c>
      <c r="E1064" t="str">
        <f>VLOOKUP(B1064,Nuclides!A:F,5,FALSE)</f>
        <v>Cs144</v>
      </c>
      <c r="F1064">
        <f>VLOOKUP(B1064,Nuclides!A:F,4,FALSE)</f>
        <v>0.99399999999999999</v>
      </c>
      <c r="G1064" s="3" t="str">
        <f t="shared" si="83"/>
        <v>0.994s</v>
      </c>
      <c r="H1064" s="3">
        <f t="shared" si="84"/>
        <v>0.69733116756533731</v>
      </c>
      <c r="I1064" s="3">
        <f t="shared" si="85"/>
        <v>0</v>
      </c>
      <c r="J1064" s="3">
        <f t="shared" si="86"/>
        <v>0</v>
      </c>
      <c r="K1064" s="3" t="str">
        <f t="shared" si="87"/>
        <v>Cs144</v>
      </c>
      <c r="L1064" s="3" cm="1">
        <f t="array" ref="L1064">SUM(($J1064*EXP(-$H1064*12*3600*_xlfn.SEQUENCE(L$1-1))))+$J1064</f>
        <v>0</v>
      </c>
      <c r="M1064" s="3"/>
      <c r="N1064" s="3"/>
    </row>
    <row r="1065" spans="2:14" hidden="1" x14ac:dyDescent="0.2">
      <c r="B1065" s="3">
        <v>55145</v>
      </c>
      <c r="C1065" s="3">
        <v>0</v>
      </c>
      <c r="D1065">
        <v>1062</v>
      </c>
      <c r="E1065" t="str">
        <f>VLOOKUP(B1065,Nuclides!A:F,5,FALSE)</f>
        <v>Cs145</v>
      </c>
      <c r="F1065">
        <f>VLOOKUP(B1065,Nuclides!A:F,4,FALSE)</f>
        <v>0.58699999999999997</v>
      </c>
      <c r="G1065" s="3" t="str">
        <f t="shared" si="83"/>
        <v>0.587s</v>
      </c>
      <c r="H1065" s="3">
        <f t="shared" si="84"/>
        <v>1.1808299498465848</v>
      </c>
      <c r="I1065" s="3">
        <f t="shared" si="85"/>
        <v>0</v>
      </c>
      <c r="J1065" s="3">
        <f t="shared" si="86"/>
        <v>0</v>
      </c>
      <c r="K1065" s="3" t="str">
        <f t="shared" si="87"/>
        <v>Cs145</v>
      </c>
      <c r="L1065" s="3" cm="1">
        <f t="array" ref="L1065">SUM(($J1065*EXP(-$H1065*12*3600*_xlfn.SEQUENCE(L$1-1))))+$J1065</f>
        <v>0</v>
      </c>
      <c r="M1065" s="3"/>
      <c r="N1065" s="3"/>
    </row>
    <row r="1066" spans="2:14" hidden="1" x14ac:dyDescent="0.2">
      <c r="B1066" s="3">
        <v>55146</v>
      </c>
      <c r="C1066" s="3">
        <v>0</v>
      </c>
      <c r="D1066">
        <v>1063</v>
      </c>
      <c r="E1066" t="str">
        <f>VLOOKUP(B1066,Nuclides!A:F,5,FALSE)</f>
        <v>Cs146</v>
      </c>
      <c r="F1066">
        <f>VLOOKUP(B1066,Nuclides!A:F,4,FALSE)</f>
        <v>0.32200000000000001</v>
      </c>
      <c r="G1066" s="3" t="str">
        <f t="shared" si="83"/>
        <v>0.322s</v>
      </c>
      <c r="H1066" s="3">
        <f t="shared" si="84"/>
        <v>2.1526309955277805</v>
      </c>
      <c r="I1066" s="3">
        <f t="shared" si="85"/>
        <v>0</v>
      </c>
      <c r="J1066" s="3">
        <f t="shared" si="86"/>
        <v>0</v>
      </c>
      <c r="K1066" s="3" t="str">
        <f t="shared" si="87"/>
        <v>Cs146</v>
      </c>
      <c r="L1066" s="3" cm="1">
        <f t="array" ref="L1066">SUM(($J1066*EXP(-$H1066*12*3600*_xlfn.SEQUENCE(L$1-1))))+$J1066</f>
        <v>0</v>
      </c>
      <c r="M1066" s="3"/>
      <c r="N1066" s="3"/>
    </row>
    <row r="1067" spans="2:14" hidden="1" x14ac:dyDescent="0.2">
      <c r="B1067" s="3">
        <v>55147</v>
      </c>
      <c r="C1067" s="3">
        <v>0</v>
      </c>
      <c r="D1067">
        <v>1064</v>
      </c>
      <c r="E1067" t="str">
        <f>VLOOKUP(B1067,Nuclides!A:F,5,FALSE)</f>
        <v>Cs147</v>
      </c>
      <c r="F1067">
        <f>VLOOKUP(B1067,Nuclides!A:F,4,FALSE)</f>
        <v>0.23</v>
      </c>
      <c r="G1067" s="3" t="str">
        <f t="shared" si="83"/>
        <v>0.23s</v>
      </c>
      <c r="H1067" s="3">
        <f t="shared" si="84"/>
        <v>3.0136833937388925</v>
      </c>
      <c r="I1067" s="3">
        <f t="shared" si="85"/>
        <v>0</v>
      </c>
      <c r="J1067" s="3">
        <f t="shared" si="86"/>
        <v>0</v>
      </c>
      <c r="K1067" s="3" t="str">
        <f t="shared" si="87"/>
        <v>Cs147</v>
      </c>
      <c r="L1067" s="3" cm="1">
        <f t="array" ref="L1067">SUM(($J1067*EXP(-$H1067*12*3600*_xlfn.SEQUENCE(L$1-1))))+$J1067</f>
        <v>0</v>
      </c>
      <c r="M1067" s="3"/>
      <c r="N1067" s="3"/>
    </row>
    <row r="1068" spans="2:14" hidden="1" x14ac:dyDescent="0.2">
      <c r="B1068" s="3">
        <v>55148</v>
      </c>
      <c r="C1068" s="3">
        <v>0</v>
      </c>
      <c r="D1068">
        <v>1065</v>
      </c>
      <c r="E1068" t="str">
        <f>VLOOKUP(B1068,Nuclides!A:F,5,FALSE)</f>
        <v>Cs148</v>
      </c>
      <c r="F1068">
        <f>VLOOKUP(B1068,Nuclides!A:F,4,FALSE)</f>
        <v>0.14599999999999999</v>
      </c>
      <c r="G1068" s="3" t="str">
        <f t="shared" si="83"/>
        <v>0.146s</v>
      </c>
      <c r="H1068" s="3">
        <f t="shared" si="84"/>
        <v>4.747583428492776</v>
      </c>
      <c r="I1068" s="3">
        <f t="shared" si="85"/>
        <v>0</v>
      </c>
      <c r="J1068" s="3">
        <f t="shared" si="86"/>
        <v>0</v>
      </c>
      <c r="K1068" s="3" t="str">
        <f t="shared" si="87"/>
        <v>Cs148</v>
      </c>
      <c r="L1068" s="3" cm="1">
        <f t="array" ref="L1068">SUM(($J1068*EXP(-$H1068*12*3600*_xlfn.SEQUENCE(L$1-1))))+$J1068</f>
        <v>0</v>
      </c>
      <c r="M1068" s="3"/>
      <c r="N1068" s="3"/>
    </row>
    <row r="1069" spans="2:14" hidden="1" x14ac:dyDescent="0.2">
      <c r="B1069" s="3">
        <v>56117</v>
      </c>
      <c r="C1069" s="3">
        <v>0</v>
      </c>
      <c r="D1069">
        <v>1066</v>
      </c>
      <c r="E1069" t="str">
        <f>VLOOKUP(B1069,Nuclides!A:F,5,FALSE)</f>
        <v>Ba117</v>
      </c>
      <c r="F1069">
        <f>VLOOKUP(B1069,Nuclides!A:F,4,FALSE)</f>
        <v>1.75</v>
      </c>
      <c r="G1069" s="3" t="str">
        <f t="shared" si="83"/>
        <v>1.75s</v>
      </c>
      <c r="H1069" s="3">
        <f t="shared" si="84"/>
        <v>0.39608410317711157</v>
      </c>
      <c r="I1069" s="3">
        <f t="shared" si="85"/>
        <v>0</v>
      </c>
      <c r="J1069" s="3">
        <f t="shared" si="86"/>
        <v>0</v>
      </c>
      <c r="K1069" s="3" t="str">
        <f t="shared" si="87"/>
        <v>Ba117</v>
      </c>
      <c r="L1069" s="3" cm="1">
        <f t="array" ref="L1069">SUM(($J1069*EXP(-$H1069*12*3600*_xlfn.SEQUENCE(L$1-1))))+$J1069</f>
        <v>0</v>
      </c>
      <c r="M1069" s="3"/>
      <c r="N1069" s="3"/>
    </row>
    <row r="1070" spans="2:14" hidden="1" x14ac:dyDescent="0.2">
      <c r="B1070" s="3">
        <v>56118</v>
      </c>
      <c r="C1070" s="3">
        <v>0</v>
      </c>
      <c r="D1070">
        <v>1067</v>
      </c>
      <c r="E1070" t="str">
        <f>VLOOKUP(B1070,Nuclides!A:F,5,FALSE)</f>
        <v>Ba118</v>
      </c>
      <c r="F1070">
        <f>VLOOKUP(B1070,Nuclides!A:F,4,FALSE)</f>
        <v>5.5</v>
      </c>
      <c r="G1070" s="3" t="str">
        <f t="shared" si="83"/>
        <v>5.5s</v>
      </c>
      <c r="H1070" s="3">
        <f t="shared" si="84"/>
        <v>0.12602676010180824</v>
      </c>
      <c r="I1070" s="3">
        <f t="shared" si="85"/>
        <v>0</v>
      </c>
      <c r="J1070" s="3">
        <f t="shared" si="86"/>
        <v>0</v>
      </c>
      <c r="K1070" s="3" t="str">
        <f t="shared" si="87"/>
        <v>Ba118</v>
      </c>
      <c r="L1070" s="3" cm="1">
        <f t="array" ref="L1070">SUM(($J1070*EXP(-$H1070*12*3600*_xlfn.SEQUENCE(L$1-1))))+$J1070</f>
        <v>0</v>
      </c>
      <c r="M1070" s="3"/>
      <c r="N1070" s="3"/>
    </row>
    <row r="1071" spans="2:14" hidden="1" x14ac:dyDescent="0.2">
      <c r="B1071" s="3">
        <v>56119</v>
      </c>
      <c r="C1071" s="3">
        <v>0</v>
      </c>
      <c r="D1071">
        <v>1068</v>
      </c>
      <c r="E1071" t="str">
        <f>VLOOKUP(B1071,Nuclides!A:F,5,FALSE)</f>
        <v>Ba119</v>
      </c>
      <c r="F1071">
        <f>VLOOKUP(B1071,Nuclides!A:F,4,FALSE)</f>
        <v>5.4</v>
      </c>
      <c r="G1071" s="3" t="str">
        <f t="shared" si="83"/>
        <v>5.4s</v>
      </c>
      <c r="H1071" s="3">
        <f t="shared" si="84"/>
        <v>0.12836058899258246</v>
      </c>
      <c r="I1071" s="3">
        <f t="shared" si="85"/>
        <v>0</v>
      </c>
      <c r="J1071" s="3">
        <f t="shared" si="86"/>
        <v>0</v>
      </c>
      <c r="K1071" s="3" t="str">
        <f t="shared" si="87"/>
        <v>Ba119</v>
      </c>
      <c r="L1071" s="3" cm="1">
        <f t="array" ref="L1071">SUM(($J1071*EXP(-$H1071*12*3600*_xlfn.SEQUENCE(L$1-1))))+$J1071</f>
        <v>0</v>
      </c>
      <c r="M1071" s="3"/>
      <c r="N1071" s="3"/>
    </row>
    <row r="1072" spans="2:14" hidden="1" x14ac:dyDescent="0.2">
      <c r="B1072" s="3">
        <v>56120</v>
      </c>
      <c r="C1072" s="3">
        <v>0</v>
      </c>
      <c r="D1072">
        <v>1069</v>
      </c>
      <c r="E1072" t="str">
        <f>VLOOKUP(B1072,Nuclides!A:F,5,FALSE)</f>
        <v>Ba120</v>
      </c>
      <c r="F1072">
        <f>VLOOKUP(B1072,Nuclides!A:F,4,FALSE)</f>
        <v>24</v>
      </c>
      <c r="G1072" s="3" t="str">
        <f t="shared" si="83"/>
        <v>24s</v>
      </c>
      <c r="H1072" s="3">
        <f t="shared" si="84"/>
        <v>2.8881132523331052E-2</v>
      </c>
      <c r="I1072" s="3">
        <f t="shared" si="85"/>
        <v>0</v>
      </c>
      <c r="J1072" s="3">
        <f t="shared" si="86"/>
        <v>0</v>
      </c>
      <c r="K1072" s="3" t="str">
        <f t="shared" si="87"/>
        <v>Ba120</v>
      </c>
      <c r="L1072" s="3" cm="1">
        <f t="array" ref="L1072">SUM(($J1072*EXP(-$H1072*12*3600*_xlfn.SEQUENCE(L$1-1))))+$J1072</f>
        <v>0</v>
      </c>
      <c r="M1072" s="3"/>
      <c r="N1072" s="3"/>
    </row>
    <row r="1073" spans="2:14" hidden="1" x14ac:dyDescent="0.2">
      <c r="B1073" s="3">
        <v>56121</v>
      </c>
      <c r="C1073" s="3">
        <v>0</v>
      </c>
      <c r="D1073">
        <v>1070</v>
      </c>
      <c r="E1073" t="str">
        <f>VLOOKUP(B1073,Nuclides!A:F,5,FALSE)</f>
        <v>Ba121</v>
      </c>
      <c r="F1073">
        <f>VLOOKUP(B1073,Nuclides!A:F,4,FALSE)</f>
        <v>29.7</v>
      </c>
      <c r="G1073" s="3" t="str">
        <f t="shared" si="83"/>
        <v>29.7s</v>
      </c>
      <c r="H1073" s="3">
        <f t="shared" si="84"/>
        <v>2.3338288907742265E-2</v>
      </c>
      <c r="I1073" s="3">
        <f t="shared" si="85"/>
        <v>0</v>
      </c>
      <c r="J1073" s="3">
        <f t="shared" si="86"/>
        <v>0</v>
      </c>
      <c r="K1073" s="3" t="str">
        <f t="shared" si="87"/>
        <v>Ba121</v>
      </c>
      <c r="L1073" s="3" cm="1">
        <f t="array" ref="L1073">SUM(($J1073*EXP(-$H1073*12*3600*_xlfn.SEQUENCE(L$1-1))))+$J1073</f>
        <v>0</v>
      </c>
      <c r="M1073" s="3"/>
      <c r="N1073" s="3"/>
    </row>
    <row r="1074" spans="2:14" hidden="1" x14ac:dyDescent="0.2">
      <c r="B1074" s="3">
        <v>56122</v>
      </c>
      <c r="C1074" s="3">
        <v>0</v>
      </c>
      <c r="D1074">
        <v>1071</v>
      </c>
      <c r="E1074" t="str">
        <f>VLOOKUP(B1074,Nuclides!A:F,5,FALSE)</f>
        <v>Ba122</v>
      </c>
      <c r="F1074">
        <f>VLOOKUP(B1074,Nuclides!A:F,4,FALSE)</f>
        <v>117</v>
      </c>
      <c r="G1074" s="3" t="str">
        <f t="shared" si="83"/>
        <v>1.95min</v>
      </c>
      <c r="H1074" s="3">
        <f t="shared" si="84"/>
        <v>5.9243348765807289E-3</v>
      </c>
      <c r="I1074" s="3">
        <f t="shared" si="85"/>
        <v>0</v>
      </c>
      <c r="J1074" s="3">
        <f t="shared" si="86"/>
        <v>0</v>
      </c>
      <c r="K1074" s="3" t="str">
        <f t="shared" si="87"/>
        <v>Ba122</v>
      </c>
      <c r="L1074" s="3" cm="1">
        <f t="array" ref="L1074">SUM(($J1074*EXP(-$H1074*12*3600*_xlfn.SEQUENCE(L$1-1))))+$J1074</f>
        <v>0</v>
      </c>
      <c r="M1074" s="3"/>
      <c r="N1074" s="3"/>
    </row>
    <row r="1075" spans="2:14" hidden="1" x14ac:dyDescent="0.2">
      <c r="B1075" s="3">
        <v>56123</v>
      </c>
      <c r="C1075" s="3">
        <v>0</v>
      </c>
      <c r="D1075">
        <v>1072</v>
      </c>
      <c r="E1075" t="str">
        <f>VLOOKUP(B1075,Nuclides!A:F,5,FALSE)</f>
        <v>Ba123</v>
      </c>
      <c r="F1075">
        <f>VLOOKUP(B1075,Nuclides!A:F,4,FALSE)</f>
        <v>162</v>
      </c>
      <c r="G1075" s="3" t="str">
        <f t="shared" si="83"/>
        <v>2.7min</v>
      </c>
      <c r="H1075" s="3">
        <f t="shared" si="84"/>
        <v>4.278686299752749E-3</v>
      </c>
      <c r="I1075" s="3">
        <f t="shared" si="85"/>
        <v>0</v>
      </c>
      <c r="J1075" s="3">
        <f t="shared" si="86"/>
        <v>0</v>
      </c>
      <c r="K1075" s="3" t="str">
        <f t="shared" si="87"/>
        <v>Ba123</v>
      </c>
      <c r="L1075" s="3" cm="1">
        <f t="array" ref="L1075">SUM(($J1075*EXP(-$H1075*12*3600*_xlfn.SEQUENCE(L$1-1))))+$J1075</f>
        <v>0</v>
      </c>
      <c r="M1075" s="3"/>
      <c r="N1075" s="3"/>
    </row>
    <row r="1076" spans="2:14" hidden="1" x14ac:dyDescent="0.2">
      <c r="B1076" s="3">
        <v>56124</v>
      </c>
      <c r="C1076" s="3">
        <v>0</v>
      </c>
      <c r="D1076">
        <v>1073</v>
      </c>
      <c r="E1076" t="str">
        <f>VLOOKUP(B1076,Nuclides!A:F,5,FALSE)</f>
        <v>Ba124</v>
      </c>
      <c r="F1076">
        <f>VLOOKUP(B1076,Nuclides!A:F,4,FALSE)</f>
        <v>660</v>
      </c>
      <c r="G1076" s="3" t="str">
        <f t="shared" si="83"/>
        <v>11min</v>
      </c>
      <c r="H1076" s="3">
        <f t="shared" si="84"/>
        <v>1.0502230008484019E-3</v>
      </c>
      <c r="I1076" s="3">
        <f t="shared" si="85"/>
        <v>0</v>
      </c>
      <c r="J1076" s="3">
        <f t="shared" si="86"/>
        <v>0</v>
      </c>
      <c r="K1076" s="3" t="str">
        <f t="shared" si="87"/>
        <v>Ba124</v>
      </c>
      <c r="L1076" s="3" cm="1">
        <f t="array" ref="L1076">SUM(($J1076*EXP(-$H1076*12*3600*_xlfn.SEQUENCE(L$1-1))))+$J1076</f>
        <v>0</v>
      </c>
      <c r="M1076" s="3"/>
      <c r="N1076" s="3"/>
    </row>
    <row r="1077" spans="2:14" hidden="1" x14ac:dyDescent="0.2">
      <c r="B1077" s="3">
        <v>56125</v>
      </c>
      <c r="C1077" s="3">
        <v>0</v>
      </c>
      <c r="D1077">
        <v>1074</v>
      </c>
      <c r="E1077" t="str">
        <f>VLOOKUP(B1077,Nuclides!A:F,5,FALSE)</f>
        <v>Ba125</v>
      </c>
      <c r="F1077">
        <f>VLOOKUP(B1077,Nuclides!A:F,4,FALSE)</f>
        <v>198</v>
      </c>
      <c r="G1077" s="3" t="str">
        <f t="shared" si="83"/>
        <v>3.3min</v>
      </c>
      <c r="H1077" s="3">
        <f t="shared" si="84"/>
        <v>3.5007433361613398E-3</v>
      </c>
      <c r="I1077" s="3">
        <f t="shared" si="85"/>
        <v>0</v>
      </c>
      <c r="J1077" s="3">
        <f t="shared" si="86"/>
        <v>0</v>
      </c>
      <c r="K1077" s="3" t="str">
        <f t="shared" si="87"/>
        <v>Ba125</v>
      </c>
      <c r="L1077" s="3" cm="1">
        <f t="array" ref="L1077">SUM(($J1077*EXP(-$H1077*12*3600*_xlfn.SEQUENCE(L$1-1))))+$J1077</f>
        <v>0</v>
      </c>
      <c r="M1077" s="3"/>
      <c r="N1077" s="3"/>
    </row>
    <row r="1078" spans="2:14" hidden="1" x14ac:dyDescent="0.2">
      <c r="B1078" s="3">
        <v>56126</v>
      </c>
      <c r="C1078" s="3">
        <v>0</v>
      </c>
      <c r="D1078">
        <v>1075</v>
      </c>
      <c r="E1078" t="str">
        <f>VLOOKUP(B1078,Nuclides!A:F,5,FALSE)</f>
        <v>Ba126</v>
      </c>
      <c r="F1078">
        <f>VLOOKUP(B1078,Nuclides!A:F,4,FALSE)</f>
        <v>6000</v>
      </c>
      <c r="G1078" s="3" t="str">
        <f t="shared" si="83"/>
        <v>1.67h</v>
      </c>
      <c r="H1078" s="3">
        <f t="shared" si="84"/>
        <v>1.1552453009332422E-4</v>
      </c>
      <c r="I1078" s="3">
        <f t="shared" si="85"/>
        <v>0</v>
      </c>
      <c r="J1078" s="3">
        <f t="shared" si="86"/>
        <v>0</v>
      </c>
      <c r="K1078" s="3" t="str">
        <f t="shared" si="87"/>
        <v>Ba126</v>
      </c>
      <c r="L1078" s="3" cm="1">
        <f t="array" ref="L1078">SUM(($J1078*EXP(-$H1078*12*3600*_xlfn.SEQUENCE(L$1-1))))+$J1078</f>
        <v>0</v>
      </c>
      <c r="M1078" s="3"/>
      <c r="N1078" s="3"/>
    </row>
    <row r="1079" spans="2:14" hidden="1" x14ac:dyDescent="0.2">
      <c r="B1079" s="3">
        <v>56127</v>
      </c>
      <c r="C1079" s="3">
        <v>0</v>
      </c>
      <c r="D1079">
        <v>1076</v>
      </c>
      <c r="E1079" t="str">
        <f>VLOOKUP(B1079,Nuclides!A:F,5,FALSE)</f>
        <v>Ba127</v>
      </c>
      <c r="F1079">
        <f>VLOOKUP(B1079,Nuclides!A:F,4,FALSE)</f>
        <v>762</v>
      </c>
      <c r="G1079" s="3" t="str">
        <f t="shared" si="83"/>
        <v>12.7min</v>
      </c>
      <c r="H1079" s="3">
        <f t="shared" si="84"/>
        <v>9.0964196923877332E-4</v>
      </c>
      <c r="I1079" s="3">
        <f t="shared" si="85"/>
        <v>0</v>
      </c>
      <c r="J1079" s="3">
        <f t="shared" si="86"/>
        <v>0</v>
      </c>
      <c r="K1079" s="3" t="str">
        <f t="shared" si="87"/>
        <v>Ba127</v>
      </c>
      <c r="L1079" s="3" cm="1">
        <f t="array" ref="L1079">SUM(($J1079*EXP(-$H1079*12*3600*_xlfn.SEQUENCE(L$1-1))))+$J1079</f>
        <v>0</v>
      </c>
      <c r="M1079" s="3"/>
      <c r="N1079" s="3"/>
    </row>
    <row r="1080" spans="2:14" hidden="1" x14ac:dyDescent="0.2">
      <c r="B1080" s="3">
        <v>56128</v>
      </c>
      <c r="C1080" s="3">
        <v>0</v>
      </c>
      <c r="D1080">
        <v>1077</v>
      </c>
      <c r="E1080" t="str">
        <f>VLOOKUP(B1080,Nuclides!A:F,5,FALSE)</f>
        <v>Ba128</v>
      </c>
      <c r="F1080">
        <f>VLOOKUP(B1080,Nuclides!A:F,4,FALSE)</f>
        <v>209952</v>
      </c>
      <c r="G1080" s="3" t="str">
        <f t="shared" si="83"/>
        <v>2.43d</v>
      </c>
      <c r="H1080" s="3">
        <f t="shared" si="84"/>
        <v>3.3014554782042812E-6</v>
      </c>
      <c r="I1080" s="3">
        <f t="shared" si="85"/>
        <v>0</v>
      </c>
      <c r="J1080" s="3">
        <f t="shared" si="86"/>
        <v>0</v>
      </c>
      <c r="K1080" s="3" t="str">
        <f t="shared" si="87"/>
        <v>Ba128</v>
      </c>
      <c r="L1080" s="3" cm="1">
        <f t="array" ref="L1080">SUM(($J1080*EXP(-$H1080*12*3600*_xlfn.SEQUENCE(L$1-1))))+$J1080</f>
        <v>0</v>
      </c>
      <c r="M1080" s="3"/>
      <c r="N1080" s="3"/>
    </row>
    <row r="1081" spans="2:14" hidden="1" x14ac:dyDescent="0.2">
      <c r="B1081" s="3">
        <v>56129</v>
      </c>
      <c r="C1081" s="3">
        <v>0</v>
      </c>
      <c r="D1081">
        <v>1078</v>
      </c>
      <c r="E1081" t="str">
        <f>VLOOKUP(B1081,Nuclides!A:F,5,FALSE)</f>
        <v>Ba129</v>
      </c>
      <c r="F1081">
        <f>VLOOKUP(B1081,Nuclides!A:F,4,FALSE)</f>
        <v>8028</v>
      </c>
      <c r="G1081" s="3" t="str">
        <f t="shared" si="83"/>
        <v>2.23h</v>
      </c>
      <c r="H1081" s="3">
        <f t="shared" si="84"/>
        <v>8.6341203358239325E-5</v>
      </c>
      <c r="I1081" s="3">
        <f t="shared" si="85"/>
        <v>0</v>
      </c>
      <c r="J1081" s="3">
        <f t="shared" si="86"/>
        <v>0</v>
      </c>
      <c r="K1081" s="3" t="str">
        <f t="shared" si="87"/>
        <v>Ba129</v>
      </c>
      <c r="L1081" s="3" cm="1">
        <f t="array" ref="L1081">SUM(($J1081*EXP(-$H1081*12*3600*_xlfn.SEQUENCE(L$1-1))))+$J1081</f>
        <v>0</v>
      </c>
      <c r="M1081" s="3"/>
      <c r="N1081" s="3"/>
    </row>
    <row r="1082" spans="2:14" hidden="1" x14ac:dyDescent="0.2">
      <c r="B1082" s="3">
        <v>56130</v>
      </c>
      <c r="C1082" s="3">
        <v>0</v>
      </c>
      <c r="D1082">
        <v>1079</v>
      </c>
      <c r="E1082" t="str">
        <f>VLOOKUP(B1082,Nuclides!A:F,5,FALSE)</f>
        <v>Ba130</v>
      </c>
      <c r="F1082" t="str">
        <f>VLOOKUP(B1082,Nuclides!A:F,4,FALSE)</f>
        <v>STABLE</v>
      </c>
      <c r="G1082" s="3" t="str">
        <f t="shared" si="83"/>
        <v>STABLE</v>
      </c>
      <c r="H1082" s="3" t="e">
        <f t="shared" si="84"/>
        <v>#VALUE!</v>
      </c>
      <c r="I1082" s="3" t="e">
        <f t="shared" si="85"/>
        <v>#VALUE!</v>
      </c>
      <c r="J1082" s="3" t="e">
        <f t="shared" si="86"/>
        <v>#VALUE!</v>
      </c>
      <c r="K1082" s="3" t="str">
        <f t="shared" si="87"/>
        <v>Ba130</v>
      </c>
      <c r="L1082" s="3" t="e" cm="1">
        <f t="array" ref="L1082">SUM(($J1082*EXP(-$H1082*12*3600*_xlfn.SEQUENCE(L$1-1))))+$J1082</f>
        <v>#VALUE!</v>
      </c>
      <c r="M1082" s="3"/>
      <c r="N1082" s="3"/>
    </row>
    <row r="1083" spans="2:14" hidden="1" x14ac:dyDescent="0.2">
      <c r="B1083" s="3">
        <v>56131</v>
      </c>
      <c r="C1083" s="3">
        <v>0</v>
      </c>
      <c r="D1083">
        <v>1080</v>
      </c>
      <c r="E1083" t="str">
        <f>VLOOKUP(B1083,Nuclides!A:F,5,FALSE)</f>
        <v>Ba131</v>
      </c>
      <c r="F1083">
        <f>VLOOKUP(B1083,Nuclides!A:F,4,FALSE)</f>
        <v>993600</v>
      </c>
      <c r="G1083" s="3" t="str">
        <f t="shared" si="83"/>
        <v>11.5d</v>
      </c>
      <c r="H1083" s="3">
        <f t="shared" si="84"/>
        <v>6.976118966988177E-7</v>
      </c>
      <c r="I1083" s="3">
        <f t="shared" si="85"/>
        <v>0</v>
      </c>
      <c r="J1083" s="3">
        <f t="shared" si="86"/>
        <v>0</v>
      </c>
      <c r="K1083" s="3" t="str">
        <f t="shared" si="87"/>
        <v>Ba131</v>
      </c>
      <c r="L1083" s="3" cm="1">
        <f t="array" ref="L1083">SUM(($J1083*EXP(-$H1083*12*3600*_xlfn.SEQUENCE(L$1-1))))+$J1083</f>
        <v>0</v>
      </c>
      <c r="M1083" s="3"/>
      <c r="N1083" s="3"/>
    </row>
    <row r="1084" spans="2:14" hidden="1" x14ac:dyDescent="0.2">
      <c r="B1084" s="3">
        <v>56132</v>
      </c>
      <c r="C1084" s="3">
        <v>0</v>
      </c>
      <c r="D1084">
        <v>1081</v>
      </c>
      <c r="E1084" t="str">
        <f>VLOOKUP(B1084,Nuclides!A:F,5,FALSE)</f>
        <v>Ba132</v>
      </c>
      <c r="F1084">
        <f>VLOOKUP(B1084,Nuclides!A:F,4,FALSE)</f>
        <v>9.4672799999999999E+28</v>
      </c>
      <c r="G1084" s="3" t="str">
        <f t="shared" si="83"/>
        <v>3.00205479452055E+21y</v>
      </c>
      <c r="H1084" s="3">
        <f t="shared" si="84"/>
        <v>7.3215029085433761E-30</v>
      </c>
      <c r="I1084" s="3">
        <f t="shared" si="85"/>
        <v>0</v>
      </c>
      <c r="J1084" s="3">
        <f t="shared" si="86"/>
        <v>0</v>
      </c>
      <c r="K1084" s="3" t="str">
        <f t="shared" si="87"/>
        <v>Ba132</v>
      </c>
      <c r="L1084" s="3" cm="1">
        <f t="array" ref="L1084">SUM(($J1084*EXP(-$H1084*12*3600*_xlfn.SEQUENCE(L$1-1))))+$J1084</f>
        <v>0</v>
      </c>
      <c r="M1084" s="3"/>
      <c r="N1084" s="3"/>
    </row>
    <row r="1085" spans="2:14" hidden="1" x14ac:dyDescent="0.2">
      <c r="B1085" s="3">
        <v>56133</v>
      </c>
      <c r="C1085" s="3">
        <v>0</v>
      </c>
      <c r="D1085">
        <v>1082</v>
      </c>
      <c r="E1085" t="str">
        <f>VLOOKUP(B1085,Nuclides!A:F,5,FALSE)</f>
        <v>Ba133</v>
      </c>
      <c r="F1085">
        <f>VLOOKUP(B1085,Nuclides!A:F,4,FALSE)</f>
        <v>332964237.60000002</v>
      </c>
      <c r="G1085" s="3" t="str">
        <f t="shared" si="83"/>
        <v>10.56y</v>
      </c>
      <c r="H1085" s="3">
        <f t="shared" si="84"/>
        <v>2.0817466330802885E-9</v>
      </c>
      <c r="I1085" s="3">
        <f t="shared" si="85"/>
        <v>0</v>
      </c>
      <c r="J1085" s="3">
        <f t="shared" si="86"/>
        <v>0</v>
      </c>
      <c r="K1085" s="3" t="str">
        <f t="shared" si="87"/>
        <v>Ba133</v>
      </c>
      <c r="L1085" s="3" cm="1">
        <f t="array" ref="L1085">SUM(($J1085*EXP(-$H1085*12*3600*_xlfn.SEQUENCE(L$1-1))))+$J1085</f>
        <v>0</v>
      </c>
      <c r="M1085" s="3"/>
      <c r="N1085" s="3"/>
    </row>
    <row r="1086" spans="2:14" hidden="1" x14ac:dyDescent="0.2">
      <c r="B1086" s="3">
        <v>56134</v>
      </c>
      <c r="C1086" s="3">
        <v>0</v>
      </c>
      <c r="D1086">
        <v>1083</v>
      </c>
      <c r="E1086" t="str">
        <f>VLOOKUP(B1086,Nuclides!A:F,5,FALSE)</f>
        <v>Ba134</v>
      </c>
      <c r="F1086" t="str">
        <f>VLOOKUP(B1086,Nuclides!A:F,4,FALSE)</f>
        <v>STABLE</v>
      </c>
      <c r="G1086" s="3" t="str">
        <f t="shared" si="83"/>
        <v>STABLE</v>
      </c>
      <c r="H1086" s="3" t="e">
        <f t="shared" si="84"/>
        <v>#VALUE!</v>
      </c>
      <c r="I1086" s="3" t="e">
        <f t="shared" si="85"/>
        <v>#VALUE!</v>
      </c>
      <c r="J1086" s="3" t="e">
        <f t="shared" si="86"/>
        <v>#VALUE!</v>
      </c>
      <c r="K1086" s="3" t="str">
        <f t="shared" si="87"/>
        <v>Ba134</v>
      </c>
      <c r="L1086" s="3" t="e" cm="1">
        <f t="array" ref="L1086">SUM(($J1086*EXP(-$H1086*12*3600*_xlfn.SEQUENCE(L$1-1))))+$J1086</f>
        <v>#VALUE!</v>
      </c>
      <c r="M1086" s="3"/>
      <c r="N1086" s="3"/>
    </row>
    <row r="1087" spans="2:14" hidden="1" x14ac:dyDescent="0.2">
      <c r="B1087" s="3">
        <v>56135</v>
      </c>
      <c r="C1087" s="3">
        <v>0</v>
      </c>
      <c r="D1087">
        <v>1084</v>
      </c>
      <c r="E1087" t="str">
        <f>VLOOKUP(B1087,Nuclides!A:F,5,FALSE)</f>
        <v>Ba135</v>
      </c>
      <c r="F1087" t="str">
        <f>VLOOKUP(B1087,Nuclides!A:F,4,FALSE)</f>
        <v>STABLE</v>
      </c>
      <c r="G1087" s="3" t="str">
        <f t="shared" si="83"/>
        <v>STABLE</v>
      </c>
      <c r="H1087" s="3" t="e">
        <f t="shared" si="84"/>
        <v>#VALUE!</v>
      </c>
      <c r="I1087" s="3" t="e">
        <f t="shared" si="85"/>
        <v>#VALUE!</v>
      </c>
      <c r="J1087" s="3" t="e">
        <f t="shared" si="86"/>
        <v>#VALUE!</v>
      </c>
      <c r="K1087" s="3" t="str">
        <f t="shared" si="87"/>
        <v>Ba135</v>
      </c>
      <c r="L1087" s="3" t="e" cm="1">
        <f t="array" ref="L1087">SUM(($J1087*EXP(-$H1087*12*3600*_xlfn.SEQUENCE(L$1-1))))+$J1087</f>
        <v>#VALUE!</v>
      </c>
      <c r="M1087" s="3"/>
      <c r="N1087" s="3"/>
    </row>
    <row r="1088" spans="2:14" hidden="1" x14ac:dyDescent="0.2">
      <c r="B1088" s="3">
        <v>56136</v>
      </c>
      <c r="C1088" s="3">
        <v>0</v>
      </c>
      <c r="D1088">
        <v>1085</v>
      </c>
      <c r="E1088" t="str">
        <f>VLOOKUP(B1088,Nuclides!A:F,5,FALSE)</f>
        <v>Ba136</v>
      </c>
      <c r="F1088" t="str">
        <f>VLOOKUP(B1088,Nuclides!A:F,4,FALSE)</f>
        <v>STABLE</v>
      </c>
      <c r="G1088" s="3" t="str">
        <f t="shared" si="83"/>
        <v>STABLE</v>
      </c>
      <c r="H1088" s="3" t="e">
        <f t="shared" si="84"/>
        <v>#VALUE!</v>
      </c>
      <c r="I1088" s="3" t="e">
        <f t="shared" si="85"/>
        <v>#VALUE!</v>
      </c>
      <c r="J1088" s="3" t="e">
        <f t="shared" si="86"/>
        <v>#VALUE!</v>
      </c>
      <c r="K1088" s="3" t="str">
        <f t="shared" si="87"/>
        <v>Ba136</v>
      </c>
      <c r="L1088" s="3" t="e" cm="1">
        <f t="array" ref="L1088">SUM(($J1088*EXP(-$H1088*12*3600*_xlfn.SEQUENCE(L$1-1))))+$J1088</f>
        <v>#VALUE!</v>
      </c>
      <c r="M1088" s="3"/>
      <c r="N1088" s="3"/>
    </row>
    <row r="1089" spans="2:14" hidden="1" x14ac:dyDescent="0.2">
      <c r="B1089" s="3">
        <v>56137</v>
      </c>
      <c r="C1089" s="3">
        <v>0</v>
      </c>
      <c r="D1089">
        <v>1086</v>
      </c>
      <c r="E1089" t="str">
        <f>VLOOKUP(B1089,Nuclides!A:F,5,FALSE)</f>
        <v>Ba137</v>
      </c>
      <c r="F1089" t="str">
        <f>VLOOKUP(B1089,Nuclides!A:F,4,FALSE)</f>
        <v>STABLE</v>
      </c>
      <c r="G1089" s="3" t="str">
        <f t="shared" si="83"/>
        <v>STABLE</v>
      </c>
      <c r="H1089" s="3" t="e">
        <f t="shared" si="84"/>
        <v>#VALUE!</v>
      </c>
      <c r="I1089" s="3" t="e">
        <f t="shared" si="85"/>
        <v>#VALUE!</v>
      </c>
      <c r="J1089" s="3" t="e">
        <f t="shared" si="86"/>
        <v>#VALUE!</v>
      </c>
      <c r="K1089" s="3" t="str">
        <f t="shared" si="87"/>
        <v>Ba137</v>
      </c>
      <c r="L1089" s="3" t="e" cm="1">
        <f t="array" ref="L1089">SUM(($J1089*EXP(-$H1089*12*3600*_xlfn.SEQUENCE(L$1-1))))+$J1089</f>
        <v>#VALUE!</v>
      </c>
      <c r="M1089" s="3"/>
      <c r="N1089" s="3"/>
    </row>
    <row r="1090" spans="2:14" hidden="1" x14ac:dyDescent="0.2">
      <c r="B1090" s="3">
        <v>56138</v>
      </c>
      <c r="C1090" s="3">
        <v>0</v>
      </c>
      <c r="D1090">
        <v>1087</v>
      </c>
      <c r="E1090" t="str">
        <f>VLOOKUP(B1090,Nuclides!A:F,5,FALSE)</f>
        <v>Ba138</v>
      </c>
      <c r="F1090" t="str">
        <f>VLOOKUP(B1090,Nuclides!A:F,4,FALSE)</f>
        <v>STABLE</v>
      </c>
      <c r="G1090" s="3" t="str">
        <f t="shared" si="83"/>
        <v>STABLE</v>
      </c>
      <c r="H1090" s="3" t="e">
        <f t="shared" si="84"/>
        <v>#VALUE!</v>
      </c>
      <c r="I1090" s="3" t="e">
        <f t="shared" si="85"/>
        <v>#VALUE!</v>
      </c>
      <c r="J1090" s="3" t="e">
        <f t="shared" si="86"/>
        <v>#VALUE!</v>
      </c>
      <c r="K1090" s="3" t="str">
        <f t="shared" si="87"/>
        <v>Ba138</v>
      </c>
      <c r="L1090" s="3" t="e" cm="1">
        <f t="array" ref="L1090">SUM(($J1090*EXP(-$H1090*12*3600*_xlfn.SEQUENCE(L$1-1))))+$J1090</f>
        <v>#VALUE!</v>
      </c>
      <c r="M1090" s="3"/>
      <c r="N1090" s="3"/>
    </row>
    <row r="1091" spans="2:14" hidden="1" x14ac:dyDescent="0.2">
      <c r="B1091" s="3">
        <v>56139</v>
      </c>
      <c r="C1091" s="3">
        <v>0</v>
      </c>
      <c r="D1091">
        <v>1088</v>
      </c>
      <c r="E1091" t="str">
        <f>VLOOKUP(B1091,Nuclides!A:F,5,FALSE)</f>
        <v>Ba139</v>
      </c>
      <c r="F1091">
        <f>VLOOKUP(B1091,Nuclides!A:F,4,FALSE)</f>
        <v>4983.6000000000004</v>
      </c>
      <c r="G1091" s="3" t="str">
        <f t="shared" si="83"/>
        <v>1.38h</v>
      </c>
      <c r="H1091" s="3">
        <f t="shared" si="84"/>
        <v>1.3908563700135349E-4</v>
      </c>
      <c r="I1091" s="3">
        <f t="shared" si="85"/>
        <v>0</v>
      </c>
      <c r="J1091" s="3">
        <f t="shared" si="86"/>
        <v>0</v>
      </c>
      <c r="K1091" s="3" t="str">
        <f t="shared" si="87"/>
        <v>Ba139</v>
      </c>
      <c r="L1091" s="3" cm="1">
        <f t="array" ref="L1091">SUM(($J1091*EXP(-$H1091*12*3600*_xlfn.SEQUENCE(L$1-1))))+$J1091</f>
        <v>0</v>
      </c>
      <c r="M1091" s="3"/>
      <c r="N1091" s="3"/>
    </row>
    <row r="1092" spans="2:14" hidden="1" x14ac:dyDescent="0.2">
      <c r="B1092" s="3">
        <v>56140</v>
      </c>
      <c r="C1092" s="3">
        <v>0</v>
      </c>
      <c r="D1092">
        <v>1089</v>
      </c>
      <c r="E1092" t="str">
        <f>VLOOKUP(B1092,Nuclides!A:F,5,FALSE)</f>
        <v>Ba140</v>
      </c>
      <c r="F1092">
        <f>VLOOKUP(B1092,Nuclides!A:F,4,FALSE)</f>
        <v>1101833.28</v>
      </c>
      <c r="G1092" s="3" t="str">
        <f t="shared" ref="G1092:G1155" si="88">IF(F1092="STABLE", "STABLE", IF(F1092&lt;60, F1092&amp;"s", IF(F1092&lt;3600, ROUND(F1092/60,2)&amp;"min", IF(F1092&lt;86400, ROUND(F1092/3600,2)&amp;"h", IF(F1092&lt;31536000, ROUND(F1092/86400,2)&amp;"d", ROUND(F1092/31536000,2)&amp;"y")))))</f>
        <v>12.75d</v>
      </c>
      <c r="H1092" s="3">
        <f t="shared" ref="H1092:H1155" si="89">LN(2)/F1092</f>
        <v>6.2908535541778636E-7</v>
      </c>
      <c r="I1092" s="3">
        <f t="shared" ref="I1092:I1155" si="90">100*6240000000000*C1092*(1-EXP(-H1092*2*3600))</f>
        <v>0</v>
      </c>
      <c r="J1092" s="3">
        <f t="shared" ref="J1092:J1155" si="91">I1092*EXP(-H1092*10*3600)</f>
        <v>0</v>
      </c>
      <c r="K1092" s="3" t="str">
        <f t="shared" ref="K1092:K1155" si="92">E1092</f>
        <v>Ba140</v>
      </c>
      <c r="L1092" s="3" cm="1">
        <f t="array" ref="L1092">SUM(($J1092*EXP(-$H1092*12*3600*_xlfn.SEQUENCE(L$1-1))))+$J1092</f>
        <v>0</v>
      </c>
      <c r="M1092" s="3"/>
      <c r="N1092" s="3"/>
    </row>
    <row r="1093" spans="2:14" hidden="1" x14ac:dyDescent="0.2">
      <c r="B1093" s="3">
        <v>56141</v>
      </c>
      <c r="C1093" s="3">
        <v>0</v>
      </c>
      <c r="D1093">
        <v>1090</v>
      </c>
      <c r="E1093" t="str">
        <f>VLOOKUP(B1093,Nuclides!A:F,5,FALSE)</f>
        <v>Ba141</v>
      </c>
      <c r="F1093">
        <f>VLOOKUP(B1093,Nuclides!A:F,4,FALSE)</f>
        <v>1096.2</v>
      </c>
      <c r="G1093" s="3" t="str">
        <f t="shared" si="88"/>
        <v>18.27min</v>
      </c>
      <c r="H1093" s="3">
        <f t="shared" si="89"/>
        <v>6.3231817237725352E-4</v>
      </c>
      <c r="I1093" s="3">
        <f t="shared" si="90"/>
        <v>0</v>
      </c>
      <c r="J1093" s="3">
        <f t="shared" si="91"/>
        <v>0</v>
      </c>
      <c r="K1093" s="3" t="str">
        <f t="shared" si="92"/>
        <v>Ba141</v>
      </c>
      <c r="L1093" s="3" cm="1">
        <f t="array" ref="L1093">SUM(($J1093*EXP(-$H1093*12*3600*_xlfn.SEQUENCE(L$1-1))))+$J1093</f>
        <v>0</v>
      </c>
      <c r="M1093" s="3"/>
      <c r="N1093" s="3"/>
    </row>
    <row r="1094" spans="2:14" hidden="1" x14ac:dyDescent="0.2">
      <c r="B1094" s="3">
        <v>56142</v>
      </c>
      <c r="C1094" s="3">
        <v>0</v>
      </c>
      <c r="D1094">
        <v>1091</v>
      </c>
      <c r="E1094" t="str">
        <f>VLOOKUP(B1094,Nuclides!A:F,5,FALSE)</f>
        <v>Ba142</v>
      </c>
      <c r="F1094">
        <f>VLOOKUP(B1094,Nuclides!A:F,4,FALSE)</f>
        <v>636</v>
      </c>
      <c r="G1094" s="3" t="str">
        <f t="shared" si="88"/>
        <v>10.6min</v>
      </c>
      <c r="H1094" s="3">
        <f t="shared" si="89"/>
        <v>1.0898540574841907E-3</v>
      </c>
      <c r="I1094" s="3">
        <f t="shared" si="90"/>
        <v>0</v>
      </c>
      <c r="J1094" s="3">
        <f t="shared" si="91"/>
        <v>0</v>
      </c>
      <c r="K1094" s="3" t="str">
        <f t="shared" si="92"/>
        <v>Ba142</v>
      </c>
      <c r="L1094" s="3" cm="1">
        <f t="array" ref="L1094">SUM(($J1094*EXP(-$H1094*12*3600*_xlfn.SEQUENCE(L$1-1))))+$J1094</f>
        <v>0</v>
      </c>
      <c r="M1094" s="3"/>
      <c r="N1094" s="3"/>
    </row>
    <row r="1095" spans="2:14" hidden="1" x14ac:dyDescent="0.2">
      <c r="B1095" s="3">
        <v>56143</v>
      </c>
      <c r="C1095" s="3">
        <v>0</v>
      </c>
      <c r="D1095">
        <v>1092</v>
      </c>
      <c r="E1095" t="str">
        <f>VLOOKUP(B1095,Nuclides!A:F,5,FALSE)</f>
        <v>Ba143</v>
      </c>
      <c r="F1095">
        <f>VLOOKUP(B1095,Nuclides!A:F,4,FALSE)</f>
        <v>14.5</v>
      </c>
      <c r="G1095" s="3" t="str">
        <f t="shared" si="88"/>
        <v>14.5s</v>
      </c>
      <c r="H1095" s="3">
        <f t="shared" si="89"/>
        <v>4.7803253831720363E-2</v>
      </c>
      <c r="I1095" s="3">
        <f t="shared" si="90"/>
        <v>0</v>
      </c>
      <c r="J1095" s="3">
        <f t="shared" si="91"/>
        <v>0</v>
      </c>
      <c r="K1095" s="3" t="str">
        <f t="shared" si="92"/>
        <v>Ba143</v>
      </c>
      <c r="L1095" s="3" cm="1">
        <f t="array" ref="L1095">SUM(($J1095*EXP(-$H1095*12*3600*_xlfn.SEQUENCE(L$1-1))))+$J1095</f>
        <v>0</v>
      </c>
      <c r="M1095" s="3"/>
      <c r="N1095" s="3"/>
    </row>
    <row r="1096" spans="2:14" hidden="1" x14ac:dyDescent="0.2">
      <c r="B1096" s="3">
        <v>56144</v>
      </c>
      <c r="C1096" s="3">
        <v>0</v>
      </c>
      <c r="D1096">
        <v>1093</v>
      </c>
      <c r="E1096" t="str">
        <f>VLOOKUP(B1096,Nuclides!A:F,5,FALSE)</f>
        <v>Ba144</v>
      </c>
      <c r="F1096">
        <f>VLOOKUP(B1096,Nuclides!A:F,4,FALSE)</f>
        <v>11.5</v>
      </c>
      <c r="G1096" s="3" t="str">
        <f t="shared" si="88"/>
        <v>11.5s</v>
      </c>
      <c r="H1096" s="3">
        <f t="shared" si="89"/>
        <v>6.027366787477785E-2</v>
      </c>
      <c r="I1096" s="3">
        <f t="shared" si="90"/>
        <v>0</v>
      </c>
      <c r="J1096" s="3">
        <f t="shared" si="91"/>
        <v>0</v>
      </c>
      <c r="K1096" s="3" t="str">
        <f t="shared" si="92"/>
        <v>Ba144</v>
      </c>
      <c r="L1096" s="3" cm="1">
        <f t="array" ref="L1096">SUM(($J1096*EXP(-$H1096*12*3600*_xlfn.SEQUENCE(L$1-1))))+$J1096</f>
        <v>0</v>
      </c>
      <c r="M1096" s="3"/>
      <c r="N1096" s="3"/>
    </row>
    <row r="1097" spans="2:14" hidden="1" x14ac:dyDescent="0.2">
      <c r="B1097" s="3">
        <v>56145</v>
      </c>
      <c r="C1097" s="3">
        <v>0</v>
      </c>
      <c r="D1097">
        <v>1094</v>
      </c>
      <c r="E1097" t="str">
        <f>VLOOKUP(B1097,Nuclides!A:F,5,FALSE)</f>
        <v>Ba145</v>
      </c>
      <c r="F1097">
        <f>VLOOKUP(B1097,Nuclides!A:F,4,FALSE)</f>
        <v>4.3099999999999996</v>
      </c>
      <c r="G1097" s="3" t="str">
        <f t="shared" si="88"/>
        <v>4.31s</v>
      </c>
      <c r="H1097" s="3">
        <f t="shared" si="89"/>
        <v>0.16082301173084579</v>
      </c>
      <c r="I1097" s="3">
        <f t="shared" si="90"/>
        <v>0</v>
      </c>
      <c r="J1097" s="3">
        <f t="shared" si="91"/>
        <v>0</v>
      </c>
      <c r="K1097" s="3" t="str">
        <f t="shared" si="92"/>
        <v>Ba145</v>
      </c>
      <c r="L1097" s="3" cm="1">
        <f t="array" ref="L1097">SUM(($J1097*EXP(-$H1097*12*3600*_xlfn.SEQUENCE(L$1-1))))+$J1097</f>
        <v>0</v>
      </c>
      <c r="M1097" s="3"/>
      <c r="N1097" s="3"/>
    </row>
    <row r="1098" spans="2:14" hidden="1" x14ac:dyDescent="0.2">
      <c r="B1098" s="3">
        <v>56146</v>
      </c>
      <c r="C1098" s="3">
        <v>0</v>
      </c>
      <c r="D1098">
        <v>1095</v>
      </c>
      <c r="E1098" t="str">
        <f>VLOOKUP(B1098,Nuclides!A:F,5,FALSE)</f>
        <v>Ba146</v>
      </c>
      <c r="F1098">
        <f>VLOOKUP(B1098,Nuclides!A:F,4,FALSE)</f>
        <v>2.2200000000000002</v>
      </c>
      <c r="G1098" s="3" t="str">
        <f t="shared" si="88"/>
        <v>2.22s</v>
      </c>
      <c r="H1098" s="3">
        <f t="shared" si="89"/>
        <v>0.31222845971168706</v>
      </c>
      <c r="I1098" s="3">
        <f t="shared" si="90"/>
        <v>0</v>
      </c>
      <c r="J1098" s="3">
        <f t="shared" si="91"/>
        <v>0</v>
      </c>
      <c r="K1098" s="3" t="str">
        <f t="shared" si="92"/>
        <v>Ba146</v>
      </c>
      <c r="L1098" s="3" cm="1">
        <f t="array" ref="L1098">SUM(($J1098*EXP(-$H1098*12*3600*_xlfn.SEQUENCE(L$1-1))))+$J1098</f>
        <v>0</v>
      </c>
      <c r="M1098" s="3"/>
      <c r="N1098" s="3"/>
    </row>
    <row r="1099" spans="2:14" hidden="1" x14ac:dyDescent="0.2">
      <c r="B1099" s="3">
        <v>56147</v>
      </c>
      <c r="C1099" s="3">
        <v>0</v>
      </c>
      <c r="D1099">
        <v>1096</v>
      </c>
      <c r="E1099" t="str">
        <f>VLOOKUP(B1099,Nuclides!A:F,5,FALSE)</f>
        <v>Ba147</v>
      </c>
      <c r="F1099">
        <f>VLOOKUP(B1099,Nuclides!A:F,4,FALSE)</f>
        <v>0.89400000000000002</v>
      </c>
      <c r="G1099" s="3" t="str">
        <f t="shared" si="88"/>
        <v>0.894s</v>
      </c>
      <c r="H1099" s="3">
        <f t="shared" si="89"/>
        <v>0.77533241673371955</v>
      </c>
      <c r="I1099" s="3">
        <f t="shared" si="90"/>
        <v>0</v>
      </c>
      <c r="J1099" s="3">
        <f t="shared" si="91"/>
        <v>0</v>
      </c>
      <c r="K1099" s="3" t="str">
        <f t="shared" si="92"/>
        <v>Ba147</v>
      </c>
      <c r="L1099" s="3" cm="1">
        <f t="array" ref="L1099">SUM(($J1099*EXP(-$H1099*12*3600*_xlfn.SEQUENCE(L$1-1))))+$J1099</f>
        <v>0</v>
      </c>
      <c r="M1099" s="3"/>
      <c r="N1099" s="3"/>
    </row>
    <row r="1100" spans="2:14" hidden="1" x14ac:dyDescent="0.2">
      <c r="B1100" s="3">
        <v>56148</v>
      </c>
      <c r="C1100" s="3">
        <v>0</v>
      </c>
      <c r="D1100">
        <v>1097</v>
      </c>
      <c r="E1100" t="str">
        <f>VLOOKUP(B1100,Nuclides!A:F,5,FALSE)</f>
        <v>Ba148</v>
      </c>
      <c r="F1100">
        <f>VLOOKUP(B1100,Nuclides!A:F,4,FALSE)</f>
        <v>0.61199999999999999</v>
      </c>
      <c r="G1100" s="3" t="str">
        <f t="shared" si="88"/>
        <v>0.612s</v>
      </c>
      <c r="H1100" s="3">
        <f t="shared" si="89"/>
        <v>1.1325934322874924</v>
      </c>
      <c r="I1100" s="3">
        <f t="shared" si="90"/>
        <v>0</v>
      </c>
      <c r="J1100" s="3">
        <f t="shared" si="91"/>
        <v>0</v>
      </c>
      <c r="K1100" s="3" t="str">
        <f t="shared" si="92"/>
        <v>Ba148</v>
      </c>
      <c r="L1100" s="3" cm="1">
        <f t="array" ref="L1100">SUM(($J1100*EXP(-$H1100*12*3600*_xlfn.SEQUENCE(L$1-1))))+$J1100</f>
        <v>0</v>
      </c>
      <c r="M1100" s="3"/>
      <c r="N1100" s="3"/>
    </row>
    <row r="1101" spans="2:14" hidden="1" x14ac:dyDescent="0.2">
      <c r="B1101" s="3">
        <v>57123</v>
      </c>
      <c r="C1101" s="3">
        <v>0</v>
      </c>
      <c r="D1101">
        <v>1098</v>
      </c>
      <c r="E1101" t="str">
        <f>VLOOKUP(B1101,Nuclides!A:F,5,FALSE)</f>
        <v>La123</v>
      </c>
      <c r="F1101">
        <f>VLOOKUP(B1101,Nuclides!A:F,4,FALSE)</f>
        <v>17</v>
      </c>
      <c r="G1101" s="3" t="str">
        <f t="shared" si="88"/>
        <v>17s</v>
      </c>
      <c r="H1101" s="3">
        <f t="shared" si="89"/>
        <v>4.0773363562349722E-2</v>
      </c>
      <c r="I1101" s="3">
        <f t="shared" si="90"/>
        <v>0</v>
      </c>
      <c r="J1101" s="3">
        <f t="shared" si="91"/>
        <v>0</v>
      </c>
      <c r="K1101" s="3" t="str">
        <f t="shared" si="92"/>
        <v>La123</v>
      </c>
      <c r="L1101" s="3" cm="1">
        <f t="array" ref="L1101">SUM(($J1101*EXP(-$H1101*12*3600*_xlfn.SEQUENCE(L$1-1))))+$J1101</f>
        <v>0</v>
      </c>
      <c r="M1101" s="3"/>
      <c r="N1101" s="3"/>
    </row>
    <row r="1102" spans="2:14" hidden="1" x14ac:dyDescent="0.2">
      <c r="B1102" s="3">
        <v>57124</v>
      </c>
      <c r="C1102" s="3">
        <v>0</v>
      </c>
      <c r="D1102">
        <v>1099</v>
      </c>
      <c r="E1102" t="str">
        <f>VLOOKUP(B1102,Nuclides!A:F,5,FALSE)</f>
        <v>La124</v>
      </c>
      <c r="F1102">
        <f>VLOOKUP(B1102,Nuclides!A:F,4,FALSE)</f>
        <v>29.21</v>
      </c>
      <c r="G1102" s="3" t="str">
        <f t="shared" si="88"/>
        <v>29.21s</v>
      </c>
      <c r="H1102" s="3">
        <f t="shared" si="89"/>
        <v>2.3729790501881044E-2</v>
      </c>
      <c r="I1102" s="3">
        <f t="shared" si="90"/>
        <v>0</v>
      </c>
      <c r="J1102" s="3">
        <f t="shared" si="91"/>
        <v>0</v>
      </c>
      <c r="K1102" s="3" t="str">
        <f t="shared" si="92"/>
        <v>La124</v>
      </c>
      <c r="L1102" s="3" cm="1">
        <f t="array" ref="L1102">SUM(($J1102*EXP(-$H1102*12*3600*_xlfn.SEQUENCE(L$1-1))))+$J1102</f>
        <v>0</v>
      </c>
      <c r="M1102" s="3"/>
      <c r="N1102" s="3"/>
    </row>
    <row r="1103" spans="2:14" hidden="1" x14ac:dyDescent="0.2">
      <c r="B1103" s="3">
        <v>57125</v>
      </c>
      <c r="C1103" s="3">
        <v>0</v>
      </c>
      <c r="D1103">
        <v>1100</v>
      </c>
      <c r="E1103" t="str">
        <f>VLOOKUP(B1103,Nuclides!A:F,5,FALSE)</f>
        <v>La125</v>
      </c>
      <c r="F1103">
        <f>VLOOKUP(B1103,Nuclides!A:F,4,FALSE)</f>
        <v>64.8</v>
      </c>
      <c r="G1103" s="3" t="str">
        <f t="shared" si="88"/>
        <v>1.08min</v>
      </c>
      <c r="H1103" s="3">
        <f t="shared" si="89"/>
        <v>1.0696715749381872E-2</v>
      </c>
      <c r="I1103" s="3">
        <f t="shared" si="90"/>
        <v>0</v>
      </c>
      <c r="J1103" s="3">
        <f t="shared" si="91"/>
        <v>0</v>
      </c>
      <c r="K1103" s="3" t="str">
        <f t="shared" si="92"/>
        <v>La125</v>
      </c>
      <c r="L1103" s="3" cm="1">
        <f t="array" ref="L1103">SUM(($J1103*EXP(-$H1103*12*3600*_xlfn.SEQUENCE(L$1-1))))+$J1103</f>
        <v>0</v>
      </c>
      <c r="M1103" s="3"/>
      <c r="N1103" s="3"/>
    </row>
    <row r="1104" spans="2:14" hidden="1" x14ac:dyDescent="0.2">
      <c r="B1104" s="3">
        <v>57126</v>
      </c>
      <c r="C1104" s="3">
        <v>0</v>
      </c>
      <c r="D1104">
        <v>1101</v>
      </c>
      <c r="E1104" t="str">
        <f>VLOOKUP(B1104,Nuclides!A:F,5,FALSE)</f>
        <v>La126</v>
      </c>
      <c r="F1104">
        <f>VLOOKUP(B1104,Nuclides!A:F,4,FALSE)</f>
        <v>54</v>
      </c>
      <c r="G1104" s="3" t="str">
        <f t="shared" si="88"/>
        <v>54s</v>
      </c>
      <c r="H1104" s="3">
        <f t="shared" si="89"/>
        <v>1.2836058899258247E-2</v>
      </c>
      <c r="I1104" s="3">
        <f t="shared" si="90"/>
        <v>0</v>
      </c>
      <c r="J1104" s="3">
        <f t="shared" si="91"/>
        <v>0</v>
      </c>
      <c r="K1104" s="3" t="str">
        <f t="shared" si="92"/>
        <v>La126</v>
      </c>
      <c r="L1104" s="3" cm="1">
        <f t="array" ref="L1104">SUM(($J1104*EXP(-$H1104*12*3600*_xlfn.SEQUENCE(L$1-1))))+$J1104</f>
        <v>0</v>
      </c>
      <c r="M1104" s="3"/>
      <c r="N1104" s="3"/>
    </row>
    <row r="1105" spans="2:14" hidden="1" x14ac:dyDescent="0.2">
      <c r="B1105" s="3">
        <v>57127</v>
      </c>
      <c r="C1105" s="3">
        <v>0</v>
      </c>
      <c r="D1105">
        <v>1102</v>
      </c>
      <c r="E1105" t="str">
        <f>VLOOKUP(B1105,Nuclides!A:F,5,FALSE)</f>
        <v>La127</v>
      </c>
      <c r="F1105">
        <f>VLOOKUP(B1105,Nuclides!A:F,4,FALSE)</f>
        <v>306</v>
      </c>
      <c r="G1105" s="3" t="str">
        <f t="shared" si="88"/>
        <v>5.1min</v>
      </c>
      <c r="H1105" s="3">
        <f t="shared" si="89"/>
        <v>2.2651868645749847E-3</v>
      </c>
      <c r="I1105" s="3">
        <f t="shared" si="90"/>
        <v>0</v>
      </c>
      <c r="J1105" s="3">
        <f t="shared" si="91"/>
        <v>0</v>
      </c>
      <c r="K1105" s="3" t="str">
        <f t="shared" si="92"/>
        <v>La127</v>
      </c>
      <c r="L1105" s="3" cm="1">
        <f t="array" ref="L1105">SUM(($J1105*EXP(-$H1105*12*3600*_xlfn.SEQUENCE(L$1-1))))+$J1105</f>
        <v>0</v>
      </c>
      <c r="M1105" s="3"/>
      <c r="N1105" s="3"/>
    </row>
    <row r="1106" spans="2:14" hidden="1" x14ac:dyDescent="0.2">
      <c r="B1106" s="3">
        <v>57128</v>
      </c>
      <c r="C1106" s="3">
        <v>0</v>
      </c>
      <c r="D1106">
        <v>1103</v>
      </c>
      <c r="E1106" t="str">
        <f>VLOOKUP(B1106,Nuclides!A:F,5,FALSE)</f>
        <v>La128</v>
      </c>
      <c r="F1106">
        <f>VLOOKUP(B1106,Nuclides!A:F,4,FALSE)</f>
        <v>310.79999999999899</v>
      </c>
      <c r="G1106" s="3" t="str">
        <f t="shared" si="88"/>
        <v>5.18min</v>
      </c>
      <c r="H1106" s="3">
        <f t="shared" si="89"/>
        <v>2.2302032836549147E-3</v>
      </c>
      <c r="I1106" s="3">
        <f t="shared" si="90"/>
        <v>0</v>
      </c>
      <c r="J1106" s="3">
        <f t="shared" si="91"/>
        <v>0</v>
      </c>
      <c r="K1106" s="3" t="str">
        <f t="shared" si="92"/>
        <v>La128</v>
      </c>
      <c r="L1106" s="3" cm="1">
        <f t="array" ref="L1106">SUM(($J1106*EXP(-$H1106*12*3600*_xlfn.SEQUENCE(L$1-1))))+$J1106</f>
        <v>0</v>
      </c>
      <c r="M1106" s="3"/>
      <c r="N1106" s="3"/>
    </row>
    <row r="1107" spans="2:14" hidden="1" x14ac:dyDescent="0.2">
      <c r="B1107" s="3">
        <v>57129</v>
      </c>
      <c r="C1107" s="3">
        <v>0</v>
      </c>
      <c r="D1107">
        <v>1104</v>
      </c>
      <c r="E1107" t="str">
        <f>VLOOKUP(B1107,Nuclides!A:F,5,FALSE)</f>
        <v>La129</v>
      </c>
      <c r="F1107">
        <f>VLOOKUP(B1107,Nuclides!A:F,4,FALSE)</f>
        <v>696</v>
      </c>
      <c r="G1107" s="3" t="str">
        <f t="shared" si="88"/>
        <v>11.6min</v>
      </c>
      <c r="H1107" s="3">
        <f t="shared" si="89"/>
        <v>9.959011214941743E-4</v>
      </c>
      <c r="I1107" s="3">
        <f t="shared" si="90"/>
        <v>0</v>
      </c>
      <c r="J1107" s="3">
        <f t="shared" si="91"/>
        <v>0</v>
      </c>
      <c r="K1107" s="3" t="str">
        <f t="shared" si="92"/>
        <v>La129</v>
      </c>
      <c r="L1107" s="3" cm="1">
        <f t="array" ref="L1107">SUM(($J1107*EXP(-$H1107*12*3600*_xlfn.SEQUENCE(L$1-1))))+$J1107</f>
        <v>0</v>
      </c>
      <c r="M1107" s="3"/>
      <c r="N1107" s="3"/>
    </row>
    <row r="1108" spans="2:14" hidden="1" x14ac:dyDescent="0.2">
      <c r="B1108" s="3">
        <v>57130</v>
      </c>
      <c r="C1108" s="3">
        <v>0</v>
      </c>
      <c r="D1108">
        <v>1105</v>
      </c>
      <c r="E1108" t="str">
        <f>VLOOKUP(B1108,Nuclides!A:F,5,FALSE)</f>
        <v>La130</v>
      </c>
      <c r="F1108">
        <f>VLOOKUP(B1108,Nuclides!A:F,4,FALSE)</f>
        <v>522</v>
      </c>
      <c r="G1108" s="3" t="str">
        <f t="shared" si="88"/>
        <v>8.7min</v>
      </c>
      <c r="H1108" s="3">
        <f t="shared" si="89"/>
        <v>1.3278681619922324E-3</v>
      </c>
      <c r="I1108" s="3">
        <f t="shared" si="90"/>
        <v>0</v>
      </c>
      <c r="J1108" s="3">
        <f t="shared" si="91"/>
        <v>0</v>
      </c>
      <c r="K1108" s="3" t="str">
        <f t="shared" si="92"/>
        <v>La130</v>
      </c>
      <c r="L1108" s="3" cm="1">
        <f t="array" ref="L1108">SUM(($J1108*EXP(-$H1108*12*3600*_xlfn.SEQUENCE(L$1-1))))+$J1108</f>
        <v>0</v>
      </c>
      <c r="M1108" s="3"/>
      <c r="N1108" s="3"/>
    </row>
    <row r="1109" spans="2:14" hidden="1" x14ac:dyDescent="0.2">
      <c r="B1109" s="3">
        <v>57131</v>
      </c>
      <c r="C1109" s="3">
        <v>0</v>
      </c>
      <c r="D1109">
        <v>1106</v>
      </c>
      <c r="E1109" t="str">
        <f>VLOOKUP(B1109,Nuclides!A:F,5,FALSE)</f>
        <v>La131</v>
      </c>
      <c r="F1109">
        <f>VLOOKUP(B1109,Nuclides!A:F,4,FALSE)</f>
        <v>3540</v>
      </c>
      <c r="G1109" s="3" t="str">
        <f t="shared" si="88"/>
        <v>59min</v>
      </c>
      <c r="H1109" s="3">
        <f t="shared" si="89"/>
        <v>1.9580428829376985E-4</v>
      </c>
      <c r="I1109" s="3">
        <f t="shared" si="90"/>
        <v>0</v>
      </c>
      <c r="J1109" s="3">
        <f t="shared" si="91"/>
        <v>0</v>
      </c>
      <c r="K1109" s="3" t="str">
        <f t="shared" si="92"/>
        <v>La131</v>
      </c>
      <c r="L1109" s="3" cm="1">
        <f t="array" ref="L1109">SUM(($J1109*EXP(-$H1109*12*3600*_xlfn.SEQUENCE(L$1-1))))+$J1109</f>
        <v>0</v>
      </c>
      <c r="M1109" s="3"/>
      <c r="N1109" s="3"/>
    </row>
    <row r="1110" spans="2:14" hidden="1" x14ac:dyDescent="0.2">
      <c r="B1110" s="3">
        <v>57132</v>
      </c>
      <c r="C1110" s="3">
        <v>0</v>
      </c>
      <c r="D1110">
        <v>1107</v>
      </c>
      <c r="E1110" t="str">
        <f>VLOOKUP(B1110,Nuclides!A:F,5,FALSE)</f>
        <v>La132</v>
      </c>
      <c r="F1110">
        <f>VLOOKUP(B1110,Nuclides!A:F,4,FALSE)</f>
        <v>17280</v>
      </c>
      <c r="G1110" s="3" t="str">
        <f t="shared" si="88"/>
        <v>4.8h</v>
      </c>
      <c r="H1110" s="3">
        <f t="shared" si="89"/>
        <v>4.0112684060182019E-5</v>
      </c>
      <c r="I1110" s="3">
        <f t="shared" si="90"/>
        <v>0</v>
      </c>
      <c r="J1110" s="3">
        <f t="shared" si="91"/>
        <v>0</v>
      </c>
      <c r="K1110" s="3" t="str">
        <f t="shared" si="92"/>
        <v>La132</v>
      </c>
      <c r="L1110" s="3" cm="1">
        <f t="array" ref="L1110">SUM(($J1110*EXP(-$H1110*12*3600*_xlfn.SEQUENCE(L$1-1))))+$J1110</f>
        <v>0</v>
      </c>
      <c r="M1110" s="3"/>
      <c r="N1110" s="3"/>
    </row>
    <row r="1111" spans="2:14" hidden="1" x14ac:dyDescent="0.2">
      <c r="B1111" s="3">
        <v>57133</v>
      </c>
      <c r="C1111" s="3">
        <v>0</v>
      </c>
      <c r="D1111">
        <v>1108</v>
      </c>
      <c r="E1111" t="str">
        <f>VLOOKUP(B1111,Nuclides!A:F,5,FALSE)</f>
        <v>La133</v>
      </c>
      <c r="F1111">
        <f>VLOOKUP(B1111,Nuclides!A:F,4,FALSE)</f>
        <v>14083.199999999901</v>
      </c>
      <c r="G1111" s="3" t="str">
        <f t="shared" si="88"/>
        <v>3.91h</v>
      </c>
      <c r="H1111" s="3">
        <f t="shared" si="89"/>
        <v>4.9218017251757425E-5</v>
      </c>
      <c r="I1111" s="3">
        <f t="shared" si="90"/>
        <v>0</v>
      </c>
      <c r="J1111" s="3">
        <f t="shared" si="91"/>
        <v>0</v>
      </c>
      <c r="K1111" s="3" t="str">
        <f t="shared" si="92"/>
        <v>La133</v>
      </c>
      <c r="L1111" s="3" cm="1">
        <f t="array" ref="L1111">SUM(($J1111*EXP(-$H1111*12*3600*_xlfn.SEQUENCE(L$1-1))))+$J1111</f>
        <v>0</v>
      </c>
      <c r="M1111" s="3"/>
      <c r="N1111" s="3"/>
    </row>
    <row r="1112" spans="2:14" hidden="1" x14ac:dyDescent="0.2">
      <c r="B1112" s="3">
        <v>57134</v>
      </c>
      <c r="C1112" s="3">
        <v>0</v>
      </c>
      <c r="D1112">
        <v>1109</v>
      </c>
      <c r="E1112" t="str">
        <f>VLOOKUP(B1112,Nuclides!A:F,5,FALSE)</f>
        <v>La134</v>
      </c>
      <c r="F1112">
        <f>VLOOKUP(B1112,Nuclides!A:F,4,FALSE)</f>
        <v>387</v>
      </c>
      <c r="G1112" s="3" t="str">
        <f t="shared" si="88"/>
        <v>6.45min</v>
      </c>
      <c r="H1112" s="3">
        <f t="shared" si="89"/>
        <v>1.7910779859430111E-3</v>
      </c>
      <c r="I1112" s="3">
        <f t="shared" si="90"/>
        <v>0</v>
      </c>
      <c r="J1112" s="3">
        <f t="shared" si="91"/>
        <v>0</v>
      </c>
      <c r="K1112" s="3" t="str">
        <f t="shared" si="92"/>
        <v>La134</v>
      </c>
      <c r="L1112" s="3" cm="1">
        <f t="array" ref="L1112">SUM(($J1112*EXP(-$H1112*12*3600*_xlfn.SEQUENCE(L$1-1))))+$J1112</f>
        <v>0</v>
      </c>
      <c r="M1112" s="3"/>
      <c r="N1112" s="3"/>
    </row>
    <row r="1113" spans="2:14" hidden="1" x14ac:dyDescent="0.2">
      <c r="B1113" s="3">
        <v>57135</v>
      </c>
      <c r="C1113" s="3">
        <v>0</v>
      </c>
      <c r="D1113">
        <v>1110</v>
      </c>
      <c r="E1113" t="str">
        <f>VLOOKUP(B1113,Nuclides!A:F,5,FALSE)</f>
        <v>La135</v>
      </c>
      <c r="F1113">
        <f>VLOOKUP(B1113,Nuclides!A:F,4,FALSE)</f>
        <v>70200</v>
      </c>
      <c r="G1113" s="3" t="str">
        <f t="shared" si="88"/>
        <v>19.5h</v>
      </c>
      <c r="H1113" s="3">
        <f t="shared" si="89"/>
        <v>9.8738914609678821E-6</v>
      </c>
      <c r="I1113" s="3">
        <f t="shared" si="90"/>
        <v>0</v>
      </c>
      <c r="J1113" s="3">
        <f t="shared" si="91"/>
        <v>0</v>
      </c>
      <c r="K1113" s="3" t="str">
        <f t="shared" si="92"/>
        <v>La135</v>
      </c>
      <c r="L1113" s="3" cm="1">
        <f t="array" ref="L1113">SUM(($J1113*EXP(-$H1113*12*3600*_xlfn.SEQUENCE(L$1-1))))+$J1113</f>
        <v>0</v>
      </c>
      <c r="M1113" s="3"/>
      <c r="N1113" s="3"/>
    </row>
    <row r="1114" spans="2:14" hidden="1" x14ac:dyDescent="0.2">
      <c r="B1114" s="3">
        <v>57136</v>
      </c>
      <c r="C1114" s="3">
        <v>0</v>
      </c>
      <c r="D1114">
        <v>1111</v>
      </c>
      <c r="E1114" t="str">
        <f>VLOOKUP(B1114,Nuclides!A:F,5,FALSE)</f>
        <v>La136</v>
      </c>
      <c r="F1114">
        <f>VLOOKUP(B1114,Nuclides!A:F,4,FALSE)</f>
        <v>592.19999999999902</v>
      </c>
      <c r="G1114" s="3" t="str">
        <f t="shared" si="88"/>
        <v>9.87min</v>
      </c>
      <c r="H1114" s="3">
        <f t="shared" si="89"/>
        <v>1.1704612978047052E-3</v>
      </c>
      <c r="I1114" s="3">
        <f t="shared" si="90"/>
        <v>0</v>
      </c>
      <c r="J1114" s="3">
        <f t="shared" si="91"/>
        <v>0</v>
      </c>
      <c r="K1114" s="3" t="str">
        <f t="shared" si="92"/>
        <v>La136</v>
      </c>
      <c r="L1114" s="3" cm="1">
        <f t="array" ref="L1114">SUM(($J1114*EXP(-$H1114*12*3600*_xlfn.SEQUENCE(L$1-1))))+$J1114</f>
        <v>0</v>
      </c>
      <c r="M1114" s="3"/>
      <c r="N1114" s="3"/>
    </row>
    <row r="1115" spans="2:14" hidden="1" x14ac:dyDescent="0.2">
      <c r="B1115" s="3">
        <v>57137</v>
      </c>
      <c r="C1115" s="3">
        <v>0</v>
      </c>
      <c r="D1115">
        <v>1112</v>
      </c>
      <c r="E1115" t="str">
        <f>VLOOKUP(B1115,Nuclides!A:F,5,FALSE)</f>
        <v>La137</v>
      </c>
      <c r="F1115">
        <f>VLOOKUP(B1115,Nuclides!A:F,4,FALSE)</f>
        <v>1893456000000</v>
      </c>
      <c r="G1115" s="3" t="str">
        <f t="shared" si="88"/>
        <v>60041.1y</v>
      </c>
      <c r="H1115" s="3">
        <f t="shared" si="89"/>
        <v>3.6607514542716879E-13</v>
      </c>
      <c r="I1115" s="3">
        <f t="shared" si="90"/>
        <v>0</v>
      </c>
      <c r="J1115" s="3">
        <f t="shared" si="91"/>
        <v>0</v>
      </c>
      <c r="K1115" s="3" t="str">
        <f t="shared" si="92"/>
        <v>La137</v>
      </c>
      <c r="L1115" s="3" cm="1">
        <f t="array" ref="L1115">SUM(($J1115*EXP(-$H1115*12*3600*_xlfn.SEQUENCE(L$1-1))))+$J1115</f>
        <v>0</v>
      </c>
      <c r="M1115" s="3"/>
      <c r="N1115" s="3"/>
    </row>
    <row r="1116" spans="2:14" hidden="1" x14ac:dyDescent="0.2">
      <c r="B1116" s="3">
        <v>57138</v>
      </c>
      <c r="C1116" s="3">
        <v>0</v>
      </c>
      <c r="D1116">
        <v>1113</v>
      </c>
      <c r="E1116" t="str">
        <f>VLOOKUP(B1116,Nuclides!A:F,5,FALSE)</f>
        <v>La138</v>
      </c>
      <c r="F1116">
        <f>VLOOKUP(B1116,Nuclides!A:F,4,FALSE)</f>
        <v>3.2188752E+18</v>
      </c>
      <c r="G1116" s="3" t="str">
        <f t="shared" si="88"/>
        <v>102069863013.7y</v>
      </c>
      <c r="H1116" s="3">
        <f t="shared" si="89"/>
        <v>2.1533832083951104E-19</v>
      </c>
      <c r="I1116" s="3">
        <f t="shared" si="90"/>
        <v>0</v>
      </c>
      <c r="J1116" s="3">
        <f t="shared" si="91"/>
        <v>0</v>
      </c>
      <c r="K1116" s="3" t="str">
        <f t="shared" si="92"/>
        <v>La138</v>
      </c>
      <c r="L1116" s="3" cm="1">
        <f t="array" ref="L1116">SUM(($J1116*EXP(-$H1116*12*3600*_xlfn.SEQUENCE(L$1-1))))+$J1116</f>
        <v>0</v>
      </c>
      <c r="M1116" s="3"/>
      <c r="N1116" s="3"/>
    </row>
    <row r="1117" spans="2:14" hidden="1" x14ac:dyDescent="0.2">
      <c r="B1117" s="3">
        <v>57139</v>
      </c>
      <c r="C1117" s="3">
        <v>0</v>
      </c>
      <c r="D1117">
        <v>1114</v>
      </c>
      <c r="E1117" t="str">
        <f>VLOOKUP(B1117,Nuclides!A:F,5,FALSE)</f>
        <v>La139</v>
      </c>
      <c r="F1117" t="str">
        <f>VLOOKUP(B1117,Nuclides!A:F,4,FALSE)</f>
        <v>STABLE</v>
      </c>
      <c r="G1117" s="3" t="str">
        <f t="shared" si="88"/>
        <v>STABLE</v>
      </c>
      <c r="H1117" s="3" t="e">
        <f t="shared" si="89"/>
        <v>#VALUE!</v>
      </c>
      <c r="I1117" s="3" t="e">
        <f t="shared" si="90"/>
        <v>#VALUE!</v>
      </c>
      <c r="J1117" s="3" t="e">
        <f t="shared" si="91"/>
        <v>#VALUE!</v>
      </c>
      <c r="K1117" s="3" t="str">
        <f t="shared" si="92"/>
        <v>La139</v>
      </c>
      <c r="L1117" s="3" t="e" cm="1">
        <f t="array" ref="L1117">SUM(($J1117*EXP(-$H1117*12*3600*_xlfn.SEQUENCE(L$1-1))))+$J1117</f>
        <v>#VALUE!</v>
      </c>
      <c r="M1117" s="3"/>
      <c r="N1117" s="3"/>
    </row>
    <row r="1118" spans="2:14" hidden="1" x14ac:dyDescent="0.2">
      <c r="B1118" s="3">
        <v>57140</v>
      </c>
      <c r="C1118" s="3">
        <v>0</v>
      </c>
      <c r="D1118">
        <v>1115</v>
      </c>
      <c r="E1118" t="str">
        <f>VLOOKUP(B1118,Nuclides!A:F,5,FALSE)</f>
        <v>La140</v>
      </c>
      <c r="F1118">
        <f>VLOOKUP(B1118,Nuclides!A:F,4,FALSE)</f>
        <v>145026.72</v>
      </c>
      <c r="G1118" s="3" t="str">
        <f t="shared" si="88"/>
        <v>1.68d</v>
      </c>
      <c r="H1118" s="3">
        <f t="shared" si="89"/>
        <v>4.77944464688952E-6</v>
      </c>
      <c r="I1118" s="3">
        <f t="shared" si="90"/>
        <v>0</v>
      </c>
      <c r="J1118" s="3">
        <f t="shared" si="91"/>
        <v>0</v>
      </c>
      <c r="K1118" s="3" t="str">
        <f t="shared" si="92"/>
        <v>La140</v>
      </c>
      <c r="L1118" s="3" cm="1">
        <f t="array" ref="L1118">SUM(($J1118*EXP(-$H1118*12*3600*_xlfn.SEQUENCE(L$1-1))))+$J1118</f>
        <v>0</v>
      </c>
      <c r="M1118" s="3"/>
      <c r="N1118" s="3"/>
    </row>
    <row r="1119" spans="2:14" hidden="1" x14ac:dyDescent="0.2">
      <c r="B1119" s="3">
        <v>57141</v>
      </c>
      <c r="C1119" s="3">
        <v>0</v>
      </c>
      <c r="D1119">
        <v>1116</v>
      </c>
      <c r="E1119" t="str">
        <f>VLOOKUP(B1119,Nuclides!A:F,5,FALSE)</f>
        <v>La141</v>
      </c>
      <c r="F1119">
        <f>VLOOKUP(B1119,Nuclides!A:F,4,FALSE)</f>
        <v>14112</v>
      </c>
      <c r="G1119" s="3" t="str">
        <f t="shared" si="88"/>
        <v>3.92h</v>
      </c>
      <c r="H1119" s="3">
        <f t="shared" si="89"/>
        <v>4.9117572318590229E-5</v>
      </c>
      <c r="I1119" s="3">
        <f t="shared" si="90"/>
        <v>0</v>
      </c>
      <c r="J1119" s="3">
        <f t="shared" si="91"/>
        <v>0</v>
      </c>
      <c r="K1119" s="3" t="str">
        <f t="shared" si="92"/>
        <v>La141</v>
      </c>
      <c r="L1119" s="3" cm="1">
        <f t="array" ref="L1119">SUM(($J1119*EXP(-$H1119*12*3600*_xlfn.SEQUENCE(L$1-1))))+$J1119</f>
        <v>0</v>
      </c>
      <c r="M1119" s="3"/>
      <c r="N1119" s="3"/>
    </row>
    <row r="1120" spans="2:14" hidden="1" x14ac:dyDescent="0.2">
      <c r="B1120" s="3">
        <v>57142</v>
      </c>
      <c r="C1120" s="3">
        <v>0</v>
      </c>
      <c r="D1120">
        <v>1117</v>
      </c>
      <c r="E1120" t="str">
        <f>VLOOKUP(B1120,Nuclides!A:F,5,FALSE)</f>
        <v>La142</v>
      </c>
      <c r="F1120">
        <f>VLOOKUP(B1120,Nuclides!A:F,4,FALSE)</f>
        <v>5466</v>
      </c>
      <c r="G1120" s="3" t="str">
        <f t="shared" si="88"/>
        <v>1.52h</v>
      </c>
      <c r="H1120" s="3">
        <f t="shared" si="89"/>
        <v>1.2681068067324283E-4</v>
      </c>
      <c r="I1120" s="3">
        <f t="shared" si="90"/>
        <v>0</v>
      </c>
      <c r="J1120" s="3">
        <f t="shared" si="91"/>
        <v>0</v>
      </c>
      <c r="K1120" s="3" t="str">
        <f t="shared" si="92"/>
        <v>La142</v>
      </c>
      <c r="L1120" s="3" cm="1">
        <f t="array" ref="L1120">SUM(($J1120*EXP(-$H1120*12*3600*_xlfn.SEQUENCE(L$1-1))))+$J1120</f>
        <v>0</v>
      </c>
      <c r="M1120" s="3"/>
      <c r="N1120" s="3"/>
    </row>
    <row r="1121" spans="2:14" hidden="1" x14ac:dyDescent="0.2">
      <c r="B1121" s="3">
        <v>57143</v>
      </c>
      <c r="C1121" s="3">
        <v>0</v>
      </c>
      <c r="D1121">
        <v>1118</v>
      </c>
      <c r="E1121" t="str">
        <f>VLOOKUP(B1121,Nuclides!A:F,5,FALSE)</f>
        <v>La143</v>
      </c>
      <c r="F1121">
        <f>VLOOKUP(B1121,Nuclides!A:F,4,FALSE)</f>
        <v>852</v>
      </c>
      <c r="G1121" s="3" t="str">
        <f t="shared" si="88"/>
        <v>14.2min</v>
      </c>
      <c r="H1121" s="3">
        <f t="shared" si="89"/>
        <v>8.1355302882622684E-4</v>
      </c>
      <c r="I1121" s="3">
        <f t="shared" si="90"/>
        <v>0</v>
      </c>
      <c r="J1121" s="3">
        <f t="shared" si="91"/>
        <v>0</v>
      </c>
      <c r="K1121" s="3" t="str">
        <f t="shared" si="92"/>
        <v>La143</v>
      </c>
      <c r="L1121" s="3" cm="1">
        <f t="array" ref="L1121">SUM(($J1121*EXP(-$H1121*12*3600*_xlfn.SEQUENCE(L$1-1))))+$J1121</f>
        <v>0</v>
      </c>
      <c r="M1121" s="3"/>
      <c r="N1121" s="3"/>
    </row>
    <row r="1122" spans="2:14" hidden="1" x14ac:dyDescent="0.2">
      <c r="B1122" s="3">
        <v>57144</v>
      </c>
      <c r="C1122" s="3">
        <v>0</v>
      </c>
      <c r="D1122">
        <v>1119</v>
      </c>
      <c r="E1122" t="str">
        <f>VLOOKUP(B1122,Nuclides!A:F,5,FALSE)</f>
        <v>La144</v>
      </c>
      <c r="F1122">
        <f>VLOOKUP(B1122,Nuclides!A:F,4,FALSE)</f>
        <v>40.799999999999997</v>
      </c>
      <c r="G1122" s="3" t="str">
        <f t="shared" si="88"/>
        <v>40.8s</v>
      </c>
      <c r="H1122" s="3">
        <f t="shared" si="89"/>
        <v>1.6988901484312386E-2</v>
      </c>
      <c r="I1122" s="3">
        <f t="shared" si="90"/>
        <v>0</v>
      </c>
      <c r="J1122" s="3">
        <f t="shared" si="91"/>
        <v>0</v>
      </c>
      <c r="K1122" s="3" t="str">
        <f t="shared" si="92"/>
        <v>La144</v>
      </c>
      <c r="L1122" s="3" cm="1">
        <f t="array" ref="L1122">SUM(($J1122*EXP(-$H1122*12*3600*_xlfn.SEQUENCE(L$1-1))))+$J1122</f>
        <v>0</v>
      </c>
      <c r="M1122" s="3"/>
      <c r="N1122" s="3"/>
    </row>
    <row r="1123" spans="2:14" hidden="1" x14ac:dyDescent="0.2">
      <c r="B1123" s="3">
        <v>57145</v>
      </c>
      <c r="C1123" s="3">
        <v>0</v>
      </c>
      <c r="D1123">
        <v>1120</v>
      </c>
      <c r="E1123" t="str">
        <f>VLOOKUP(B1123,Nuclides!A:F,5,FALSE)</f>
        <v>La145</v>
      </c>
      <c r="F1123">
        <f>VLOOKUP(B1123,Nuclides!A:F,4,FALSE)</f>
        <v>24.8</v>
      </c>
      <c r="G1123" s="3" t="str">
        <f t="shared" si="88"/>
        <v>24.8s</v>
      </c>
      <c r="H1123" s="3">
        <f t="shared" si="89"/>
        <v>2.7949483087094568E-2</v>
      </c>
      <c r="I1123" s="3">
        <f t="shared" si="90"/>
        <v>0</v>
      </c>
      <c r="J1123" s="3">
        <f t="shared" si="91"/>
        <v>0</v>
      </c>
      <c r="K1123" s="3" t="str">
        <f t="shared" si="92"/>
        <v>La145</v>
      </c>
      <c r="L1123" s="3" cm="1">
        <f t="array" ref="L1123">SUM(($J1123*EXP(-$H1123*12*3600*_xlfn.SEQUENCE(L$1-1))))+$J1123</f>
        <v>0</v>
      </c>
      <c r="M1123" s="3"/>
      <c r="N1123" s="3"/>
    </row>
    <row r="1124" spans="2:14" hidden="1" x14ac:dyDescent="0.2">
      <c r="B1124" s="3">
        <v>57146</v>
      </c>
      <c r="C1124" s="3">
        <v>0</v>
      </c>
      <c r="D1124">
        <v>1121</v>
      </c>
      <c r="E1124" t="str">
        <f>VLOOKUP(B1124,Nuclides!A:F,5,FALSE)</f>
        <v>La146</v>
      </c>
      <c r="F1124">
        <f>VLOOKUP(B1124,Nuclides!A:F,4,FALSE)</f>
        <v>6.27</v>
      </c>
      <c r="G1124" s="3" t="str">
        <f t="shared" si="88"/>
        <v>6.27s</v>
      </c>
      <c r="H1124" s="3">
        <f t="shared" si="89"/>
        <v>0.11054978956298969</v>
      </c>
      <c r="I1124" s="3">
        <f t="shared" si="90"/>
        <v>0</v>
      </c>
      <c r="J1124" s="3">
        <f t="shared" si="91"/>
        <v>0</v>
      </c>
      <c r="K1124" s="3" t="str">
        <f t="shared" si="92"/>
        <v>La146</v>
      </c>
      <c r="L1124" s="3" cm="1">
        <f t="array" ref="L1124">SUM(($J1124*EXP(-$H1124*12*3600*_xlfn.SEQUENCE(L$1-1))))+$J1124</f>
        <v>0</v>
      </c>
      <c r="M1124" s="3"/>
      <c r="N1124" s="3"/>
    </row>
    <row r="1125" spans="2:14" hidden="1" x14ac:dyDescent="0.2">
      <c r="B1125" s="3">
        <v>57147</v>
      </c>
      <c r="C1125" s="3">
        <v>0</v>
      </c>
      <c r="D1125">
        <v>1122</v>
      </c>
      <c r="E1125" t="str">
        <f>VLOOKUP(B1125,Nuclides!A:F,5,FALSE)</f>
        <v>La147</v>
      </c>
      <c r="F1125">
        <f>VLOOKUP(B1125,Nuclides!A:F,4,FALSE)</f>
        <v>4.0599999999999996</v>
      </c>
      <c r="G1125" s="3" t="str">
        <f t="shared" si="88"/>
        <v>4.06s</v>
      </c>
      <c r="H1125" s="3">
        <f t="shared" si="89"/>
        <v>0.17072590654185846</v>
      </c>
      <c r="I1125" s="3">
        <f t="shared" si="90"/>
        <v>0</v>
      </c>
      <c r="J1125" s="3">
        <f t="shared" si="91"/>
        <v>0</v>
      </c>
      <c r="K1125" s="3" t="str">
        <f t="shared" si="92"/>
        <v>La147</v>
      </c>
      <c r="L1125" s="3" cm="1">
        <f t="array" ref="L1125">SUM(($J1125*EXP(-$H1125*12*3600*_xlfn.SEQUENCE(L$1-1))))+$J1125</f>
        <v>0</v>
      </c>
      <c r="M1125" s="3"/>
      <c r="N1125" s="3"/>
    </row>
    <row r="1126" spans="2:14" hidden="1" x14ac:dyDescent="0.2">
      <c r="B1126" s="3">
        <v>57148</v>
      </c>
      <c r="C1126" s="3">
        <v>0</v>
      </c>
      <c r="D1126">
        <v>1123</v>
      </c>
      <c r="E1126" t="str">
        <f>VLOOKUP(B1126,Nuclides!A:F,5,FALSE)</f>
        <v>La148</v>
      </c>
      <c r="F1126">
        <f>VLOOKUP(B1126,Nuclides!A:F,4,FALSE)</f>
        <v>1.26</v>
      </c>
      <c r="G1126" s="3" t="str">
        <f t="shared" si="88"/>
        <v>1.26s</v>
      </c>
      <c r="H1126" s="3">
        <f t="shared" si="89"/>
        <v>0.55011680996821055</v>
      </c>
      <c r="I1126" s="3">
        <f t="shared" si="90"/>
        <v>0</v>
      </c>
      <c r="J1126" s="3">
        <f t="shared" si="91"/>
        <v>0</v>
      </c>
      <c r="K1126" s="3" t="str">
        <f t="shared" si="92"/>
        <v>La148</v>
      </c>
      <c r="L1126" s="3" cm="1">
        <f t="array" ref="L1126">SUM(($J1126*EXP(-$H1126*12*3600*_xlfn.SEQUENCE(L$1-1))))+$J1126</f>
        <v>0</v>
      </c>
      <c r="M1126" s="3"/>
      <c r="N1126" s="3"/>
    </row>
    <row r="1127" spans="2:14" hidden="1" x14ac:dyDescent="0.2">
      <c r="B1127" s="3">
        <v>57149</v>
      </c>
      <c r="C1127" s="3">
        <v>0</v>
      </c>
      <c r="D1127">
        <v>1124</v>
      </c>
      <c r="E1127" t="str">
        <f>VLOOKUP(B1127,Nuclides!A:F,5,FALSE)</f>
        <v>La149</v>
      </c>
      <c r="F1127">
        <f>VLOOKUP(B1127,Nuclides!A:F,4,FALSE)</f>
        <v>1.05</v>
      </c>
      <c r="G1127" s="3" t="str">
        <f t="shared" si="88"/>
        <v>1.05s</v>
      </c>
      <c r="H1127" s="3">
        <f t="shared" si="89"/>
        <v>0.6601401719618526</v>
      </c>
      <c r="I1127" s="3">
        <f t="shared" si="90"/>
        <v>0</v>
      </c>
      <c r="J1127" s="3">
        <f t="shared" si="91"/>
        <v>0</v>
      </c>
      <c r="K1127" s="3" t="str">
        <f t="shared" si="92"/>
        <v>La149</v>
      </c>
      <c r="L1127" s="3" cm="1">
        <f t="array" ref="L1127">SUM(($J1127*EXP(-$H1127*12*3600*_xlfn.SEQUENCE(L$1-1))))+$J1127</f>
        <v>0</v>
      </c>
      <c r="M1127" s="3"/>
      <c r="N1127" s="3"/>
    </row>
    <row r="1128" spans="2:14" hidden="1" x14ac:dyDescent="0.2">
      <c r="B1128" s="3">
        <v>58124</v>
      </c>
      <c r="C1128" s="3">
        <v>0</v>
      </c>
      <c r="D1128">
        <v>1125</v>
      </c>
      <c r="E1128" t="str">
        <f>VLOOKUP(B1128,Nuclides!A:F,5,FALSE)</f>
        <v>Ce124</v>
      </c>
      <c r="F1128">
        <f>VLOOKUP(B1128,Nuclides!A:F,4,FALSE)</f>
        <v>6</v>
      </c>
      <c r="G1128" s="3" t="str">
        <f t="shared" si="88"/>
        <v>6s</v>
      </c>
      <c r="H1128" s="3">
        <f t="shared" si="89"/>
        <v>0.11552453009332421</v>
      </c>
      <c r="I1128" s="3">
        <f t="shared" si="90"/>
        <v>0</v>
      </c>
      <c r="J1128" s="3">
        <f t="shared" si="91"/>
        <v>0</v>
      </c>
      <c r="K1128" s="3" t="str">
        <f t="shared" si="92"/>
        <v>Ce124</v>
      </c>
      <c r="L1128" s="3" cm="1">
        <f t="array" ref="L1128">SUM(($J1128*EXP(-$H1128*12*3600*_xlfn.SEQUENCE(L$1-1))))+$J1128</f>
        <v>0</v>
      </c>
      <c r="M1128" s="3"/>
      <c r="N1128" s="3"/>
    </row>
    <row r="1129" spans="2:14" hidden="1" x14ac:dyDescent="0.2">
      <c r="B1129" s="3">
        <v>58125</v>
      </c>
      <c r="C1129" s="3">
        <v>0</v>
      </c>
      <c r="D1129">
        <v>1126</v>
      </c>
      <c r="E1129" t="str">
        <f>VLOOKUP(B1129,Nuclides!A:F,5,FALSE)</f>
        <v>Ce125</v>
      </c>
      <c r="F1129">
        <f>VLOOKUP(B1129,Nuclides!A:F,4,FALSE)</f>
        <v>9.6999999999999993</v>
      </c>
      <c r="G1129" s="3" t="str">
        <f t="shared" si="88"/>
        <v>9.7s</v>
      </c>
      <c r="H1129" s="3">
        <f t="shared" si="89"/>
        <v>7.1458472222674776E-2</v>
      </c>
      <c r="I1129" s="3">
        <f t="shared" si="90"/>
        <v>0</v>
      </c>
      <c r="J1129" s="3">
        <f t="shared" si="91"/>
        <v>0</v>
      </c>
      <c r="K1129" s="3" t="str">
        <f t="shared" si="92"/>
        <v>Ce125</v>
      </c>
      <c r="L1129" s="3" cm="1">
        <f t="array" ref="L1129">SUM(($J1129*EXP(-$H1129*12*3600*_xlfn.SEQUENCE(L$1-1))))+$J1129</f>
        <v>0</v>
      </c>
      <c r="M1129" s="3"/>
      <c r="N1129" s="3"/>
    </row>
    <row r="1130" spans="2:14" hidden="1" x14ac:dyDescent="0.2">
      <c r="B1130" s="3">
        <v>58126</v>
      </c>
      <c r="C1130" s="3">
        <v>0</v>
      </c>
      <c r="D1130">
        <v>1127</v>
      </c>
      <c r="E1130" t="str">
        <f>VLOOKUP(B1130,Nuclides!A:F,5,FALSE)</f>
        <v>Ce126</v>
      </c>
      <c r="F1130">
        <f>VLOOKUP(B1130,Nuclides!A:F,4,FALSE)</f>
        <v>51</v>
      </c>
      <c r="G1130" s="3" t="str">
        <f t="shared" si="88"/>
        <v>51s</v>
      </c>
      <c r="H1130" s="3">
        <f t="shared" si="89"/>
        <v>1.3591121187449907E-2</v>
      </c>
      <c r="I1130" s="3">
        <f t="shared" si="90"/>
        <v>0</v>
      </c>
      <c r="J1130" s="3">
        <f t="shared" si="91"/>
        <v>0</v>
      </c>
      <c r="K1130" s="3" t="str">
        <f t="shared" si="92"/>
        <v>Ce126</v>
      </c>
      <c r="L1130" s="3" cm="1">
        <f t="array" ref="L1130">SUM(($J1130*EXP(-$H1130*12*3600*_xlfn.SEQUENCE(L$1-1))))+$J1130</f>
        <v>0</v>
      </c>
      <c r="M1130" s="3"/>
      <c r="N1130" s="3"/>
    </row>
    <row r="1131" spans="2:14" hidden="1" x14ac:dyDescent="0.2">
      <c r="B1131" s="3">
        <v>58127</v>
      </c>
      <c r="C1131" s="3">
        <v>0</v>
      </c>
      <c r="D1131">
        <v>1128</v>
      </c>
      <c r="E1131" t="str">
        <f>VLOOKUP(B1131,Nuclides!A:F,5,FALSE)</f>
        <v>Ce127</v>
      </c>
      <c r="F1131">
        <f>VLOOKUP(B1131,Nuclides!A:F,4,FALSE)</f>
        <v>34</v>
      </c>
      <c r="G1131" s="3" t="str">
        <f t="shared" si="88"/>
        <v>34s</v>
      </c>
      <c r="H1131" s="3">
        <f t="shared" si="89"/>
        <v>2.0386681781174861E-2</v>
      </c>
      <c r="I1131" s="3">
        <f t="shared" si="90"/>
        <v>0</v>
      </c>
      <c r="J1131" s="3">
        <f t="shared" si="91"/>
        <v>0</v>
      </c>
      <c r="K1131" s="3" t="str">
        <f t="shared" si="92"/>
        <v>Ce127</v>
      </c>
      <c r="L1131" s="3" cm="1">
        <f t="array" ref="L1131">SUM(($J1131*EXP(-$H1131*12*3600*_xlfn.SEQUENCE(L$1-1))))+$J1131</f>
        <v>0</v>
      </c>
      <c r="M1131" s="3"/>
      <c r="N1131" s="3"/>
    </row>
    <row r="1132" spans="2:14" hidden="1" x14ac:dyDescent="0.2">
      <c r="B1132" s="3">
        <v>58128</v>
      </c>
      <c r="C1132" s="3">
        <v>0</v>
      </c>
      <c r="D1132">
        <v>1129</v>
      </c>
      <c r="E1132" t="str">
        <f>VLOOKUP(B1132,Nuclides!A:F,5,FALSE)</f>
        <v>Ce128</v>
      </c>
      <c r="F1132">
        <f>VLOOKUP(B1132,Nuclides!A:F,4,FALSE)</f>
        <v>235.8</v>
      </c>
      <c r="G1132" s="3" t="str">
        <f t="shared" si="88"/>
        <v>3.93min</v>
      </c>
      <c r="H1132" s="3">
        <f t="shared" si="89"/>
        <v>2.9395554731125751E-3</v>
      </c>
      <c r="I1132" s="3">
        <f t="shared" si="90"/>
        <v>0</v>
      </c>
      <c r="J1132" s="3">
        <f t="shared" si="91"/>
        <v>0</v>
      </c>
      <c r="K1132" s="3" t="str">
        <f t="shared" si="92"/>
        <v>Ce128</v>
      </c>
      <c r="L1132" s="3" cm="1">
        <f t="array" ref="L1132">SUM(($J1132*EXP(-$H1132*12*3600*_xlfn.SEQUENCE(L$1-1))))+$J1132</f>
        <v>0</v>
      </c>
      <c r="M1132" s="3"/>
      <c r="N1132" s="3"/>
    </row>
    <row r="1133" spans="2:14" hidden="1" x14ac:dyDescent="0.2">
      <c r="B1133" s="3">
        <v>58129</v>
      </c>
      <c r="C1133" s="3">
        <v>0</v>
      </c>
      <c r="D1133">
        <v>1130</v>
      </c>
      <c r="E1133" t="str">
        <f>VLOOKUP(B1133,Nuclides!A:F,5,FALSE)</f>
        <v>Ce129</v>
      </c>
      <c r="F1133">
        <f>VLOOKUP(B1133,Nuclides!A:F,4,FALSE)</f>
        <v>210</v>
      </c>
      <c r="G1133" s="3" t="str">
        <f t="shared" si="88"/>
        <v>3.5min</v>
      </c>
      <c r="H1133" s="3">
        <f t="shared" si="89"/>
        <v>3.3007008598092634E-3</v>
      </c>
      <c r="I1133" s="3">
        <f t="shared" si="90"/>
        <v>0</v>
      </c>
      <c r="J1133" s="3">
        <f t="shared" si="91"/>
        <v>0</v>
      </c>
      <c r="K1133" s="3" t="str">
        <f t="shared" si="92"/>
        <v>Ce129</v>
      </c>
      <c r="L1133" s="3" cm="1">
        <f t="array" ref="L1133">SUM(($J1133*EXP(-$H1133*12*3600*_xlfn.SEQUENCE(L$1-1))))+$J1133</f>
        <v>0</v>
      </c>
      <c r="M1133" s="3"/>
      <c r="N1133" s="3"/>
    </row>
    <row r="1134" spans="2:14" hidden="1" x14ac:dyDescent="0.2">
      <c r="B1134" s="3">
        <v>58130</v>
      </c>
      <c r="C1134" s="3">
        <v>0</v>
      </c>
      <c r="D1134">
        <v>1131</v>
      </c>
      <c r="E1134" t="str">
        <f>VLOOKUP(B1134,Nuclides!A:F,5,FALSE)</f>
        <v>Ce130</v>
      </c>
      <c r="F1134">
        <f>VLOOKUP(B1134,Nuclides!A:F,4,FALSE)</f>
        <v>1374</v>
      </c>
      <c r="G1134" s="3" t="str">
        <f t="shared" si="88"/>
        <v>22.9min</v>
      </c>
      <c r="H1134" s="3">
        <f t="shared" si="89"/>
        <v>5.0447393053853367E-4</v>
      </c>
      <c r="I1134" s="3">
        <f t="shared" si="90"/>
        <v>0</v>
      </c>
      <c r="J1134" s="3">
        <f t="shared" si="91"/>
        <v>0</v>
      </c>
      <c r="K1134" s="3" t="str">
        <f t="shared" si="92"/>
        <v>Ce130</v>
      </c>
      <c r="L1134" s="3" cm="1">
        <f t="array" ref="L1134">SUM(($J1134*EXP(-$H1134*12*3600*_xlfn.SEQUENCE(L$1-1))))+$J1134</f>
        <v>0</v>
      </c>
      <c r="M1134" s="3"/>
      <c r="N1134" s="3"/>
    </row>
    <row r="1135" spans="2:14" hidden="1" x14ac:dyDescent="0.2">
      <c r="B1135" s="3">
        <v>58131</v>
      </c>
      <c r="C1135" s="3">
        <v>0</v>
      </c>
      <c r="D1135">
        <v>1132</v>
      </c>
      <c r="E1135" t="str">
        <f>VLOOKUP(B1135,Nuclides!A:F,5,FALSE)</f>
        <v>Ce131</v>
      </c>
      <c r="F1135">
        <f>VLOOKUP(B1135,Nuclides!A:F,4,FALSE)</f>
        <v>618</v>
      </c>
      <c r="G1135" s="3" t="str">
        <f t="shared" si="88"/>
        <v>10.3min</v>
      </c>
      <c r="H1135" s="3">
        <f t="shared" si="89"/>
        <v>1.1215973795468371E-3</v>
      </c>
      <c r="I1135" s="3">
        <f t="shared" si="90"/>
        <v>0</v>
      </c>
      <c r="J1135" s="3">
        <f t="shared" si="91"/>
        <v>0</v>
      </c>
      <c r="K1135" s="3" t="str">
        <f t="shared" si="92"/>
        <v>Ce131</v>
      </c>
      <c r="L1135" s="3" cm="1">
        <f t="array" ref="L1135">SUM(($J1135*EXP(-$H1135*12*3600*_xlfn.SEQUENCE(L$1-1))))+$J1135</f>
        <v>0</v>
      </c>
      <c r="M1135" s="3"/>
      <c r="N1135" s="3"/>
    </row>
    <row r="1136" spans="2:14" hidden="1" x14ac:dyDescent="0.2">
      <c r="B1136" s="3">
        <v>58132</v>
      </c>
      <c r="C1136" s="3">
        <v>0</v>
      </c>
      <c r="D1136">
        <v>1133</v>
      </c>
      <c r="E1136" t="str">
        <f>VLOOKUP(B1136,Nuclides!A:F,5,FALSE)</f>
        <v>Ce132</v>
      </c>
      <c r="F1136">
        <f>VLOOKUP(B1136,Nuclides!A:F,4,FALSE)</f>
        <v>12636</v>
      </c>
      <c r="G1136" s="3" t="str">
        <f t="shared" si="88"/>
        <v>3.51h</v>
      </c>
      <c r="H1136" s="3">
        <f t="shared" si="89"/>
        <v>5.4854952560932673E-5</v>
      </c>
      <c r="I1136" s="3">
        <f t="shared" si="90"/>
        <v>0</v>
      </c>
      <c r="J1136" s="3">
        <f t="shared" si="91"/>
        <v>0</v>
      </c>
      <c r="K1136" s="3" t="str">
        <f t="shared" si="92"/>
        <v>Ce132</v>
      </c>
      <c r="L1136" s="3" cm="1">
        <f t="array" ref="L1136">SUM(($J1136*EXP(-$H1136*12*3600*_xlfn.SEQUENCE(L$1-1))))+$J1136</f>
        <v>0</v>
      </c>
      <c r="M1136" s="3"/>
      <c r="N1136" s="3"/>
    </row>
    <row r="1137" spans="2:14" hidden="1" x14ac:dyDescent="0.2">
      <c r="B1137" s="3">
        <v>58133</v>
      </c>
      <c r="C1137" s="3">
        <v>0</v>
      </c>
      <c r="D1137">
        <v>1134</v>
      </c>
      <c r="E1137" t="str">
        <f>VLOOKUP(B1137,Nuclides!A:F,5,FALSE)</f>
        <v>Ce133</v>
      </c>
      <c r="F1137">
        <f>VLOOKUP(B1137,Nuclides!A:F,4,FALSE)</f>
        <v>5820</v>
      </c>
      <c r="G1137" s="3" t="str">
        <f t="shared" si="88"/>
        <v>1.62h</v>
      </c>
      <c r="H1137" s="3">
        <f t="shared" si="89"/>
        <v>1.1909745370445796E-4</v>
      </c>
      <c r="I1137" s="3">
        <f t="shared" si="90"/>
        <v>0</v>
      </c>
      <c r="J1137" s="3">
        <f t="shared" si="91"/>
        <v>0</v>
      </c>
      <c r="K1137" s="3" t="str">
        <f t="shared" si="92"/>
        <v>Ce133</v>
      </c>
      <c r="L1137" s="3" cm="1">
        <f t="array" ref="L1137">SUM(($J1137*EXP(-$H1137*12*3600*_xlfn.SEQUENCE(L$1-1))))+$J1137</f>
        <v>0</v>
      </c>
      <c r="M1137" s="3"/>
      <c r="N1137" s="3"/>
    </row>
    <row r="1138" spans="2:14" hidden="1" x14ac:dyDescent="0.2">
      <c r="B1138" s="3">
        <v>58134</v>
      </c>
      <c r="C1138" s="3">
        <v>0</v>
      </c>
      <c r="D1138">
        <v>1135</v>
      </c>
      <c r="E1138" t="str">
        <f>VLOOKUP(B1138,Nuclides!A:F,5,FALSE)</f>
        <v>Ce134</v>
      </c>
      <c r="F1138">
        <f>VLOOKUP(B1138,Nuclides!A:F,4,FALSE)</f>
        <v>273024</v>
      </c>
      <c r="G1138" s="3" t="str">
        <f t="shared" si="88"/>
        <v>3.16d</v>
      </c>
      <c r="H1138" s="3">
        <f t="shared" si="89"/>
        <v>2.5387774721634191E-6</v>
      </c>
      <c r="I1138" s="3">
        <f t="shared" si="90"/>
        <v>0</v>
      </c>
      <c r="J1138" s="3">
        <f t="shared" si="91"/>
        <v>0</v>
      </c>
      <c r="K1138" s="3" t="str">
        <f t="shared" si="92"/>
        <v>Ce134</v>
      </c>
      <c r="L1138" s="3" cm="1">
        <f t="array" ref="L1138">SUM(($J1138*EXP(-$H1138*12*3600*_xlfn.SEQUENCE(L$1-1))))+$J1138</f>
        <v>0</v>
      </c>
      <c r="M1138" s="3"/>
      <c r="N1138" s="3"/>
    </row>
    <row r="1139" spans="2:14" hidden="1" x14ac:dyDescent="0.2">
      <c r="B1139" s="3">
        <v>58135</v>
      </c>
      <c r="C1139" s="3">
        <v>0</v>
      </c>
      <c r="D1139">
        <v>1136</v>
      </c>
      <c r="E1139" t="str">
        <f>VLOOKUP(B1139,Nuclides!A:F,5,FALSE)</f>
        <v>Ce135</v>
      </c>
      <c r="F1139">
        <f>VLOOKUP(B1139,Nuclides!A:F,4,FALSE)</f>
        <v>63720</v>
      </c>
      <c r="G1139" s="3" t="str">
        <f t="shared" si="88"/>
        <v>17.7h</v>
      </c>
      <c r="H1139" s="3">
        <f t="shared" si="89"/>
        <v>1.0878016016320548E-5</v>
      </c>
      <c r="I1139" s="3">
        <f t="shared" si="90"/>
        <v>0</v>
      </c>
      <c r="J1139" s="3">
        <f t="shared" si="91"/>
        <v>0</v>
      </c>
      <c r="K1139" s="3" t="str">
        <f t="shared" si="92"/>
        <v>Ce135</v>
      </c>
      <c r="L1139" s="3" cm="1">
        <f t="array" ref="L1139">SUM(($J1139*EXP(-$H1139*12*3600*_xlfn.SEQUENCE(L$1-1))))+$J1139</f>
        <v>0</v>
      </c>
      <c r="M1139" s="3"/>
      <c r="N1139" s="3"/>
    </row>
    <row r="1140" spans="2:14" hidden="1" x14ac:dyDescent="0.2">
      <c r="B1140" s="3">
        <v>58136</v>
      </c>
      <c r="C1140" s="3">
        <v>0</v>
      </c>
      <c r="D1140">
        <v>1137</v>
      </c>
      <c r="E1140" t="str">
        <f>VLOOKUP(B1140,Nuclides!A:F,5,FALSE)</f>
        <v>Ce136</v>
      </c>
      <c r="F1140">
        <f>VLOOKUP(B1140,Nuclides!A:F,4,FALSE)</f>
        <v>2.209032E+21</v>
      </c>
      <c r="G1140" s="3" t="str">
        <f t="shared" si="88"/>
        <v>70047945205479.5y</v>
      </c>
      <c r="H1140" s="3">
        <f t="shared" si="89"/>
        <v>3.1377869608043036E-22</v>
      </c>
      <c r="I1140" s="3">
        <f t="shared" si="90"/>
        <v>0</v>
      </c>
      <c r="J1140" s="3">
        <f t="shared" si="91"/>
        <v>0</v>
      </c>
      <c r="K1140" s="3" t="str">
        <f t="shared" si="92"/>
        <v>Ce136</v>
      </c>
      <c r="L1140" s="3" cm="1">
        <f t="array" ref="L1140">SUM(($J1140*EXP(-$H1140*12*3600*_xlfn.SEQUENCE(L$1-1))))+$J1140</f>
        <v>0</v>
      </c>
      <c r="M1140" s="3"/>
      <c r="N1140" s="3"/>
    </row>
    <row r="1141" spans="2:14" hidden="1" x14ac:dyDescent="0.2">
      <c r="B1141" s="3">
        <v>58137</v>
      </c>
      <c r="C1141" s="3">
        <v>0</v>
      </c>
      <c r="D1141">
        <v>1138</v>
      </c>
      <c r="E1141" t="str">
        <f>VLOOKUP(B1141,Nuclides!A:F,5,FALSE)</f>
        <v>Ce137</v>
      </c>
      <c r="F1141">
        <f>VLOOKUP(B1141,Nuclides!A:F,4,FALSE)</f>
        <v>32400</v>
      </c>
      <c r="G1141" s="3" t="str">
        <f t="shared" si="88"/>
        <v>9h</v>
      </c>
      <c r="H1141" s="3">
        <f t="shared" si="89"/>
        <v>2.1393431498763742E-5</v>
      </c>
      <c r="I1141" s="3">
        <f t="shared" si="90"/>
        <v>0</v>
      </c>
      <c r="J1141" s="3">
        <f t="shared" si="91"/>
        <v>0</v>
      </c>
      <c r="K1141" s="3" t="str">
        <f t="shared" si="92"/>
        <v>Ce137</v>
      </c>
      <c r="L1141" s="3" cm="1">
        <f t="array" ref="L1141">SUM(($J1141*EXP(-$H1141*12*3600*_xlfn.SEQUENCE(L$1-1))))+$J1141</f>
        <v>0</v>
      </c>
      <c r="M1141" s="3"/>
      <c r="N1141" s="3"/>
    </row>
    <row r="1142" spans="2:14" hidden="1" x14ac:dyDescent="0.2">
      <c r="B1142" s="3">
        <v>58138</v>
      </c>
      <c r="C1142" s="3">
        <v>0</v>
      </c>
      <c r="D1142">
        <v>1139</v>
      </c>
      <c r="E1142" t="str">
        <f>VLOOKUP(B1142,Nuclides!A:F,5,FALSE)</f>
        <v>Ce138</v>
      </c>
      <c r="F1142">
        <f>VLOOKUP(B1142,Nuclides!A:F,4,FALSE)</f>
        <v>2.8401840000000003E+21</v>
      </c>
      <c r="G1142" s="3" t="str">
        <f t="shared" si="88"/>
        <v>90061643835616.5y</v>
      </c>
      <c r="H1142" s="3">
        <f t="shared" si="89"/>
        <v>2.4405009695144583E-22</v>
      </c>
      <c r="I1142" s="3">
        <f t="shared" si="90"/>
        <v>0</v>
      </c>
      <c r="J1142" s="3">
        <f t="shared" si="91"/>
        <v>0</v>
      </c>
      <c r="K1142" s="3" t="str">
        <f t="shared" si="92"/>
        <v>Ce138</v>
      </c>
      <c r="L1142" s="3" cm="1">
        <f t="array" ref="L1142">SUM(($J1142*EXP(-$H1142*12*3600*_xlfn.SEQUENCE(L$1-1))))+$J1142</f>
        <v>0</v>
      </c>
      <c r="M1142" s="3"/>
      <c r="N1142" s="3"/>
    </row>
    <row r="1143" spans="2:14" hidden="1" x14ac:dyDescent="0.2">
      <c r="B1143" s="3">
        <v>58139</v>
      </c>
      <c r="C1143" s="3">
        <v>0</v>
      </c>
      <c r="D1143">
        <v>1140</v>
      </c>
      <c r="E1143" t="str">
        <f>VLOOKUP(B1143,Nuclides!A:F,5,FALSE)</f>
        <v>Ce139</v>
      </c>
      <c r="F1143">
        <f>VLOOKUP(B1143,Nuclides!A:F,4,FALSE)</f>
        <v>11892182.3999999</v>
      </c>
      <c r="G1143" s="3" t="str">
        <f t="shared" si="88"/>
        <v>137.64d</v>
      </c>
      <c r="H1143" s="3">
        <f t="shared" si="89"/>
        <v>5.8285952674250198E-8</v>
      </c>
      <c r="I1143" s="3">
        <f t="shared" si="90"/>
        <v>0</v>
      </c>
      <c r="J1143" s="3">
        <f t="shared" si="91"/>
        <v>0</v>
      </c>
      <c r="K1143" s="3" t="str">
        <f t="shared" si="92"/>
        <v>Ce139</v>
      </c>
      <c r="L1143" s="3" cm="1">
        <f t="array" ref="L1143">SUM(($J1143*EXP(-$H1143*12*3600*_xlfn.SEQUENCE(L$1-1))))+$J1143</f>
        <v>0</v>
      </c>
      <c r="M1143" s="3"/>
      <c r="N1143" s="3"/>
    </row>
    <row r="1144" spans="2:14" hidden="1" x14ac:dyDescent="0.2">
      <c r="B1144" s="3">
        <v>58140</v>
      </c>
      <c r="C1144" s="3">
        <v>0</v>
      </c>
      <c r="D1144">
        <v>1141</v>
      </c>
      <c r="E1144" t="str">
        <f>VLOOKUP(B1144,Nuclides!A:F,5,FALSE)</f>
        <v>Ce140</v>
      </c>
      <c r="F1144" t="str">
        <f>VLOOKUP(B1144,Nuclides!A:F,4,FALSE)</f>
        <v>STABLE</v>
      </c>
      <c r="G1144" s="3" t="str">
        <f t="shared" si="88"/>
        <v>STABLE</v>
      </c>
      <c r="H1144" s="3" t="e">
        <f t="shared" si="89"/>
        <v>#VALUE!</v>
      </c>
      <c r="I1144" s="3" t="e">
        <f t="shared" si="90"/>
        <v>#VALUE!</v>
      </c>
      <c r="J1144" s="3" t="e">
        <f t="shared" si="91"/>
        <v>#VALUE!</v>
      </c>
      <c r="K1144" s="3" t="str">
        <f t="shared" si="92"/>
        <v>Ce140</v>
      </c>
      <c r="L1144" s="3" t="e" cm="1">
        <f t="array" ref="L1144">SUM(($J1144*EXP(-$H1144*12*3600*_xlfn.SEQUENCE(L$1-1))))+$J1144</f>
        <v>#VALUE!</v>
      </c>
      <c r="M1144" s="3"/>
      <c r="N1144" s="3"/>
    </row>
    <row r="1145" spans="2:14" hidden="1" x14ac:dyDescent="0.2">
      <c r="B1145" s="3">
        <v>58141</v>
      </c>
      <c r="C1145" s="3">
        <v>0</v>
      </c>
      <c r="D1145">
        <v>1142</v>
      </c>
      <c r="E1145" t="str">
        <f>VLOOKUP(B1145,Nuclides!A:F,5,FALSE)</f>
        <v>Ce141</v>
      </c>
      <c r="F1145">
        <f>VLOOKUP(B1145,Nuclides!A:F,4,FALSE)</f>
        <v>2808950.4</v>
      </c>
      <c r="G1145" s="3" t="str">
        <f t="shared" si="88"/>
        <v>32.51d</v>
      </c>
      <c r="H1145" s="3">
        <f t="shared" si="89"/>
        <v>2.4676376648015759E-7</v>
      </c>
      <c r="I1145" s="3">
        <f t="shared" si="90"/>
        <v>0</v>
      </c>
      <c r="J1145" s="3">
        <f t="shared" si="91"/>
        <v>0</v>
      </c>
      <c r="K1145" s="3" t="str">
        <f t="shared" si="92"/>
        <v>Ce141</v>
      </c>
      <c r="L1145" s="3" cm="1">
        <f t="array" ref="L1145">SUM(($J1145*EXP(-$H1145*12*3600*_xlfn.SEQUENCE(L$1-1))))+$J1145</f>
        <v>0</v>
      </c>
      <c r="M1145" s="3"/>
      <c r="N1145" s="3"/>
    </row>
    <row r="1146" spans="2:14" hidden="1" x14ac:dyDescent="0.2">
      <c r="B1146" s="3">
        <v>58142</v>
      </c>
      <c r="C1146" s="3">
        <v>0</v>
      </c>
      <c r="D1146">
        <v>1143</v>
      </c>
      <c r="E1146" t="str">
        <f>VLOOKUP(B1146,Nuclides!A:F,5,FALSE)</f>
        <v>Ce142</v>
      </c>
      <c r="F1146">
        <f>VLOOKUP(B1146,Nuclides!A:F,4,FALSE)</f>
        <v>1.57788E+24</v>
      </c>
      <c r="G1146" s="3" t="str">
        <f t="shared" si="88"/>
        <v>50034246575342500y</v>
      </c>
      <c r="H1146" s="3">
        <f t="shared" si="89"/>
        <v>4.3929017451260252E-25</v>
      </c>
      <c r="I1146" s="3">
        <f t="shared" si="90"/>
        <v>0</v>
      </c>
      <c r="J1146" s="3">
        <f t="shared" si="91"/>
        <v>0</v>
      </c>
      <c r="K1146" s="3" t="str">
        <f t="shared" si="92"/>
        <v>Ce142</v>
      </c>
      <c r="L1146" s="3" cm="1">
        <f t="array" ref="L1146">SUM(($J1146*EXP(-$H1146*12*3600*_xlfn.SEQUENCE(L$1-1))))+$J1146</f>
        <v>0</v>
      </c>
      <c r="M1146" s="3"/>
      <c r="N1146" s="3"/>
    </row>
    <row r="1147" spans="2:14" hidden="1" x14ac:dyDescent="0.2">
      <c r="B1147" s="3">
        <v>58143</v>
      </c>
      <c r="C1147" s="3">
        <v>0</v>
      </c>
      <c r="D1147">
        <v>1144</v>
      </c>
      <c r="E1147" t="str">
        <f>VLOOKUP(B1147,Nuclides!A:F,5,FALSE)</f>
        <v>Ce143</v>
      </c>
      <c r="F1147">
        <f>VLOOKUP(B1147,Nuclides!A:F,4,FALSE)</f>
        <v>118940.4</v>
      </c>
      <c r="G1147" s="3" t="str">
        <f t="shared" si="88"/>
        <v>1.38d</v>
      </c>
      <c r="H1147" s="3">
        <f t="shared" si="89"/>
        <v>5.8276849628885168E-6</v>
      </c>
      <c r="I1147" s="3">
        <f t="shared" si="90"/>
        <v>0</v>
      </c>
      <c r="J1147" s="3">
        <f t="shared" si="91"/>
        <v>0</v>
      </c>
      <c r="K1147" s="3" t="str">
        <f t="shared" si="92"/>
        <v>Ce143</v>
      </c>
      <c r="L1147" s="3" cm="1">
        <f t="array" ref="L1147">SUM(($J1147*EXP(-$H1147*12*3600*_xlfn.SEQUENCE(L$1-1))))+$J1147</f>
        <v>0</v>
      </c>
      <c r="M1147" s="3"/>
      <c r="N1147" s="3"/>
    </row>
    <row r="1148" spans="2:14" hidden="1" x14ac:dyDescent="0.2">
      <c r="B1148" s="3">
        <v>58144</v>
      </c>
      <c r="C1148" s="3">
        <v>0</v>
      </c>
      <c r="D1148">
        <v>1145</v>
      </c>
      <c r="E1148" t="str">
        <f>VLOOKUP(B1148,Nuclides!A:F,5,FALSE)</f>
        <v>Ce144</v>
      </c>
      <c r="F1148">
        <f>VLOOKUP(B1148,Nuclides!A:F,4,FALSE)</f>
        <v>24616224</v>
      </c>
      <c r="G1148" s="3" t="str">
        <f t="shared" si="88"/>
        <v>284.91d</v>
      </c>
      <c r="H1148" s="3">
        <f t="shared" si="89"/>
        <v>2.8158144017536781E-8</v>
      </c>
      <c r="I1148" s="3">
        <f t="shared" si="90"/>
        <v>0</v>
      </c>
      <c r="J1148" s="3">
        <f t="shared" si="91"/>
        <v>0</v>
      </c>
      <c r="K1148" s="3" t="str">
        <f t="shared" si="92"/>
        <v>Ce144</v>
      </c>
      <c r="L1148" s="3" cm="1">
        <f t="array" ref="L1148">SUM(($J1148*EXP(-$H1148*12*3600*_xlfn.SEQUENCE(L$1-1))))+$J1148</f>
        <v>0</v>
      </c>
      <c r="M1148" s="3"/>
      <c r="N1148" s="3"/>
    </row>
    <row r="1149" spans="2:14" hidden="1" x14ac:dyDescent="0.2">
      <c r="B1149" s="3">
        <v>58145</v>
      </c>
      <c r="C1149" s="3">
        <v>0</v>
      </c>
      <c r="D1149">
        <v>1146</v>
      </c>
      <c r="E1149" t="str">
        <f>VLOOKUP(B1149,Nuclides!A:F,5,FALSE)</f>
        <v>Ce145</v>
      </c>
      <c r="F1149">
        <f>VLOOKUP(B1149,Nuclides!A:F,4,FALSE)</f>
        <v>180.6</v>
      </c>
      <c r="G1149" s="3" t="str">
        <f t="shared" si="88"/>
        <v>3.01min</v>
      </c>
      <c r="H1149" s="3">
        <f t="shared" si="89"/>
        <v>3.8380242555921666E-3</v>
      </c>
      <c r="I1149" s="3">
        <f t="shared" si="90"/>
        <v>0</v>
      </c>
      <c r="J1149" s="3">
        <f t="shared" si="91"/>
        <v>0</v>
      </c>
      <c r="K1149" s="3" t="str">
        <f t="shared" si="92"/>
        <v>Ce145</v>
      </c>
      <c r="L1149" s="3" cm="1">
        <f t="array" ref="L1149">SUM(($J1149*EXP(-$H1149*12*3600*_xlfn.SEQUENCE(L$1-1))))+$J1149</f>
        <v>0</v>
      </c>
      <c r="M1149" s="3"/>
      <c r="N1149" s="3"/>
    </row>
    <row r="1150" spans="2:14" hidden="1" x14ac:dyDescent="0.2">
      <c r="B1150" s="3">
        <v>58146</v>
      </c>
      <c r="C1150" s="3">
        <v>0</v>
      </c>
      <c r="D1150">
        <v>1147</v>
      </c>
      <c r="E1150" t="str">
        <f>VLOOKUP(B1150,Nuclides!A:F,5,FALSE)</f>
        <v>Ce146</v>
      </c>
      <c r="F1150">
        <f>VLOOKUP(B1150,Nuclides!A:F,4,FALSE)</f>
        <v>809.4</v>
      </c>
      <c r="G1150" s="3" t="str">
        <f t="shared" si="88"/>
        <v>13.49min</v>
      </c>
      <c r="H1150" s="3">
        <f t="shared" si="89"/>
        <v>8.5637160929076517E-4</v>
      </c>
      <c r="I1150" s="3">
        <f t="shared" si="90"/>
        <v>0</v>
      </c>
      <c r="J1150" s="3">
        <f t="shared" si="91"/>
        <v>0</v>
      </c>
      <c r="K1150" s="3" t="str">
        <f t="shared" si="92"/>
        <v>Ce146</v>
      </c>
      <c r="L1150" s="3" cm="1">
        <f t="array" ref="L1150">SUM(($J1150*EXP(-$H1150*12*3600*_xlfn.SEQUENCE(L$1-1))))+$J1150</f>
        <v>0</v>
      </c>
      <c r="M1150" s="3"/>
      <c r="N1150" s="3"/>
    </row>
    <row r="1151" spans="2:14" hidden="1" x14ac:dyDescent="0.2">
      <c r="B1151" s="3">
        <v>58147</v>
      </c>
      <c r="C1151" s="3">
        <v>0</v>
      </c>
      <c r="D1151">
        <v>1148</v>
      </c>
      <c r="E1151" t="str">
        <f>VLOOKUP(B1151,Nuclides!A:F,5,FALSE)</f>
        <v>Ce147</v>
      </c>
      <c r="F1151">
        <f>VLOOKUP(B1151,Nuclides!A:F,4,FALSE)</f>
        <v>56.4</v>
      </c>
      <c r="G1151" s="3" t="str">
        <f t="shared" si="88"/>
        <v>56.4s</v>
      </c>
      <c r="H1151" s="3">
        <f t="shared" si="89"/>
        <v>1.2289843626949385E-2</v>
      </c>
      <c r="I1151" s="3">
        <f t="shared" si="90"/>
        <v>0</v>
      </c>
      <c r="J1151" s="3">
        <f t="shared" si="91"/>
        <v>0</v>
      </c>
      <c r="K1151" s="3" t="str">
        <f t="shared" si="92"/>
        <v>Ce147</v>
      </c>
      <c r="L1151" s="3" cm="1">
        <f t="array" ref="L1151">SUM(($J1151*EXP(-$H1151*12*3600*_xlfn.SEQUENCE(L$1-1))))+$J1151</f>
        <v>0</v>
      </c>
      <c r="M1151" s="3"/>
      <c r="N1151" s="3"/>
    </row>
    <row r="1152" spans="2:14" hidden="1" x14ac:dyDescent="0.2">
      <c r="B1152" s="3">
        <v>58148</v>
      </c>
      <c r="C1152" s="3">
        <v>0</v>
      </c>
      <c r="D1152">
        <v>1149</v>
      </c>
      <c r="E1152" t="str">
        <f>VLOOKUP(B1152,Nuclides!A:F,5,FALSE)</f>
        <v>Ce148</v>
      </c>
      <c r="F1152">
        <f>VLOOKUP(B1152,Nuclides!A:F,4,FALSE)</f>
        <v>56.8</v>
      </c>
      <c r="G1152" s="3" t="str">
        <f t="shared" si="88"/>
        <v>56.8s</v>
      </c>
      <c r="H1152" s="3">
        <f t="shared" si="89"/>
        <v>1.2203295432393403E-2</v>
      </c>
      <c r="I1152" s="3">
        <f t="shared" si="90"/>
        <v>0</v>
      </c>
      <c r="J1152" s="3">
        <f t="shared" si="91"/>
        <v>0</v>
      </c>
      <c r="K1152" s="3" t="str">
        <f t="shared" si="92"/>
        <v>Ce148</v>
      </c>
      <c r="L1152" s="3" cm="1">
        <f t="array" ref="L1152">SUM(($J1152*EXP(-$H1152*12*3600*_xlfn.SEQUENCE(L$1-1))))+$J1152</f>
        <v>0</v>
      </c>
      <c r="M1152" s="3"/>
      <c r="N1152" s="3"/>
    </row>
    <row r="1153" spans="2:14" hidden="1" x14ac:dyDescent="0.2">
      <c r="B1153" s="3">
        <v>58149</v>
      </c>
      <c r="C1153" s="3">
        <v>0</v>
      </c>
      <c r="D1153">
        <v>1150</v>
      </c>
      <c r="E1153" t="str">
        <f>VLOOKUP(B1153,Nuclides!A:F,5,FALSE)</f>
        <v>Ce149</v>
      </c>
      <c r="F1153">
        <f>VLOOKUP(B1153,Nuclides!A:F,4,FALSE)</f>
        <v>5.3</v>
      </c>
      <c r="G1153" s="3" t="str">
        <f t="shared" si="88"/>
        <v>5.3s</v>
      </c>
      <c r="H1153" s="3">
        <f t="shared" si="89"/>
        <v>0.1307824868981029</v>
      </c>
      <c r="I1153" s="3">
        <f t="shared" si="90"/>
        <v>0</v>
      </c>
      <c r="J1153" s="3">
        <f t="shared" si="91"/>
        <v>0</v>
      </c>
      <c r="K1153" s="3" t="str">
        <f t="shared" si="92"/>
        <v>Ce149</v>
      </c>
      <c r="L1153" s="3" cm="1">
        <f t="array" ref="L1153">SUM(($J1153*EXP(-$H1153*12*3600*_xlfn.SEQUENCE(L$1-1))))+$J1153</f>
        <v>0</v>
      </c>
      <c r="M1153" s="3"/>
      <c r="N1153" s="3"/>
    </row>
    <row r="1154" spans="2:14" hidden="1" x14ac:dyDescent="0.2">
      <c r="B1154" s="3">
        <v>58150</v>
      </c>
      <c r="C1154" s="3">
        <v>0</v>
      </c>
      <c r="D1154">
        <v>1151</v>
      </c>
      <c r="E1154" t="str">
        <f>VLOOKUP(B1154,Nuclides!A:F,5,FALSE)</f>
        <v>Ce150</v>
      </c>
      <c r="F1154">
        <f>VLOOKUP(B1154,Nuclides!A:F,4,FALSE)</f>
        <v>4</v>
      </c>
      <c r="G1154" s="3" t="str">
        <f t="shared" si="88"/>
        <v>4s</v>
      </c>
      <c r="H1154" s="3">
        <f t="shared" si="89"/>
        <v>0.17328679513998632</v>
      </c>
      <c r="I1154" s="3">
        <f t="shared" si="90"/>
        <v>0</v>
      </c>
      <c r="J1154" s="3">
        <f t="shared" si="91"/>
        <v>0</v>
      </c>
      <c r="K1154" s="3" t="str">
        <f t="shared" si="92"/>
        <v>Ce150</v>
      </c>
      <c r="L1154" s="3" cm="1">
        <f t="array" ref="L1154">SUM(($J1154*EXP(-$H1154*12*3600*_xlfn.SEQUENCE(L$1-1))))+$J1154</f>
        <v>0</v>
      </c>
      <c r="M1154" s="3"/>
      <c r="N1154" s="3"/>
    </row>
    <row r="1155" spans="2:14" hidden="1" x14ac:dyDescent="0.2">
      <c r="B1155" s="3">
        <v>58151</v>
      </c>
      <c r="C1155" s="3">
        <v>0</v>
      </c>
      <c r="D1155">
        <v>1152</v>
      </c>
      <c r="E1155" t="str">
        <f>VLOOKUP(B1155,Nuclides!A:F,5,FALSE)</f>
        <v>Ce151</v>
      </c>
      <c r="F1155">
        <f>VLOOKUP(B1155,Nuclides!A:F,4,FALSE)</f>
        <v>1.76</v>
      </c>
      <c r="G1155" s="3" t="str">
        <f t="shared" si="88"/>
        <v>1.76s</v>
      </c>
      <c r="H1155" s="3">
        <f t="shared" si="89"/>
        <v>0.39383362531815075</v>
      </c>
      <c r="I1155" s="3">
        <f t="shared" si="90"/>
        <v>0</v>
      </c>
      <c r="J1155" s="3">
        <f t="shared" si="91"/>
        <v>0</v>
      </c>
      <c r="K1155" s="3" t="str">
        <f t="shared" si="92"/>
        <v>Ce151</v>
      </c>
      <c r="L1155" s="3" cm="1">
        <f t="array" ref="L1155">SUM(($J1155*EXP(-$H1155*12*3600*_xlfn.SEQUENCE(L$1-1))))+$J1155</f>
        <v>0</v>
      </c>
      <c r="M1155" s="3"/>
      <c r="N1155" s="3"/>
    </row>
    <row r="1156" spans="2:14" hidden="1" x14ac:dyDescent="0.2">
      <c r="B1156" s="3">
        <v>59129</v>
      </c>
      <c r="C1156" s="3">
        <v>0</v>
      </c>
      <c r="D1156">
        <v>1153</v>
      </c>
      <c r="E1156" t="str">
        <f>VLOOKUP(B1156,Nuclides!A:F,5,FALSE)</f>
        <v>Pr129</v>
      </c>
      <c r="F1156">
        <f>VLOOKUP(B1156,Nuclides!A:F,4,FALSE)</f>
        <v>30</v>
      </c>
      <c r="G1156" s="3" t="str">
        <f t="shared" ref="G1156:G1219" si="93">IF(F1156="STABLE", "STABLE", IF(F1156&lt;60, F1156&amp;"s", IF(F1156&lt;3600, ROUND(F1156/60,2)&amp;"min", IF(F1156&lt;86400, ROUND(F1156/3600,2)&amp;"h", IF(F1156&lt;31536000, ROUND(F1156/86400,2)&amp;"d", ROUND(F1156/31536000,2)&amp;"y")))))</f>
        <v>30s</v>
      </c>
      <c r="H1156" s="3">
        <f t="shared" ref="H1156:H1219" si="94">LN(2)/F1156</f>
        <v>2.3104906018664842E-2</v>
      </c>
      <c r="I1156" s="3">
        <f t="shared" ref="I1156:I1219" si="95">100*6240000000000*C1156*(1-EXP(-H1156*2*3600))</f>
        <v>0</v>
      </c>
      <c r="J1156" s="3">
        <f t="shared" ref="J1156:J1219" si="96">I1156*EXP(-H1156*10*3600)</f>
        <v>0</v>
      </c>
      <c r="K1156" s="3" t="str">
        <f t="shared" ref="K1156:K1219" si="97">E1156</f>
        <v>Pr129</v>
      </c>
      <c r="L1156" s="3" cm="1">
        <f t="array" ref="L1156">SUM(($J1156*EXP(-$H1156*12*3600*_xlfn.SEQUENCE(L$1-1))))+$J1156</f>
        <v>0</v>
      </c>
      <c r="M1156" s="3"/>
      <c r="N1156" s="3"/>
    </row>
    <row r="1157" spans="2:14" hidden="1" x14ac:dyDescent="0.2">
      <c r="B1157" s="3">
        <v>59130</v>
      </c>
      <c r="C1157" s="3">
        <v>0</v>
      </c>
      <c r="D1157">
        <v>1154</v>
      </c>
      <c r="E1157" t="str">
        <f>VLOOKUP(B1157,Nuclides!A:F,5,FALSE)</f>
        <v>Pr130</v>
      </c>
      <c r="F1157">
        <f>VLOOKUP(B1157,Nuclides!A:F,4,FALSE)</f>
        <v>40</v>
      </c>
      <c r="G1157" s="3" t="str">
        <f t="shared" si="93"/>
        <v>40s</v>
      </c>
      <c r="H1157" s="3">
        <f t="shared" si="94"/>
        <v>1.7328679513998631E-2</v>
      </c>
      <c r="I1157" s="3">
        <f t="shared" si="95"/>
        <v>0</v>
      </c>
      <c r="J1157" s="3">
        <f t="shared" si="96"/>
        <v>0</v>
      </c>
      <c r="K1157" s="3" t="str">
        <f t="shared" si="97"/>
        <v>Pr130</v>
      </c>
      <c r="L1157" s="3" cm="1">
        <f t="array" ref="L1157">SUM(($J1157*EXP(-$H1157*12*3600*_xlfn.SEQUENCE(L$1-1))))+$J1157</f>
        <v>0</v>
      </c>
      <c r="M1157" s="3"/>
      <c r="N1157" s="3"/>
    </row>
    <row r="1158" spans="2:14" hidden="1" x14ac:dyDescent="0.2">
      <c r="B1158" s="3">
        <v>59131</v>
      </c>
      <c r="C1158" s="3">
        <v>0</v>
      </c>
      <c r="D1158">
        <v>1155</v>
      </c>
      <c r="E1158" t="str">
        <f>VLOOKUP(B1158,Nuclides!A:F,5,FALSE)</f>
        <v>Pr131</v>
      </c>
      <c r="F1158">
        <f>VLOOKUP(B1158,Nuclides!A:F,4,FALSE)</f>
        <v>90.6</v>
      </c>
      <c r="G1158" s="3" t="str">
        <f t="shared" si="93"/>
        <v>1.51min</v>
      </c>
      <c r="H1158" s="3">
        <f t="shared" si="94"/>
        <v>7.650631132008227E-3</v>
      </c>
      <c r="I1158" s="3">
        <f t="shared" si="95"/>
        <v>0</v>
      </c>
      <c r="J1158" s="3">
        <f t="shared" si="96"/>
        <v>0</v>
      </c>
      <c r="K1158" s="3" t="str">
        <f t="shared" si="97"/>
        <v>Pr131</v>
      </c>
      <c r="L1158" s="3" cm="1">
        <f t="array" ref="L1158">SUM(($J1158*EXP(-$H1158*12*3600*_xlfn.SEQUENCE(L$1-1))))+$J1158</f>
        <v>0</v>
      </c>
      <c r="M1158" s="3"/>
      <c r="N1158" s="3"/>
    </row>
    <row r="1159" spans="2:14" hidden="1" x14ac:dyDescent="0.2">
      <c r="B1159" s="3">
        <v>59132</v>
      </c>
      <c r="C1159" s="3">
        <v>0</v>
      </c>
      <c r="D1159">
        <v>1156</v>
      </c>
      <c r="E1159" t="str">
        <f>VLOOKUP(B1159,Nuclides!A:F,5,FALSE)</f>
        <v>Pr132</v>
      </c>
      <c r="F1159">
        <f>VLOOKUP(B1159,Nuclides!A:F,4,FALSE)</f>
        <v>96</v>
      </c>
      <c r="G1159" s="3" t="str">
        <f t="shared" si="93"/>
        <v>1.6min</v>
      </c>
      <c r="H1159" s="3">
        <f t="shared" si="94"/>
        <v>7.2202831308327631E-3</v>
      </c>
      <c r="I1159" s="3">
        <f t="shared" si="95"/>
        <v>0</v>
      </c>
      <c r="J1159" s="3">
        <f t="shared" si="96"/>
        <v>0</v>
      </c>
      <c r="K1159" s="3" t="str">
        <f t="shared" si="97"/>
        <v>Pr132</v>
      </c>
      <c r="L1159" s="3" cm="1">
        <f t="array" ref="L1159">SUM(($J1159*EXP(-$H1159*12*3600*_xlfn.SEQUENCE(L$1-1))))+$J1159</f>
        <v>0</v>
      </c>
      <c r="M1159" s="3"/>
      <c r="N1159" s="3"/>
    </row>
    <row r="1160" spans="2:14" hidden="1" x14ac:dyDescent="0.2">
      <c r="B1160" s="3">
        <v>59133</v>
      </c>
      <c r="C1160" s="3">
        <v>0</v>
      </c>
      <c r="D1160">
        <v>1157</v>
      </c>
      <c r="E1160" t="str">
        <f>VLOOKUP(B1160,Nuclides!A:F,5,FALSE)</f>
        <v>Pr133</v>
      </c>
      <c r="F1160">
        <f>VLOOKUP(B1160,Nuclides!A:F,4,FALSE)</f>
        <v>390</v>
      </c>
      <c r="G1160" s="3" t="str">
        <f t="shared" si="93"/>
        <v>6.5min</v>
      </c>
      <c r="H1160" s="3">
        <f t="shared" si="94"/>
        <v>1.7773004629742187E-3</v>
      </c>
      <c r="I1160" s="3">
        <f t="shared" si="95"/>
        <v>0</v>
      </c>
      <c r="J1160" s="3">
        <f t="shared" si="96"/>
        <v>0</v>
      </c>
      <c r="K1160" s="3" t="str">
        <f t="shared" si="97"/>
        <v>Pr133</v>
      </c>
      <c r="L1160" s="3" cm="1">
        <f t="array" ref="L1160">SUM(($J1160*EXP(-$H1160*12*3600*_xlfn.SEQUENCE(L$1-1))))+$J1160</f>
        <v>0</v>
      </c>
      <c r="M1160" s="3"/>
      <c r="N1160" s="3"/>
    </row>
    <row r="1161" spans="2:14" hidden="1" x14ac:dyDescent="0.2">
      <c r="B1161" s="3">
        <v>59134</v>
      </c>
      <c r="C1161" s="3">
        <v>0</v>
      </c>
      <c r="D1161">
        <v>1158</v>
      </c>
      <c r="E1161" t="str">
        <f>VLOOKUP(B1161,Nuclides!A:F,5,FALSE)</f>
        <v>Pr134</v>
      </c>
      <c r="F1161">
        <f>VLOOKUP(B1161,Nuclides!A:F,4,FALSE)</f>
        <v>660</v>
      </c>
      <c r="G1161" s="3" t="str">
        <f t="shared" si="93"/>
        <v>11min</v>
      </c>
      <c r="H1161" s="3">
        <f t="shared" si="94"/>
        <v>1.0502230008484019E-3</v>
      </c>
      <c r="I1161" s="3">
        <f t="shared" si="95"/>
        <v>0</v>
      </c>
      <c r="J1161" s="3">
        <f t="shared" si="96"/>
        <v>0</v>
      </c>
      <c r="K1161" s="3" t="str">
        <f t="shared" si="97"/>
        <v>Pr134</v>
      </c>
      <c r="L1161" s="3" cm="1">
        <f t="array" ref="L1161">SUM(($J1161*EXP(-$H1161*12*3600*_xlfn.SEQUENCE(L$1-1))))+$J1161</f>
        <v>0</v>
      </c>
      <c r="M1161" s="3"/>
      <c r="N1161" s="3"/>
    </row>
    <row r="1162" spans="2:14" hidden="1" x14ac:dyDescent="0.2">
      <c r="B1162" s="3">
        <v>59135</v>
      </c>
      <c r="C1162" s="3">
        <v>0</v>
      </c>
      <c r="D1162">
        <v>1159</v>
      </c>
      <c r="E1162" t="str">
        <f>VLOOKUP(B1162,Nuclides!A:F,5,FALSE)</f>
        <v>Pr135</v>
      </c>
      <c r="F1162">
        <f>VLOOKUP(B1162,Nuclides!A:F,4,FALSE)</f>
        <v>1440</v>
      </c>
      <c r="G1162" s="3" t="str">
        <f t="shared" si="93"/>
        <v>24min</v>
      </c>
      <c r="H1162" s="3">
        <f t="shared" si="94"/>
        <v>4.8135220872218423E-4</v>
      </c>
      <c r="I1162" s="3">
        <f t="shared" si="95"/>
        <v>0</v>
      </c>
      <c r="J1162" s="3">
        <f t="shared" si="96"/>
        <v>0</v>
      </c>
      <c r="K1162" s="3" t="str">
        <f t="shared" si="97"/>
        <v>Pr135</v>
      </c>
      <c r="L1162" s="3" cm="1">
        <f t="array" ref="L1162">SUM(($J1162*EXP(-$H1162*12*3600*_xlfn.SEQUENCE(L$1-1))))+$J1162</f>
        <v>0</v>
      </c>
      <c r="M1162" s="3"/>
      <c r="N1162" s="3"/>
    </row>
    <row r="1163" spans="2:14" hidden="1" x14ac:dyDescent="0.2">
      <c r="B1163" s="3">
        <v>59136</v>
      </c>
      <c r="C1163" s="3">
        <v>0</v>
      </c>
      <c r="D1163">
        <v>1160</v>
      </c>
      <c r="E1163" t="str">
        <f>VLOOKUP(B1163,Nuclides!A:F,5,FALSE)</f>
        <v>Pr136</v>
      </c>
      <c r="F1163">
        <f>VLOOKUP(B1163,Nuclides!A:F,4,FALSE)</f>
        <v>786</v>
      </c>
      <c r="G1163" s="3" t="str">
        <f t="shared" si="93"/>
        <v>13.1min</v>
      </c>
      <c r="H1163" s="3">
        <f t="shared" si="94"/>
        <v>8.8186664193377266E-4</v>
      </c>
      <c r="I1163" s="3">
        <f t="shared" si="95"/>
        <v>0</v>
      </c>
      <c r="J1163" s="3">
        <f t="shared" si="96"/>
        <v>0</v>
      </c>
      <c r="K1163" s="3" t="str">
        <f t="shared" si="97"/>
        <v>Pr136</v>
      </c>
      <c r="L1163" s="3" cm="1">
        <f t="array" ref="L1163">SUM(($J1163*EXP(-$H1163*12*3600*_xlfn.SEQUENCE(L$1-1))))+$J1163</f>
        <v>0</v>
      </c>
      <c r="M1163" s="3"/>
      <c r="N1163" s="3"/>
    </row>
    <row r="1164" spans="2:14" hidden="1" x14ac:dyDescent="0.2">
      <c r="B1164" s="3">
        <v>59137</v>
      </c>
      <c r="C1164" s="3">
        <v>0</v>
      </c>
      <c r="D1164">
        <v>1161</v>
      </c>
      <c r="E1164" t="str">
        <f>VLOOKUP(B1164,Nuclides!A:F,5,FALSE)</f>
        <v>Pr137</v>
      </c>
      <c r="F1164">
        <f>VLOOKUP(B1164,Nuclides!A:F,4,FALSE)</f>
        <v>4608</v>
      </c>
      <c r="G1164" s="3" t="str">
        <f t="shared" si="93"/>
        <v>1.28h</v>
      </c>
      <c r="H1164" s="3">
        <f t="shared" si="94"/>
        <v>1.5042256522568257E-4</v>
      </c>
      <c r="I1164" s="3">
        <f t="shared" si="95"/>
        <v>0</v>
      </c>
      <c r="J1164" s="3">
        <f t="shared" si="96"/>
        <v>0</v>
      </c>
      <c r="K1164" s="3" t="str">
        <f t="shared" si="97"/>
        <v>Pr137</v>
      </c>
      <c r="L1164" s="3" cm="1">
        <f t="array" ref="L1164">SUM(($J1164*EXP(-$H1164*12*3600*_xlfn.SEQUENCE(L$1-1))))+$J1164</f>
        <v>0</v>
      </c>
      <c r="M1164" s="3"/>
      <c r="N1164" s="3"/>
    </row>
    <row r="1165" spans="2:14" hidden="1" x14ac:dyDescent="0.2">
      <c r="B1165" s="3">
        <v>59138</v>
      </c>
      <c r="C1165" s="3">
        <v>0</v>
      </c>
      <c r="D1165">
        <v>1162</v>
      </c>
      <c r="E1165" t="str">
        <f>VLOOKUP(B1165,Nuclides!A:F,5,FALSE)</f>
        <v>Pr138</v>
      </c>
      <c r="F1165">
        <f>VLOOKUP(B1165,Nuclides!A:F,4,FALSE)</f>
        <v>87</v>
      </c>
      <c r="G1165" s="3" t="str">
        <f t="shared" si="93"/>
        <v>1.45min</v>
      </c>
      <c r="H1165" s="3">
        <f t="shared" si="94"/>
        <v>7.9672089719533944E-3</v>
      </c>
      <c r="I1165" s="3">
        <f t="shared" si="95"/>
        <v>0</v>
      </c>
      <c r="J1165" s="3">
        <f t="shared" si="96"/>
        <v>0</v>
      </c>
      <c r="K1165" s="3" t="str">
        <f t="shared" si="97"/>
        <v>Pr138</v>
      </c>
      <c r="L1165" s="3" cm="1">
        <f t="array" ref="L1165">SUM(($J1165*EXP(-$H1165*12*3600*_xlfn.SEQUENCE(L$1-1))))+$J1165</f>
        <v>0</v>
      </c>
      <c r="M1165" s="3"/>
      <c r="N1165" s="3"/>
    </row>
    <row r="1166" spans="2:14" hidden="1" x14ac:dyDescent="0.2">
      <c r="B1166" s="3">
        <v>59139</v>
      </c>
      <c r="C1166" s="3">
        <v>0</v>
      </c>
      <c r="D1166">
        <v>1163</v>
      </c>
      <c r="E1166" t="str">
        <f>VLOOKUP(B1166,Nuclides!A:F,5,FALSE)</f>
        <v>Pr139</v>
      </c>
      <c r="F1166">
        <f>VLOOKUP(B1166,Nuclides!A:F,4,FALSE)</f>
        <v>15876</v>
      </c>
      <c r="G1166" s="3" t="str">
        <f t="shared" si="93"/>
        <v>4.41h</v>
      </c>
      <c r="H1166" s="3">
        <f t="shared" si="94"/>
        <v>4.3660064283191311E-5</v>
      </c>
      <c r="I1166" s="3">
        <f t="shared" si="95"/>
        <v>0</v>
      </c>
      <c r="J1166" s="3">
        <f t="shared" si="96"/>
        <v>0</v>
      </c>
      <c r="K1166" s="3" t="str">
        <f t="shared" si="97"/>
        <v>Pr139</v>
      </c>
      <c r="L1166" s="3" cm="1">
        <f t="array" ref="L1166">SUM(($J1166*EXP(-$H1166*12*3600*_xlfn.SEQUENCE(L$1-1))))+$J1166</f>
        <v>0</v>
      </c>
      <c r="M1166" s="3"/>
      <c r="N1166" s="3"/>
    </row>
    <row r="1167" spans="2:14" hidden="1" x14ac:dyDescent="0.2">
      <c r="B1167" s="3">
        <v>59140</v>
      </c>
      <c r="C1167" s="3">
        <v>0</v>
      </c>
      <c r="D1167">
        <v>1164</v>
      </c>
      <c r="E1167" t="str">
        <f>VLOOKUP(B1167,Nuclides!A:F,5,FALSE)</f>
        <v>Pr140</v>
      </c>
      <c r="F1167">
        <f>VLOOKUP(B1167,Nuclides!A:F,4,FALSE)</f>
        <v>203.4</v>
      </c>
      <c r="G1167" s="3" t="str">
        <f t="shared" si="93"/>
        <v>3.39min</v>
      </c>
      <c r="H1167" s="3">
        <f t="shared" si="94"/>
        <v>3.4078032475906845E-3</v>
      </c>
      <c r="I1167" s="3">
        <f t="shared" si="95"/>
        <v>0</v>
      </c>
      <c r="J1167" s="3">
        <f t="shared" si="96"/>
        <v>0</v>
      </c>
      <c r="K1167" s="3" t="str">
        <f t="shared" si="97"/>
        <v>Pr140</v>
      </c>
      <c r="L1167" s="3" cm="1">
        <f t="array" ref="L1167">SUM(($J1167*EXP(-$H1167*12*3600*_xlfn.SEQUENCE(L$1-1))))+$J1167</f>
        <v>0</v>
      </c>
      <c r="M1167" s="3"/>
      <c r="N1167" s="3"/>
    </row>
    <row r="1168" spans="2:14" hidden="1" x14ac:dyDescent="0.2">
      <c r="B1168" s="3">
        <v>59141</v>
      </c>
      <c r="C1168" s="3">
        <v>0</v>
      </c>
      <c r="D1168">
        <v>1165</v>
      </c>
      <c r="E1168" t="str">
        <f>VLOOKUP(B1168,Nuclides!A:F,5,FALSE)</f>
        <v>Pr141</v>
      </c>
      <c r="F1168" t="str">
        <f>VLOOKUP(B1168,Nuclides!A:F,4,FALSE)</f>
        <v>STABLE</v>
      </c>
      <c r="G1168" s="3" t="str">
        <f t="shared" si="93"/>
        <v>STABLE</v>
      </c>
      <c r="H1168" s="3" t="e">
        <f t="shared" si="94"/>
        <v>#VALUE!</v>
      </c>
      <c r="I1168" s="3" t="e">
        <f t="shared" si="95"/>
        <v>#VALUE!</v>
      </c>
      <c r="J1168" s="3" t="e">
        <f t="shared" si="96"/>
        <v>#VALUE!</v>
      </c>
      <c r="K1168" s="3" t="str">
        <f t="shared" si="97"/>
        <v>Pr141</v>
      </c>
      <c r="L1168" s="3" t="e" cm="1">
        <f t="array" ref="L1168">SUM(($J1168*EXP(-$H1168*12*3600*_xlfn.SEQUENCE(L$1-1))))+$J1168</f>
        <v>#VALUE!</v>
      </c>
      <c r="M1168" s="3"/>
      <c r="N1168" s="3"/>
    </row>
    <row r="1169" spans="2:14" hidden="1" x14ac:dyDescent="0.2">
      <c r="B1169" s="3">
        <v>59142</v>
      </c>
      <c r="C1169" s="3">
        <v>0</v>
      </c>
      <c r="D1169">
        <v>1166</v>
      </c>
      <c r="E1169" t="str">
        <f>VLOOKUP(B1169,Nuclides!A:F,5,FALSE)</f>
        <v>Pr142</v>
      </c>
      <c r="F1169">
        <f>VLOOKUP(B1169,Nuclides!A:F,4,FALSE)</f>
        <v>68832</v>
      </c>
      <c r="G1169" s="3" t="str">
        <f t="shared" si="93"/>
        <v>19.12h</v>
      </c>
      <c r="H1169" s="3">
        <f t="shared" si="94"/>
        <v>1.0070129889585444E-5</v>
      </c>
      <c r="I1169" s="3">
        <f t="shared" si="95"/>
        <v>0</v>
      </c>
      <c r="J1169" s="3">
        <f t="shared" si="96"/>
        <v>0</v>
      </c>
      <c r="K1169" s="3" t="str">
        <f t="shared" si="97"/>
        <v>Pr142</v>
      </c>
      <c r="L1169" s="3" cm="1">
        <f t="array" ref="L1169">SUM(($J1169*EXP(-$H1169*12*3600*_xlfn.SEQUENCE(L$1-1))))+$J1169</f>
        <v>0</v>
      </c>
      <c r="M1169" s="3"/>
      <c r="N1169" s="3"/>
    </row>
    <row r="1170" spans="2:14" hidden="1" x14ac:dyDescent="0.2">
      <c r="B1170" s="3">
        <v>59143</v>
      </c>
      <c r="C1170" s="3">
        <v>0</v>
      </c>
      <c r="D1170">
        <v>1167</v>
      </c>
      <c r="E1170" t="str">
        <f>VLOOKUP(B1170,Nuclides!A:F,5,FALSE)</f>
        <v>Pr143</v>
      </c>
      <c r="F1170">
        <f>VLOOKUP(B1170,Nuclides!A:F,4,FALSE)</f>
        <v>1172448</v>
      </c>
      <c r="G1170" s="3" t="str">
        <f t="shared" si="93"/>
        <v>13.57d</v>
      </c>
      <c r="H1170" s="3">
        <f t="shared" si="94"/>
        <v>5.9119652262611673E-7</v>
      </c>
      <c r="I1170" s="3">
        <f t="shared" si="95"/>
        <v>0</v>
      </c>
      <c r="J1170" s="3">
        <f t="shared" si="96"/>
        <v>0</v>
      </c>
      <c r="K1170" s="3" t="str">
        <f t="shared" si="97"/>
        <v>Pr143</v>
      </c>
      <c r="L1170" s="3" cm="1">
        <f t="array" ref="L1170">SUM(($J1170*EXP(-$H1170*12*3600*_xlfn.SEQUENCE(L$1-1))))+$J1170</f>
        <v>0</v>
      </c>
      <c r="M1170" s="3"/>
      <c r="N1170" s="3"/>
    </row>
    <row r="1171" spans="2:14" hidden="1" x14ac:dyDescent="0.2">
      <c r="B1171" s="3">
        <v>59144</v>
      </c>
      <c r="C1171" s="3">
        <v>0</v>
      </c>
      <c r="D1171">
        <v>1168</v>
      </c>
      <c r="E1171" t="str">
        <f>VLOOKUP(B1171,Nuclides!A:F,5,FALSE)</f>
        <v>Pr144</v>
      </c>
      <c r="F1171">
        <f>VLOOKUP(B1171,Nuclides!A:F,4,FALSE)</f>
        <v>1036.8</v>
      </c>
      <c r="G1171" s="3" t="str">
        <f t="shared" si="93"/>
        <v>17.28min</v>
      </c>
      <c r="H1171" s="3">
        <f t="shared" si="94"/>
        <v>6.6854473433636697E-4</v>
      </c>
      <c r="I1171" s="3">
        <f t="shared" si="95"/>
        <v>0</v>
      </c>
      <c r="J1171" s="3">
        <f t="shared" si="96"/>
        <v>0</v>
      </c>
      <c r="K1171" s="3" t="str">
        <f t="shared" si="97"/>
        <v>Pr144</v>
      </c>
      <c r="L1171" s="3" cm="1">
        <f t="array" ref="L1171">SUM(($J1171*EXP(-$H1171*12*3600*_xlfn.SEQUENCE(L$1-1))))+$J1171</f>
        <v>0</v>
      </c>
      <c r="M1171" s="3"/>
      <c r="N1171" s="3"/>
    </row>
    <row r="1172" spans="2:14" hidden="1" x14ac:dyDescent="0.2">
      <c r="B1172" s="3">
        <v>59145</v>
      </c>
      <c r="C1172" s="3">
        <v>0</v>
      </c>
      <c r="D1172">
        <v>1169</v>
      </c>
      <c r="E1172" t="str">
        <f>VLOOKUP(B1172,Nuclides!A:F,5,FALSE)</f>
        <v>Pr145</v>
      </c>
      <c r="F1172">
        <f>VLOOKUP(B1172,Nuclides!A:F,4,FALSE)</f>
        <v>21542.400000000001</v>
      </c>
      <c r="G1172" s="3" t="str">
        <f t="shared" si="93"/>
        <v>5.98h</v>
      </c>
      <c r="H1172" s="3">
        <f t="shared" si="94"/>
        <v>3.2175949780894669E-5</v>
      </c>
      <c r="I1172" s="3">
        <f t="shared" si="95"/>
        <v>0</v>
      </c>
      <c r="J1172" s="3">
        <f t="shared" si="96"/>
        <v>0</v>
      </c>
      <c r="K1172" s="3" t="str">
        <f t="shared" si="97"/>
        <v>Pr145</v>
      </c>
      <c r="L1172" s="3" cm="1">
        <f t="array" ref="L1172">SUM(($J1172*EXP(-$H1172*12*3600*_xlfn.SEQUENCE(L$1-1))))+$J1172</f>
        <v>0</v>
      </c>
      <c r="M1172" s="3"/>
      <c r="N1172" s="3"/>
    </row>
    <row r="1173" spans="2:14" hidden="1" x14ac:dyDescent="0.2">
      <c r="B1173" s="3">
        <v>59146</v>
      </c>
      <c r="C1173" s="3">
        <v>0</v>
      </c>
      <c r="D1173">
        <v>1170</v>
      </c>
      <c r="E1173" t="str">
        <f>VLOOKUP(B1173,Nuclides!A:F,5,FALSE)</f>
        <v>Pr146</v>
      </c>
      <c r="F1173">
        <f>VLOOKUP(B1173,Nuclides!A:F,4,FALSE)</f>
        <v>1449</v>
      </c>
      <c r="G1173" s="3" t="str">
        <f t="shared" si="93"/>
        <v>24.15min</v>
      </c>
      <c r="H1173" s="3">
        <f t="shared" si="94"/>
        <v>4.7836244345061789E-4</v>
      </c>
      <c r="I1173" s="3">
        <f t="shared" si="95"/>
        <v>0</v>
      </c>
      <c r="J1173" s="3">
        <f t="shared" si="96"/>
        <v>0</v>
      </c>
      <c r="K1173" s="3" t="str">
        <f t="shared" si="97"/>
        <v>Pr146</v>
      </c>
      <c r="L1173" s="3" cm="1">
        <f t="array" ref="L1173">SUM(($J1173*EXP(-$H1173*12*3600*_xlfn.SEQUENCE(L$1-1))))+$J1173</f>
        <v>0</v>
      </c>
      <c r="M1173" s="3"/>
      <c r="N1173" s="3"/>
    </row>
    <row r="1174" spans="2:14" hidden="1" x14ac:dyDescent="0.2">
      <c r="B1174" s="3">
        <v>59147</v>
      </c>
      <c r="C1174" s="3">
        <v>0</v>
      </c>
      <c r="D1174">
        <v>1171</v>
      </c>
      <c r="E1174" t="str">
        <f>VLOOKUP(B1174,Nuclides!A:F,5,FALSE)</f>
        <v>Pr147</v>
      </c>
      <c r="F1174">
        <f>VLOOKUP(B1174,Nuclides!A:F,4,FALSE)</f>
        <v>804</v>
      </c>
      <c r="G1174" s="3" t="str">
        <f t="shared" si="93"/>
        <v>13.4min</v>
      </c>
      <c r="H1174" s="3">
        <f t="shared" si="94"/>
        <v>8.6212335890540454E-4</v>
      </c>
      <c r="I1174" s="3">
        <f t="shared" si="95"/>
        <v>0</v>
      </c>
      <c r="J1174" s="3">
        <f t="shared" si="96"/>
        <v>0</v>
      </c>
      <c r="K1174" s="3" t="str">
        <f t="shared" si="97"/>
        <v>Pr147</v>
      </c>
      <c r="L1174" s="3" cm="1">
        <f t="array" ref="L1174">SUM(($J1174*EXP(-$H1174*12*3600*_xlfn.SEQUENCE(L$1-1))))+$J1174</f>
        <v>0</v>
      </c>
      <c r="M1174" s="3"/>
      <c r="N1174" s="3"/>
    </row>
    <row r="1175" spans="2:14" hidden="1" x14ac:dyDescent="0.2">
      <c r="B1175" s="3">
        <v>59148</v>
      </c>
      <c r="C1175" s="3">
        <v>0</v>
      </c>
      <c r="D1175">
        <v>1172</v>
      </c>
      <c r="E1175" t="str">
        <f>VLOOKUP(B1175,Nuclides!A:F,5,FALSE)</f>
        <v>Pr148</v>
      </c>
      <c r="F1175">
        <f>VLOOKUP(B1175,Nuclides!A:F,4,FALSE)</f>
        <v>137.4</v>
      </c>
      <c r="G1175" s="3" t="str">
        <f t="shared" si="93"/>
        <v>2.29min</v>
      </c>
      <c r="H1175" s="3">
        <f t="shared" si="94"/>
        <v>5.0447393053853363E-3</v>
      </c>
      <c r="I1175" s="3">
        <f t="shared" si="95"/>
        <v>0</v>
      </c>
      <c r="J1175" s="3">
        <f t="shared" si="96"/>
        <v>0</v>
      </c>
      <c r="K1175" s="3" t="str">
        <f t="shared" si="97"/>
        <v>Pr148</v>
      </c>
      <c r="L1175" s="3" cm="1">
        <f t="array" ref="L1175">SUM(($J1175*EXP(-$H1175*12*3600*_xlfn.SEQUENCE(L$1-1))))+$J1175</f>
        <v>0</v>
      </c>
      <c r="M1175" s="3"/>
      <c r="N1175" s="3"/>
    </row>
    <row r="1176" spans="2:14" hidden="1" x14ac:dyDescent="0.2">
      <c r="B1176" s="3">
        <v>59149</v>
      </c>
      <c r="C1176" s="3">
        <v>0</v>
      </c>
      <c r="D1176">
        <v>1173</v>
      </c>
      <c r="E1176" t="str">
        <f>VLOOKUP(B1176,Nuclides!A:F,5,FALSE)</f>
        <v>Pr149</v>
      </c>
      <c r="F1176">
        <f>VLOOKUP(B1176,Nuclides!A:F,4,FALSE)</f>
        <v>135.6</v>
      </c>
      <c r="G1176" s="3" t="str">
        <f t="shared" si="93"/>
        <v>2.26min</v>
      </c>
      <c r="H1176" s="3">
        <f t="shared" si="94"/>
        <v>5.1117048713860275E-3</v>
      </c>
      <c r="I1176" s="3">
        <f t="shared" si="95"/>
        <v>0</v>
      </c>
      <c r="J1176" s="3">
        <f t="shared" si="96"/>
        <v>0</v>
      </c>
      <c r="K1176" s="3" t="str">
        <f t="shared" si="97"/>
        <v>Pr149</v>
      </c>
      <c r="L1176" s="3" cm="1">
        <f t="array" ref="L1176">SUM(($J1176*EXP(-$H1176*12*3600*_xlfn.SEQUENCE(L$1-1))))+$J1176</f>
        <v>0</v>
      </c>
      <c r="M1176" s="3"/>
      <c r="N1176" s="3"/>
    </row>
    <row r="1177" spans="2:14" hidden="1" x14ac:dyDescent="0.2">
      <c r="B1177" s="3">
        <v>59150</v>
      </c>
      <c r="C1177" s="3">
        <v>0</v>
      </c>
      <c r="D1177">
        <v>1174</v>
      </c>
      <c r="E1177" t="str">
        <f>VLOOKUP(B1177,Nuclides!A:F,5,FALSE)</f>
        <v>Pr150</v>
      </c>
      <c r="F1177">
        <f>VLOOKUP(B1177,Nuclides!A:F,4,FALSE)</f>
        <v>6.19</v>
      </c>
      <c r="G1177" s="3" t="str">
        <f t="shared" si="93"/>
        <v>6.19s</v>
      </c>
      <c r="H1177" s="3">
        <f t="shared" si="94"/>
        <v>0.11197854290144511</v>
      </c>
      <c r="I1177" s="3">
        <f t="shared" si="95"/>
        <v>0</v>
      </c>
      <c r="J1177" s="3">
        <f t="shared" si="96"/>
        <v>0</v>
      </c>
      <c r="K1177" s="3" t="str">
        <f t="shared" si="97"/>
        <v>Pr150</v>
      </c>
      <c r="L1177" s="3" cm="1">
        <f t="array" ref="L1177">SUM(($J1177*EXP(-$H1177*12*3600*_xlfn.SEQUENCE(L$1-1))))+$J1177</f>
        <v>0</v>
      </c>
      <c r="M1177" s="3"/>
      <c r="N1177" s="3"/>
    </row>
    <row r="1178" spans="2:14" hidden="1" x14ac:dyDescent="0.2">
      <c r="B1178" s="3">
        <v>59151</v>
      </c>
      <c r="C1178" s="3">
        <v>0</v>
      </c>
      <c r="D1178">
        <v>1175</v>
      </c>
      <c r="E1178" t="str">
        <f>VLOOKUP(B1178,Nuclides!A:F,5,FALSE)</f>
        <v>Pr151</v>
      </c>
      <c r="F1178">
        <f>VLOOKUP(B1178,Nuclides!A:F,4,FALSE)</f>
        <v>18.899999999999999</v>
      </c>
      <c r="G1178" s="3" t="str">
        <f t="shared" si="93"/>
        <v>18.9s</v>
      </c>
      <c r="H1178" s="3">
        <f t="shared" si="94"/>
        <v>3.6674453997880704E-2</v>
      </c>
      <c r="I1178" s="3">
        <f t="shared" si="95"/>
        <v>0</v>
      </c>
      <c r="J1178" s="3">
        <f t="shared" si="96"/>
        <v>0</v>
      </c>
      <c r="K1178" s="3" t="str">
        <f t="shared" si="97"/>
        <v>Pr151</v>
      </c>
      <c r="L1178" s="3" cm="1">
        <f t="array" ref="L1178">SUM(($J1178*EXP(-$H1178*12*3600*_xlfn.SEQUENCE(L$1-1))))+$J1178</f>
        <v>0</v>
      </c>
      <c r="M1178" s="3"/>
      <c r="N1178" s="3"/>
    </row>
    <row r="1179" spans="2:14" hidden="1" x14ac:dyDescent="0.2">
      <c r="B1179" s="3">
        <v>59152</v>
      </c>
      <c r="C1179" s="3">
        <v>0</v>
      </c>
      <c r="D1179">
        <v>1176</v>
      </c>
      <c r="E1179" t="str">
        <f>VLOOKUP(B1179,Nuclides!A:F,5,FALSE)</f>
        <v>Pr152</v>
      </c>
      <c r="F1179">
        <f>VLOOKUP(B1179,Nuclides!A:F,4,FALSE)</f>
        <v>3.57</v>
      </c>
      <c r="G1179" s="3" t="str">
        <f t="shared" si="93"/>
        <v>3.57s</v>
      </c>
      <c r="H1179" s="3">
        <f t="shared" si="94"/>
        <v>0.19415887410642726</v>
      </c>
      <c r="I1179" s="3">
        <f t="shared" si="95"/>
        <v>0</v>
      </c>
      <c r="J1179" s="3">
        <f t="shared" si="96"/>
        <v>0</v>
      </c>
      <c r="K1179" s="3" t="str">
        <f t="shared" si="97"/>
        <v>Pr152</v>
      </c>
      <c r="L1179" s="3" cm="1">
        <f t="array" ref="L1179">SUM(($J1179*EXP(-$H1179*12*3600*_xlfn.SEQUENCE(L$1-1))))+$J1179</f>
        <v>0</v>
      </c>
      <c r="M1179" s="3"/>
      <c r="N1179" s="3"/>
    </row>
    <row r="1180" spans="2:14" hidden="1" x14ac:dyDescent="0.2">
      <c r="B1180" s="3">
        <v>60129</v>
      </c>
      <c r="C1180" s="3">
        <v>0</v>
      </c>
      <c r="D1180">
        <v>1177</v>
      </c>
      <c r="E1180" t="str">
        <f>VLOOKUP(B1180,Nuclides!A:F,5,FALSE)</f>
        <v>Nd129</v>
      </c>
      <c r="F1180">
        <f>VLOOKUP(B1180,Nuclides!A:F,4,FALSE)</f>
        <v>6.7</v>
      </c>
      <c r="G1180" s="3" t="str">
        <f t="shared" si="93"/>
        <v>6.7s</v>
      </c>
      <c r="H1180" s="3">
        <f t="shared" si="94"/>
        <v>0.10345480306864854</v>
      </c>
      <c r="I1180" s="3">
        <f t="shared" si="95"/>
        <v>0</v>
      </c>
      <c r="J1180" s="3">
        <f t="shared" si="96"/>
        <v>0</v>
      </c>
      <c r="K1180" s="3" t="str">
        <f t="shared" si="97"/>
        <v>Nd129</v>
      </c>
      <c r="L1180" s="3" cm="1">
        <f t="array" ref="L1180">SUM(($J1180*EXP(-$H1180*12*3600*_xlfn.SEQUENCE(L$1-1))))+$J1180</f>
        <v>0</v>
      </c>
      <c r="M1180" s="3"/>
      <c r="N1180" s="3"/>
    </row>
    <row r="1181" spans="2:14" hidden="1" x14ac:dyDescent="0.2">
      <c r="B1181" s="3">
        <v>60130</v>
      </c>
      <c r="C1181" s="3">
        <v>0</v>
      </c>
      <c r="D1181">
        <v>1178</v>
      </c>
      <c r="E1181" t="str">
        <f>VLOOKUP(B1181,Nuclides!A:F,5,FALSE)</f>
        <v>Nd130</v>
      </c>
      <c r="F1181">
        <f>VLOOKUP(B1181,Nuclides!A:F,4,FALSE)</f>
        <v>21</v>
      </c>
      <c r="G1181" s="3" t="str">
        <f t="shared" si="93"/>
        <v>21s</v>
      </c>
      <c r="H1181" s="3">
        <f t="shared" si="94"/>
        <v>3.3007008598092635E-2</v>
      </c>
      <c r="I1181" s="3">
        <f t="shared" si="95"/>
        <v>0</v>
      </c>
      <c r="J1181" s="3">
        <f t="shared" si="96"/>
        <v>0</v>
      </c>
      <c r="K1181" s="3" t="str">
        <f t="shared" si="97"/>
        <v>Nd130</v>
      </c>
      <c r="L1181" s="3" cm="1">
        <f t="array" ref="L1181">SUM(($J1181*EXP(-$H1181*12*3600*_xlfn.SEQUENCE(L$1-1))))+$J1181</f>
        <v>0</v>
      </c>
      <c r="M1181" s="3"/>
      <c r="N1181" s="3"/>
    </row>
    <row r="1182" spans="2:14" hidden="1" x14ac:dyDescent="0.2">
      <c r="B1182" s="3">
        <v>60131</v>
      </c>
      <c r="C1182" s="3">
        <v>0</v>
      </c>
      <c r="D1182">
        <v>1179</v>
      </c>
      <c r="E1182" t="str">
        <f>VLOOKUP(B1182,Nuclides!A:F,5,FALSE)</f>
        <v>Nd131</v>
      </c>
      <c r="F1182">
        <f>VLOOKUP(B1182,Nuclides!A:F,4,FALSE)</f>
        <v>25.4</v>
      </c>
      <c r="G1182" s="3" t="str">
        <f t="shared" si="93"/>
        <v>25.4s</v>
      </c>
      <c r="H1182" s="3">
        <f t="shared" si="94"/>
        <v>2.7289259077163203E-2</v>
      </c>
      <c r="I1182" s="3">
        <f t="shared" si="95"/>
        <v>0</v>
      </c>
      <c r="J1182" s="3">
        <f t="shared" si="96"/>
        <v>0</v>
      </c>
      <c r="K1182" s="3" t="str">
        <f t="shared" si="97"/>
        <v>Nd131</v>
      </c>
      <c r="L1182" s="3" cm="1">
        <f t="array" ref="L1182">SUM(($J1182*EXP(-$H1182*12*3600*_xlfn.SEQUENCE(L$1-1))))+$J1182</f>
        <v>0</v>
      </c>
      <c r="M1182" s="3"/>
      <c r="N1182" s="3"/>
    </row>
    <row r="1183" spans="2:14" hidden="1" x14ac:dyDescent="0.2">
      <c r="B1183" s="3">
        <v>60132</v>
      </c>
      <c r="C1183" s="3">
        <v>0</v>
      </c>
      <c r="D1183">
        <v>1180</v>
      </c>
      <c r="E1183" t="str">
        <f>VLOOKUP(B1183,Nuclides!A:F,5,FALSE)</f>
        <v>Nd132</v>
      </c>
      <c r="F1183">
        <f>VLOOKUP(B1183,Nuclides!A:F,4,FALSE)</f>
        <v>94</v>
      </c>
      <c r="G1183" s="3" t="str">
        <f t="shared" si="93"/>
        <v>1.57min</v>
      </c>
      <c r="H1183" s="3">
        <f t="shared" si="94"/>
        <v>7.3739061761696305E-3</v>
      </c>
      <c r="I1183" s="3">
        <f t="shared" si="95"/>
        <v>0</v>
      </c>
      <c r="J1183" s="3">
        <f t="shared" si="96"/>
        <v>0</v>
      </c>
      <c r="K1183" s="3" t="str">
        <f t="shared" si="97"/>
        <v>Nd132</v>
      </c>
      <c r="L1183" s="3" cm="1">
        <f t="array" ref="L1183">SUM(($J1183*EXP(-$H1183*12*3600*_xlfn.SEQUENCE(L$1-1))))+$J1183</f>
        <v>0</v>
      </c>
      <c r="M1183" s="3"/>
      <c r="N1183" s="3"/>
    </row>
    <row r="1184" spans="2:14" hidden="1" x14ac:dyDescent="0.2">
      <c r="B1184" s="3">
        <v>60133</v>
      </c>
      <c r="C1184" s="3">
        <v>0</v>
      </c>
      <c r="D1184">
        <v>1181</v>
      </c>
      <c r="E1184" t="str">
        <f>VLOOKUP(B1184,Nuclides!A:F,5,FALSE)</f>
        <v>Nd133</v>
      </c>
      <c r="F1184">
        <f>VLOOKUP(B1184,Nuclides!A:F,4,FALSE)</f>
        <v>70</v>
      </c>
      <c r="G1184" s="3" t="str">
        <f t="shared" si="93"/>
        <v>1.17min</v>
      </c>
      <c r="H1184" s="3">
        <f t="shared" si="94"/>
        <v>9.9021025794277899E-3</v>
      </c>
      <c r="I1184" s="3">
        <f t="shared" si="95"/>
        <v>0</v>
      </c>
      <c r="J1184" s="3">
        <f t="shared" si="96"/>
        <v>0</v>
      </c>
      <c r="K1184" s="3" t="str">
        <f t="shared" si="97"/>
        <v>Nd133</v>
      </c>
      <c r="L1184" s="3" cm="1">
        <f t="array" ref="L1184">SUM(($J1184*EXP(-$H1184*12*3600*_xlfn.SEQUENCE(L$1-1))))+$J1184</f>
        <v>0</v>
      </c>
      <c r="M1184" s="3"/>
      <c r="N1184" s="3"/>
    </row>
    <row r="1185" spans="2:14" hidden="1" x14ac:dyDescent="0.2">
      <c r="B1185" s="3">
        <v>60134</v>
      </c>
      <c r="C1185" s="3">
        <v>0</v>
      </c>
      <c r="D1185">
        <v>1182</v>
      </c>
      <c r="E1185" t="str">
        <f>VLOOKUP(B1185,Nuclides!A:F,5,FALSE)</f>
        <v>Nd134</v>
      </c>
      <c r="F1185">
        <f>VLOOKUP(B1185,Nuclides!A:F,4,FALSE)</f>
        <v>510</v>
      </c>
      <c r="G1185" s="3" t="str">
        <f t="shared" si="93"/>
        <v>8.5min</v>
      </c>
      <c r="H1185" s="3">
        <f t="shared" si="94"/>
        <v>1.3591121187449908E-3</v>
      </c>
      <c r="I1185" s="3">
        <f t="shared" si="95"/>
        <v>0</v>
      </c>
      <c r="J1185" s="3">
        <f t="shared" si="96"/>
        <v>0</v>
      </c>
      <c r="K1185" s="3" t="str">
        <f t="shared" si="97"/>
        <v>Nd134</v>
      </c>
      <c r="L1185" s="3" cm="1">
        <f t="array" ref="L1185">SUM(($J1185*EXP(-$H1185*12*3600*_xlfn.SEQUENCE(L$1-1))))+$J1185</f>
        <v>0</v>
      </c>
      <c r="M1185" s="3"/>
      <c r="N1185" s="3"/>
    </row>
    <row r="1186" spans="2:14" hidden="1" x14ac:dyDescent="0.2">
      <c r="B1186" s="3">
        <v>60135</v>
      </c>
      <c r="C1186" s="3">
        <v>0</v>
      </c>
      <c r="D1186">
        <v>1183</v>
      </c>
      <c r="E1186" t="str">
        <f>VLOOKUP(B1186,Nuclides!A:F,5,FALSE)</f>
        <v>Nd135</v>
      </c>
      <c r="F1186">
        <f>VLOOKUP(B1186,Nuclides!A:F,4,FALSE)</f>
        <v>744</v>
      </c>
      <c r="G1186" s="3" t="str">
        <f t="shared" si="93"/>
        <v>12.4min</v>
      </c>
      <c r="H1186" s="3">
        <f t="shared" si="94"/>
        <v>9.3164943623648563E-4</v>
      </c>
      <c r="I1186" s="3">
        <f t="shared" si="95"/>
        <v>0</v>
      </c>
      <c r="J1186" s="3">
        <f t="shared" si="96"/>
        <v>0</v>
      </c>
      <c r="K1186" s="3" t="str">
        <f t="shared" si="97"/>
        <v>Nd135</v>
      </c>
      <c r="L1186" s="3" cm="1">
        <f t="array" ref="L1186">SUM(($J1186*EXP(-$H1186*12*3600*_xlfn.SEQUENCE(L$1-1))))+$J1186</f>
        <v>0</v>
      </c>
      <c r="M1186" s="3"/>
      <c r="N1186" s="3"/>
    </row>
    <row r="1187" spans="2:14" hidden="1" x14ac:dyDescent="0.2">
      <c r="B1187" s="3">
        <v>60136</v>
      </c>
      <c r="C1187" s="3">
        <v>0</v>
      </c>
      <c r="D1187">
        <v>1184</v>
      </c>
      <c r="E1187" t="str">
        <f>VLOOKUP(B1187,Nuclides!A:F,5,FALSE)</f>
        <v>Nd136</v>
      </c>
      <c r="F1187">
        <f>VLOOKUP(B1187,Nuclides!A:F,4,FALSE)</f>
        <v>3039</v>
      </c>
      <c r="G1187" s="3" t="str">
        <f t="shared" si="93"/>
        <v>50.65min</v>
      </c>
      <c r="H1187" s="3">
        <f t="shared" si="94"/>
        <v>2.2808396859491455E-4</v>
      </c>
      <c r="I1187" s="3">
        <f t="shared" si="95"/>
        <v>0</v>
      </c>
      <c r="J1187" s="3">
        <f t="shared" si="96"/>
        <v>0</v>
      </c>
      <c r="K1187" s="3" t="str">
        <f t="shared" si="97"/>
        <v>Nd136</v>
      </c>
      <c r="L1187" s="3" cm="1">
        <f t="array" ref="L1187">SUM(($J1187*EXP(-$H1187*12*3600*_xlfn.SEQUENCE(L$1-1))))+$J1187</f>
        <v>0</v>
      </c>
      <c r="M1187" s="3"/>
      <c r="N1187" s="3"/>
    </row>
    <row r="1188" spans="2:14" hidden="1" x14ac:dyDescent="0.2">
      <c r="B1188" s="3">
        <v>60137</v>
      </c>
      <c r="C1188" s="3">
        <v>0</v>
      </c>
      <c r="D1188">
        <v>1185</v>
      </c>
      <c r="E1188" t="str">
        <f>VLOOKUP(B1188,Nuclides!A:F,5,FALSE)</f>
        <v>Nd137</v>
      </c>
      <c r="F1188">
        <f>VLOOKUP(B1188,Nuclides!A:F,4,FALSE)</f>
        <v>2310</v>
      </c>
      <c r="G1188" s="3" t="str">
        <f t="shared" si="93"/>
        <v>38.5min</v>
      </c>
      <c r="H1188" s="3">
        <f t="shared" si="94"/>
        <v>3.0006371452811483E-4</v>
      </c>
      <c r="I1188" s="3">
        <f t="shared" si="95"/>
        <v>0</v>
      </c>
      <c r="J1188" s="3">
        <f t="shared" si="96"/>
        <v>0</v>
      </c>
      <c r="K1188" s="3" t="str">
        <f t="shared" si="97"/>
        <v>Nd137</v>
      </c>
      <c r="L1188" s="3" cm="1">
        <f t="array" ref="L1188">SUM(($J1188*EXP(-$H1188*12*3600*_xlfn.SEQUENCE(L$1-1))))+$J1188</f>
        <v>0</v>
      </c>
      <c r="M1188" s="3"/>
      <c r="N1188" s="3"/>
    </row>
    <row r="1189" spans="2:14" hidden="1" x14ac:dyDescent="0.2">
      <c r="B1189" s="3">
        <v>60138</v>
      </c>
      <c r="C1189" s="3">
        <v>0</v>
      </c>
      <c r="D1189">
        <v>1186</v>
      </c>
      <c r="E1189" t="str">
        <f>VLOOKUP(B1189,Nuclides!A:F,5,FALSE)</f>
        <v>Nd138</v>
      </c>
      <c r="F1189">
        <f>VLOOKUP(B1189,Nuclides!A:F,4,FALSE)</f>
        <v>18144</v>
      </c>
      <c r="G1189" s="3" t="str">
        <f t="shared" si="93"/>
        <v>5.04h</v>
      </c>
      <c r="H1189" s="3">
        <f t="shared" si="94"/>
        <v>3.8202556247792399E-5</v>
      </c>
      <c r="I1189" s="3">
        <f t="shared" si="95"/>
        <v>0</v>
      </c>
      <c r="J1189" s="3">
        <f t="shared" si="96"/>
        <v>0</v>
      </c>
      <c r="K1189" s="3" t="str">
        <f t="shared" si="97"/>
        <v>Nd138</v>
      </c>
      <c r="L1189" s="3" cm="1">
        <f t="array" ref="L1189">SUM(($J1189*EXP(-$H1189*12*3600*_xlfn.SEQUENCE(L$1-1))))+$J1189</f>
        <v>0</v>
      </c>
      <c r="M1189" s="3"/>
      <c r="N1189" s="3"/>
    </row>
    <row r="1190" spans="2:14" hidden="1" x14ac:dyDescent="0.2">
      <c r="B1190" s="3">
        <v>60139</v>
      </c>
      <c r="C1190" s="3">
        <v>0</v>
      </c>
      <c r="D1190">
        <v>1187</v>
      </c>
      <c r="E1190" t="str">
        <f>VLOOKUP(B1190,Nuclides!A:F,5,FALSE)</f>
        <v>Nd139</v>
      </c>
      <c r="F1190">
        <f>VLOOKUP(B1190,Nuclides!A:F,4,FALSE)</f>
        <v>1782</v>
      </c>
      <c r="G1190" s="3" t="str">
        <f t="shared" si="93"/>
        <v>29.7min</v>
      </c>
      <c r="H1190" s="3">
        <f t="shared" si="94"/>
        <v>3.8897148179570441E-4</v>
      </c>
      <c r="I1190" s="3">
        <f t="shared" si="95"/>
        <v>0</v>
      </c>
      <c r="J1190" s="3">
        <f t="shared" si="96"/>
        <v>0</v>
      </c>
      <c r="K1190" s="3" t="str">
        <f t="shared" si="97"/>
        <v>Nd139</v>
      </c>
      <c r="L1190" s="3" cm="1">
        <f t="array" ref="L1190">SUM(($J1190*EXP(-$H1190*12*3600*_xlfn.SEQUENCE(L$1-1))))+$J1190</f>
        <v>0</v>
      </c>
      <c r="M1190" s="3"/>
      <c r="N1190" s="3"/>
    </row>
    <row r="1191" spans="2:14" hidden="1" x14ac:dyDescent="0.2">
      <c r="B1191" s="3">
        <v>60140</v>
      </c>
      <c r="C1191" s="3">
        <v>0</v>
      </c>
      <c r="D1191">
        <v>1188</v>
      </c>
      <c r="E1191" t="str">
        <f>VLOOKUP(B1191,Nuclides!A:F,5,FALSE)</f>
        <v>Nd140</v>
      </c>
      <c r="F1191">
        <f>VLOOKUP(B1191,Nuclides!A:F,4,FALSE)</f>
        <v>291168</v>
      </c>
      <c r="G1191" s="3" t="str">
        <f t="shared" si="93"/>
        <v>3.37d</v>
      </c>
      <c r="H1191" s="3">
        <f t="shared" si="94"/>
        <v>2.3805747216725232E-6</v>
      </c>
      <c r="I1191" s="3">
        <f t="shared" si="95"/>
        <v>0</v>
      </c>
      <c r="J1191" s="3">
        <f t="shared" si="96"/>
        <v>0</v>
      </c>
      <c r="K1191" s="3" t="str">
        <f t="shared" si="97"/>
        <v>Nd140</v>
      </c>
      <c r="L1191" s="3" cm="1">
        <f t="array" ref="L1191">SUM(($J1191*EXP(-$H1191*12*3600*_xlfn.SEQUENCE(L$1-1))))+$J1191</f>
        <v>0</v>
      </c>
      <c r="M1191" s="3"/>
      <c r="N1191" s="3"/>
    </row>
    <row r="1192" spans="2:14" hidden="1" x14ac:dyDescent="0.2">
      <c r="B1192" s="3">
        <v>60141</v>
      </c>
      <c r="C1192" s="3">
        <v>0</v>
      </c>
      <c r="D1192">
        <v>1189</v>
      </c>
      <c r="E1192" t="str">
        <f>VLOOKUP(B1192,Nuclides!A:F,5,FALSE)</f>
        <v>Nd141</v>
      </c>
      <c r="F1192">
        <f>VLOOKUP(B1192,Nuclides!A:F,4,FALSE)</f>
        <v>8964</v>
      </c>
      <c r="G1192" s="3" t="str">
        <f t="shared" si="93"/>
        <v>2.49h</v>
      </c>
      <c r="H1192" s="3">
        <f t="shared" si="94"/>
        <v>7.7325656019627993E-5</v>
      </c>
      <c r="I1192" s="3">
        <f t="shared" si="95"/>
        <v>0</v>
      </c>
      <c r="J1192" s="3">
        <f t="shared" si="96"/>
        <v>0</v>
      </c>
      <c r="K1192" s="3" t="str">
        <f t="shared" si="97"/>
        <v>Nd141</v>
      </c>
      <c r="L1192" s="3" cm="1">
        <f t="array" ref="L1192">SUM(($J1192*EXP(-$H1192*12*3600*_xlfn.SEQUENCE(L$1-1))))+$J1192</f>
        <v>0</v>
      </c>
      <c r="M1192" s="3"/>
      <c r="N1192" s="3"/>
    </row>
    <row r="1193" spans="2:14" hidden="1" x14ac:dyDescent="0.2">
      <c r="B1193" s="3">
        <v>60142</v>
      </c>
      <c r="C1193" s="3">
        <v>0</v>
      </c>
      <c r="D1193">
        <v>1190</v>
      </c>
      <c r="E1193" t="str">
        <f>VLOOKUP(B1193,Nuclides!A:F,5,FALSE)</f>
        <v>Nd142</v>
      </c>
      <c r="F1193" t="str">
        <f>VLOOKUP(B1193,Nuclides!A:F,4,FALSE)</f>
        <v>STABLE</v>
      </c>
      <c r="G1193" s="3" t="str">
        <f t="shared" si="93"/>
        <v>STABLE</v>
      </c>
      <c r="H1193" s="3" t="e">
        <f t="shared" si="94"/>
        <v>#VALUE!</v>
      </c>
      <c r="I1193" s="3" t="e">
        <f t="shared" si="95"/>
        <v>#VALUE!</v>
      </c>
      <c r="J1193" s="3" t="e">
        <f t="shared" si="96"/>
        <v>#VALUE!</v>
      </c>
      <c r="K1193" s="3" t="str">
        <f t="shared" si="97"/>
        <v>Nd142</v>
      </c>
      <c r="L1193" s="3" t="e" cm="1">
        <f t="array" ref="L1193">SUM(($J1193*EXP(-$H1193*12*3600*_xlfn.SEQUENCE(L$1-1))))+$J1193</f>
        <v>#VALUE!</v>
      </c>
      <c r="M1193" s="3"/>
      <c r="N1193" s="3"/>
    </row>
    <row r="1194" spans="2:14" hidden="1" x14ac:dyDescent="0.2">
      <c r="B1194" s="3">
        <v>60143</v>
      </c>
      <c r="C1194" s="3">
        <v>0</v>
      </c>
      <c r="D1194">
        <v>1191</v>
      </c>
      <c r="E1194" t="str">
        <f>VLOOKUP(B1194,Nuclides!A:F,5,FALSE)</f>
        <v>Nd143</v>
      </c>
      <c r="F1194" t="str">
        <f>VLOOKUP(B1194,Nuclides!A:F,4,FALSE)</f>
        <v>STABLE</v>
      </c>
      <c r="G1194" s="3" t="str">
        <f t="shared" si="93"/>
        <v>STABLE</v>
      </c>
      <c r="H1194" s="3" t="e">
        <f t="shared" si="94"/>
        <v>#VALUE!</v>
      </c>
      <c r="I1194" s="3" t="e">
        <f t="shared" si="95"/>
        <v>#VALUE!</v>
      </c>
      <c r="J1194" s="3" t="e">
        <f t="shared" si="96"/>
        <v>#VALUE!</v>
      </c>
      <c r="K1194" s="3" t="str">
        <f t="shared" si="97"/>
        <v>Nd143</v>
      </c>
      <c r="L1194" s="3" t="e" cm="1">
        <f t="array" ref="L1194">SUM(($J1194*EXP(-$H1194*12*3600*_xlfn.SEQUENCE(L$1-1))))+$J1194</f>
        <v>#VALUE!</v>
      </c>
      <c r="M1194" s="3"/>
      <c r="N1194" s="3"/>
    </row>
    <row r="1195" spans="2:14" hidden="1" x14ac:dyDescent="0.2">
      <c r="B1195" s="3">
        <v>60144</v>
      </c>
      <c r="C1195" s="3">
        <v>0</v>
      </c>
      <c r="D1195">
        <v>1192</v>
      </c>
      <c r="E1195" t="str">
        <f>VLOOKUP(B1195,Nuclides!A:F,5,FALSE)</f>
        <v>Nd144</v>
      </c>
      <c r="F1195">
        <f>VLOOKUP(B1195,Nuclides!A:F,4,FALSE)</f>
        <v>7.2266904000000002E+22</v>
      </c>
      <c r="G1195" s="3" t="str">
        <f t="shared" si="93"/>
        <v>2291568493150680y</v>
      </c>
      <c r="H1195" s="3">
        <f t="shared" si="94"/>
        <v>9.5914885264760378E-24</v>
      </c>
      <c r="I1195" s="3">
        <f t="shared" si="95"/>
        <v>0</v>
      </c>
      <c r="J1195" s="3">
        <f t="shared" si="96"/>
        <v>0</v>
      </c>
      <c r="K1195" s="3" t="str">
        <f t="shared" si="97"/>
        <v>Nd144</v>
      </c>
      <c r="L1195" s="3" cm="1">
        <f t="array" ref="L1195">SUM(($J1195*EXP(-$H1195*12*3600*_xlfn.SEQUENCE(L$1-1))))+$J1195</f>
        <v>0</v>
      </c>
      <c r="M1195" s="3"/>
      <c r="N1195" s="3"/>
    </row>
    <row r="1196" spans="2:14" hidden="1" x14ac:dyDescent="0.2">
      <c r="B1196" s="3">
        <v>60145</v>
      </c>
      <c r="C1196" s="3">
        <v>0</v>
      </c>
      <c r="D1196">
        <v>1193</v>
      </c>
      <c r="E1196" t="str">
        <f>VLOOKUP(B1196,Nuclides!A:F,5,FALSE)</f>
        <v>Nd145</v>
      </c>
      <c r="F1196" t="str">
        <f>VLOOKUP(B1196,Nuclides!A:F,4,FALSE)</f>
        <v>STABLE</v>
      </c>
      <c r="G1196" s="3" t="str">
        <f t="shared" si="93"/>
        <v>STABLE</v>
      </c>
      <c r="H1196" s="3" t="e">
        <f t="shared" si="94"/>
        <v>#VALUE!</v>
      </c>
      <c r="I1196" s="3" t="e">
        <f t="shared" si="95"/>
        <v>#VALUE!</v>
      </c>
      <c r="J1196" s="3" t="e">
        <f t="shared" si="96"/>
        <v>#VALUE!</v>
      </c>
      <c r="K1196" s="3" t="str">
        <f t="shared" si="97"/>
        <v>Nd145</v>
      </c>
      <c r="L1196" s="3" t="e" cm="1">
        <f t="array" ref="L1196">SUM(($J1196*EXP(-$H1196*12*3600*_xlfn.SEQUENCE(L$1-1))))+$J1196</f>
        <v>#VALUE!</v>
      </c>
      <c r="M1196" s="3"/>
      <c r="N1196" s="3"/>
    </row>
    <row r="1197" spans="2:14" hidden="1" x14ac:dyDescent="0.2">
      <c r="B1197" s="3">
        <v>60146</v>
      </c>
      <c r="C1197" s="3">
        <v>0</v>
      </c>
      <c r="D1197">
        <v>1194</v>
      </c>
      <c r="E1197" t="str">
        <f>VLOOKUP(B1197,Nuclides!A:F,5,FALSE)</f>
        <v>Nd146</v>
      </c>
      <c r="F1197" t="str">
        <f>VLOOKUP(B1197,Nuclides!A:F,4,FALSE)</f>
        <v>STABLE</v>
      </c>
      <c r="G1197" s="3" t="str">
        <f t="shared" si="93"/>
        <v>STABLE</v>
      </c>
      <c r="H1197" s="3" t="e">
        <f t="shared" si="94"/>
        <v>#VALUE!</v>
      </c>
      <c r="I1197" s="3" t="e">
        <f t="shared" si="95"/>
        <v>#VALUE!</v>
      </c>
      <c r="J1197" s="3" t="e">
        <f t="shared" si="96"/>
        <v>#VALUE!</v>
      </c>
      <c r="K1197" s="3" t="str">
        <f t="shared" si="97"/>
        <v>Nd146</v>
      </c>
      <c r="L1197" s="3" t="e" cm="1">
        <f t="array" ref="L1197">SUM(($J1197*EXP(-$H1197*12*3600*_xlfn.SEQUENCE(L$1-1))))+$J1197</f>
        <v>#VALUE!</v>
      </c>
      <c r="M1197" s="3"/>
      <c r="N1197" s="3"/>
    </row>
    <row r="1198" spans="2:14" hidden="1" x14ac:dyDescent="0.2">
      <c r="B1198" s="3">
        <v>60147</v>
      </c>
      <c r="C1198" s="3">
        <v>0</v>
      </c>
      <c r="D1198">
        <v>1195</v>
      </c>
      <c r="E1198" t="str">
        <f>VLOOKUP(B1198,Nuclides!A:F,5,FALSE)</f>
        <v>Nd147</v>
      </c>
      <c r="F1198">
        <f>VLOOKUP(B1198,Nuclides!A:F,4,FALSE)</f>
        <v>948672</v>
      </c>
      <c r="G1198" s="3" t="str">
        <f t="shared" si="93"/>
        <v>10.98d</v>
      </c>
      <c r="H1198" s="3">
        <f t="shared" si="94"/>
        <v>7.306499828812754E-7</v>
      </c>
      <c r="I1198" s="3">
        <f t="shared" si="95"/>
        <v>0</v>
      </c>
      <c r="J1198" s="3">
        <f t="shared" si="96"/>
        <v>0</v>
      </c>
      <c r="K1198" s="3" t="str">
        <f t="shared" si="97"/>
        <v>Nd147</v>
      </c>
      <c r="L1198" s="3" cm="1">
        <f t="array" ref="L1198">SUM(($J1198*EXP(-$H1198*12*3600*_xlfn.SEQUENCE(L$1-1))))+$J1198</f>
        <v>0</v>
      </c>
      <c r="M1198" s="3"/>
      <c r="N1198" s="3"/>
    </row>
    <row r="1199" spans="2:14" hidden="1" x14ac:dyDescent="0.2">
      <c r="B1199" s="3">
        <v>60148</v>
      </c>
      <c r="C1199" s="3">
        <v>0</v>
      </c>
      <c r="D1199">
        <v>1196</v>
      </c>
      <c r="E1199" t="str">
        <f>VLOOKUP(B1199,Nuclides!A:F,5,FALSE)</f>
        <v>Nd148</v>
      </c>
      <c r="F1199" t="str">
        <f>VLOOKUP(B1199,Nuclides!A:F,4,FALSE)</f>
        <v>STABLE</v>
      </c>
      <c r="G1199" s="3" t="str">
        <f t="shared" si="93"/>
        <v>STABLE</v>
      </c>
      <c r="H1199" s="3" t="e">
        <f t="shared" si="94"/>
        <v>#VALUE!</v>
      </c>
      <c r="I1199" s="3" t="e">
        <f t="shared" si="95"/>
        <v>#VALUE!</v>
      </c>
      <c r="J1199" s="3" t="e">
        <f t="shared" si="96"/>
        <v>#VALUE!</v>
      </c>
      <c r="K1199" s="3" t="str">
        <f t="shared" si="97"/>
        <v>Nd148</v>
      </c>
      <c r="L1199" s="3" t="e" cm="1">
        <f t="array" ref="L1199">SUM(($J1199*EXP(-$H1199*12*3600*_xlfn.SEQUENCE(L$1-1))))+$J1199</f>
        <v>#VALUE!</v>
      </c>
      <c r="M1199" s="3"/>
      <c r="N1199" s="3"/>
    </row>
    <row r="1200" spans="2:14" hidden="1" x14ac:dyDescent="0.2">
      <c r="B1200" s="3">
        <v>60149</v>
      </c>
      <c r="C1200" s="3">
        <v>0</v>
      </c>
      <c r="D1200">
        <v>1197</v>
      </c>
      <c r="E1200" t="str">
        <f>VLOOKUP(B1200,Nuclides!A:F,5,FALSE)</f>
        <v>Nd149</v>
      </c>
      <c r="F1200">
        <f>VLOOKUP(B1200,Nuclides!A:F,4,FALSE)</f>
        <v>6220.8</v>
      </c>
      <c r="G1200" s="3" t="str">
        <f t="shared" si="93"/>
        <v>1.73h</v>
      </c>
      <c r="H1200" s="3">
        <f t="shared" si="94"/>
        <v>1.114241223893945E-4</v>
      </c>
      <c r="I1200" s="3">
        <f t="shared" si="95"/>
        <v>0</v>
      </c>
      <c r="J1200" s="3">
        <f t="shared" si="96"/>
        <v>0</v>
      </c>
      <c r="K1200" s="3" t="str">
        <f t="shared" si="97"/>
        <v>Nd149</v>
      </c>
      <c r="L1200" s="3" cm="1">
        <f t="array" ref="L1200">SUM(($J1200*EXP(-$H1200*12*3600*_xlfn.SEQUENCE(L$1-1))))+$J1200</f>
        <v>0</v>
      </c>
      <c r="M1200" s="3"/>
      <c r="N1200" s="3"/>
    </row>
    <row r="1201" spans="2:14" hidden="1" x14ac:dyDescent="0.2">
      <c r="B1201" s="3">
        <v>60150</v>
      </c>
      <c r="C1201" s="3">
        <v>0</v>
      </c>
      <c r="D1201">
        <v>1198</v>
      </c>
      <c r="E1201" t="str">
        <f>VLOOKUP(B1201,Nuclides!A:F,5,FALSE)</f>
        <v>Nd150</v>
      </c>
      <c r="F1201">
        <f>VLOOKUP(B1201,Nuclides!A:F,4,FALSE)</f>
        <v>2.8717416000000001E+26</v>
      </c>
      <c r="G1201" s="3" t="str">
        <f t="shared" si="93"/>
        <v>9106232876712330000y</v>
      </c>
      <c r="H1201" s="3">
        <f t="shared" si="94"/>
        <v>2.4136822775417722E-27</v>
      </c>
      <c r="I1201" s="3">
        <f t="shared" si="95"/>
        <v>0</v>
      </c>
      <c r="J1201" s="3">
        <f t="shared" si="96"/>
        <v>0</v>
      </c>
      <c r="K1201" s="3" t="str">
        <f t="shared" si="97"/>
        <v>Nd150</v>
      </c>
      <c r="L1201" s="3" cm="1">
        <f t="array" ref="L1201">SUM(($J1201*EXP(-$H1201*12*3600*_xlfn.SEQUENCE(L$1-1))))+$J1201</f>
        <v>0</v>
      </c>
      <c r="M1201" s="3"/>
      <c r="N1201" s="3"/>
    </row>
    <row r="1202" spans="2:14" hidden="1" x14ac:dyDescent="0.2">
      <c r="B1202" s="3">
        <v>60151</v>
      </c>
      <c r="C1202" s="3">
        <v>0</v>
      </c>
      <c r="D1202">
        <v>1199</v>
      </c>
      <c r="E1202" t="str">
        <f>VLOOKUP(B1202,Nuclides!A:F,5,FALSE)</f>
        <v>Nd151</v>
      </c>
      <c r="F1202">
        <f>VLOOKUP(B1202,Nuclides!A:F,4,FALSE)</f>
        <v>746.4</v>
      </c>
      <c r="G1202" s="3" t="str">
        <f t="shared" si="93"/>
        <v>12.44min</v>
      </c>
      <c r="H1202" s="3">
        <f t="shared" si="94"/>
        <v>9.2865377888524286E-4</v>
      </c>
      <c r="I1202" s="3">
        <f t="shared" si="95"/>
        <v>0</v>
      </c>
      <c r="J1202" s="3">
        <f t="shared" si="96"/>
        <v>0</v>
      </c>
      <c r="K1202" s="3" t="str">
        <f t="shared" si="97"/>
        <v>Nd151</v>
      </c>
      <c r="L1202" s="3" cm="1">
        <f t="array" ref="L1202">SUM(($J1202*EXP(-$H1202*12*3600*_xlfn.SEQUENCE(L$1-1))))+$J1202</f>
        <v>0</v>
      </c>
      <c r="M1202" s="3"/>
      <c r="N1202" s="3"/>
    </row>
    <row r="1203" spans="2:14" hidden="1" x14ac:dyDescent="0.2">
      <c r="B1203" s="3">
        <v>60152</v>
      </c>
      <c r="C1203" s="3">
        <v>0</v>
      </c>
      <c r="D1203">
        <v>1200</v>
      </c>
      <c r="E1203" t="str">
        <f>VLOOKUP(B1203,Nuclides!A:F,5,FALSE)</f>
        <v>Nd152</v>
      </c>
      <c r="F1203">
        <f>VLOOKUP(B1203,Nuclides!A:F,4,FALSE)</f>
        <v>684</v>
      </c>
      <c r="G1203" s="3" t="str">
        <f t="shared" si="93"/>
        <v>11.4min</v>
      </c>
      <c r="H1203" s="3">
        <f t="shared" si="94"/>
        <v>1.0133730709940721E-3</v>
      </c>
      <c r="I1203" s="3">
        <f t="shared" si="95"/>
        <v>0</v>
      </c>
      <c r="J1203" s="3">
        <f t="shared" si="96"/>
        <v>0</v>
      </c>
      <c r="K1203" s="3" t="str">
        <f t="shared" si="97"/>
        <v>Nd152</v>
      </c>
      <c r="L1203" s="3" cm="1">
        <f t="array" ref="L1203">SUM(($J1203*EXP(-$H1203*12*3600*_xlfn.SEQUENCE(L$1-1))))+$J1203</f>
        <v>0</v>
      </c>
      <c r="M1203" s="3"/>
      <c r="N1203" s="3"/>
    </row>
    <row r="1204" spans="2:14" hidden="1" x14ac:dyDescent="0.2">
      <c r="B1204" s="3">
        <v>60153</v>
      </c>
      <c r="C1204" s="3">
        <v>0</v>
      </c>
      <c r="D1204">
        <v>1201</v>
      </c>
      <c r="E1204" t="str">
        <f>VLOOKUP(B1204,Nuclides!A:F,5,FALSE)</f>
        <v>Nd153</v>
      </c>
      <c r="F1204">
        <f>VLOOKUP(B1204,Nuclides!A:F,4,FALSE)</f>
        <v>31.6</v>
      </c>
      <c r="G1204" s="3" t="str">
        <f t="shared" si="93"/>
        <v>31.6s</v>
      </c>
      <c r="H1204" s="3">
        <f t="shared" si="94"/>
        <v>2.1935037359491937E-2</v>
      </c>
      <c r="I1204" s="3">
        <f t="shared" si="95"/>
        <v>0</v>
      </c>
      <c r="J1204" s="3">
        <f t="shared" si="96"/>
        <v>0</v>
      </c>
      <c r="K1204" s="3" t="str">
        <f t="shared" si="97"/>
        <v>Nd153</v>
      </c>
      <c r="L1204" s="3" cm="1">
        <f t="array" ref="L1204">SUM(($J1204*EXP(-$H1204*12*3600*_xlfn.SEQUENCE(L$1-1))))+$J1204</f>
        <v>0</v>
      </c>
      <c r="M1204" s="3"/>
      <c r="N1204" s="3"/>
    </row>
    <row r="1205" spans="2:14" hidden="1" x14ac:dyDescent="0.2">
      <c r="B1205" s="3">
        <v>60154</v>
      </c>
      <c r="C1205" s="3">
        <v>0</v>
      </c>
      <c r="D1205">
        <v>1202</v>
      </c>
      <c r="E1205" t="str">
        <f>VLOOKUP(B1205,Nuclides!A:F,5,FALSE)</f>
        <v>Nd154</v>
      </c>
      <c r="F1205">
        <f>VLOOKUP(B1205,Nuclides!A:F,4,FALSE)</f>
        <v>25.9</v>
      </c>
      <c r="G1205" s="3" t="str">
        <f t="shared" si="93"/>
        <v>25.9s</v>
      </c>
      <c r="H1205" s="3">
        <f t="shared" si="94"/>
        <v>2.6762439403858893E-2</v>
      </c>
      <c r="I1205" s="3">
        <f t="shared" si="95"/>
        <v>0</v>
      </c>
      <c r="J1205" s="3">
        <f t="shared" si="96"/>
        <v>0</v>
      </c>
      <c r="K1205" s="3" t="str">
        <f t="shared" si="97"/>
        <v>Nd154</v>
      </c>
      <c r="L1205" s="3" cm="1">
        <f t="array" ref="L1205">SUM(($J1205*EXP(-$H1205*12*3600*_xlfn.SEQUENCE(L$1-1))))+$J1205</f>
        <v>0</v>
      </c>
      <c r="M1205" s="3"/>
      <c r="N1205" s="3"/>
    </row>
    <row r="1206" spans="2:14" hidden="1" x14ac:dyDescent="0.2">
      <c r="B1206" s="3">
        <v>61132</v>
      </c>
      <c r="C1206" s="3">
        <v>0</v>
      </c>
      <c r="D1206">
        <v>1203</v>
      </c>
      <c r="E1206" t="str">
        <f>VLOOKUP(B1206,Nuclides!A:F,5,FALSE)</f>
        <v>Pm132</v>
      </c>
      <c r="F1206">
        <f>VLOOKUP(B1206,Nuclides!A:F,4,FALSE)</f>
        <v>6.2</v>
      </c>
      <c r="G1206" s="3" t="str">
        <f t="shared" si="93"/>
        <v>6.2s</v>
      </c>
      <c r="H1206" s="3">
        <f t="shared" si="94"/>
        <v>0.11179793234837827</v>
      </c>
      <c r="I1206" s="3">
        <f t="shared" si="95"/>
        <v>0</v>
      </c>
      <c r="J1206" s="3">
        <f t="shared" si="96"/>
        <v>0</v>
      </c>
      <c r="K1206" s="3" t="str">
        <f t="shared" si="97"/>
        <v>Pm132</v>
      </c>
      <c r="L1206" s="3" cm="1">
        <f t="array" ref="L1206">SUM(($J1206*EXP(-$H1206*12*3600*_xlfn.SEQUENCE(L$1-1))))+$J1206</f>
        <v>0</v>
      </c>
      <c r="M1206" s="3"/>
      <c r="N1206" s="3"/>
    </row>
    <row r="1207" spans="2:14" hidden="1" x14ac:dyDescent="0.2">
      <c r="B1207" s="3">
        <v>61133</v>
      </c>
      <c r="C1207" s="3">
        <v>0</v>
      </c>
      <c r="D1207">
        <v>1204</v>
      </c>
      <c r="E1207" t="str">
        <f>VLOOKUP(B1207,Nuclides!A:F,5,FALSE)</f>
        <v>Pm133</v>
      </c>
      <c r="F1207">
        <f>VLOOKUP(B1207,Nuclides!A:F,4,FALSE)</f>
        <v>13.5</v>
      </c>
      <c r="G1207" s="3" t="str">
        <f t="shared" si="93"/>
        <v>13.5s</v>
      </c>
      <c r="H1207" s="3">
        <f t="shared" si="94"/>
        <v>5.1344235597032988E-2</v>
      </c>
      <c r="I1207" s="3">
        <f t="shared" si="95"/>
        <v>0</v>
      </c>
      <c r="J1207" s="3">
        <f t="shared" si="96"/>
        <v>0</v>
      </c>
      <c r="K1207" s="3" t="str">
        <f t="shared" si="97"/>
        <v>Pm133</v>
      </c>
      <c r="L1207" s="3" cm="1">
        <f t="array" ref="L1207">SUM(($J1207*EXP(-$H1207*12*3600*_xlfn.SEQUENCE(L$1-1))))+$J1207</f>
        <v>0</v>
      </c>
      <c r="M1207" s="3"/>
      <c r="N1207" s="3"/>
    </row>
    <row r="1208" spans="2:14" hidden="1" x14ac:dyDescent="0.2">
      <c r="B1208" s="3">
        <v>61134</v>
      </c>
      <c r="C1208" s="3">
        <v>0</v>
      </c>
      <c r="D1208">
        <v>1205</v>
      </c>
      <c r="E1208" t="str">
        <f>VLOOKUP(B1208,Nuclides!A:F,5,FALSE)</f>
        <v>Pm134</v>
      </c>
      <c r="F1208">
        <f>VLOOKUP(B1208,Nuclides!A:F,4,FALSE)</f>
        <v>5</v>
      </c>
      <c r="G1208" s="3" t="str">
        <f t="shared" si="93"/>
        <v>5s</v>
      </c>
      <c r="H1208" s="3">
        <f t="shared" si="94"/>
        <v>0.13862943611198905</v>
      </c>
      <c r="I1208" s="3">
        <f t="shared" si="95"/>
        <v>0</v>
      </c>
      <c r="J1208" s="3">
        <f t="shared" si="96"/>
        <v>0</v>
      </c>
      <c r="K1208" s="3" t="str">
        <f t="shared" si="97"/>
        <v>Pm134</v>
      </c>
      <c r="L1208" s="3" cm="1">
        <f t="array" ref="L1208">SUM(($J1208*EXP(-$H1208*12*3600*_xlfn.SEQUENCE(L$1-1))))+$J1208</f>
        <v>0</v>
      </c>
      <c r="M1208" s="3"/>
      <c r="N1208" s="3"/>
    </row>
    <row r="1209" spans="2:14" hidden="1" x14ac:dyDescent="0.2">
      <c r="B1209" s="3">
        <v>61135</v>
      </c>
      <c r="C1209" s="3">
        <v>0</v>
      </c>
      <c r="D1209">
        <v>1206</v>
      </c>
      <c r="E1209" t="str">
        <f>VLOOKUP(B1209,Nuclides!A:F,5,FALSE)</f>
        <v>Pm135</v>
      </c>
      <c r="F1209">
        <f>VLOOKUP(B1209,Nuclides!A:F,4,FALSE)</f>
        <v>49</v>
      </c>
      <c r="G1209" s="3" t="str">
        <f t="shared" si="93"/>
        <v>49s</v>
      </c>
      <c r="H1209" s="3">
        <f t="shared" si="94"/>
        <v>1.4145860827753985E-2</v>
      </c>
      <c r="I1209" s="3">
        <f t="shared" si="95"/>
        <v>0</v>
      </c>
      <c r="J1209" s="3">
        <f t="shared" si="96"/>
        <v>0</v>
      </c>
      <c r="K1209" s="3" t="str">
        <f t="shared" si="97"/>
        <v>Pm135</v>
      </c>
      <c r="L1209" s="3" cm="1">
        <f t="array" ref="L1209">SUM(($J1209*EXP(-$H1209*12*3600*_xlfn.SEQUENCE(L$1-1))))+$J1209</f>
        <v>0</v>
      </c>
      <c r="M1209" s="3"/>
      <c r="N1209" s="3"/>
    </row>
    <row r="1210" spans="2:14" hidden="1" x14ac:dyDescent="0.2">
      <c r="B1210" s="3">
        <v>61136</v>
      </c>
      <c r="C1210" s="3">
        <v>0</v>
      </c>
      <c r="D1210">
        <v>1207</v>
      </c>
      <c r="E1210" t="str">
        <f>VLOOKUP(B1210,Nuclides!A:F,5,FALSE)</f>
        <v>Pm136</v>
      </c>
      <c r="F1210">
        <f>VLOOKUP(B1210,Nuclides!A:F,4,FALSE)</f>
        <v>107</v>
      </c>
      <c r="G1210" s="3" t="str">
        <f t="shared" si="93"/>
        <v>1.78min</v>
      </c>
      <c r="H1210" s="3">
        <f t="shared" si="94"/>
        <v>6.4780110332705171E-3</v>
      </c>
      <c r="I1210" s="3">
        <f t="shared" si="95"/>
        <v>0</v>
      </c>
      <c r="J1210" s="3">
        <f t="shared" si="96"/>
        <v>0</v>
      </c>
      <c r="K1210" s="3" t="str">
        <f t="shared" si="97"/>
        <v>Pm136</v>
      </c>
      <c r="L1210" s="3" cm="1">
        <f t="array" ref="L1210">SUM(($J1210*EXP(-$H1210*12*3600*_xlfn.SEQUENCE(L$1-1))))+$J1210</f>
        <v>0</v>
      </c>
      <c r="M1210" s="3"/>
      <c r="N1210" s="3"/>
    </row>
    <row r="1211" spans="2:14" hidden="1" x14ac:dyDescent="0.2">
      <c r="B1211" s="3">
        <v>61137</v>
      </c>
      <c r="C1211" s="3">
        <v>0</v>
      </c>
      <c r="D1211">
        <v>1208</v>
      </c>
      <c r="E1211" t="str">
        <f>VLOOKUP(B1211,Nuclides!A:F,5,FALSE)</f>
        <v>Pm137</v>
      </c>
      <c r="F1211">
        <f>VLOOKUP(B1211,Nuclides!A:F,4,FALSE)</f>
        <v>144</v>
      </c>
      <c r="G1211" s="3" t="str">
        <f t="shared" si="93"/>
        <v>2.4min</v>
      </c>
      <c r="H1211" s="3">
        <f t="shared" si="94"/>
        <v>4.8135220872218424E-3</v>
      </c>
      <c r="I1211" s="3">
        <f t="shared" si="95"/>
        <v>0</v>
      </c>
      <c r="J1211" s="3">
        <f t="shared" si="96"/>
        <v>0</v>
      </c>
      <c r="K1211" s="3" t="str">
        <f t="shared" si="97"/>
        <v>Pm137</v>
      </c>
      <c r="L1211" s="3" cm="1">
        <f t="array" ref="L1211">SUM(($J1211*EXP(-$H1211*12*3600*_xlfn.SEQUENCE(L$1-1))))+$J1211</f>
        <v>0</v>
      </c>
      <c r="M1211" s="3"/>
      <c r="N1211" s="3"/>
    </row>
    <row r="1212" spans="2:14" hidden="1" x14ac:dyDescent="0.2">
      <c r="B1212" s="3">
        <v>61138</v>
      </c>
      <c r="C1212" s="3">
        <v>0</v>
      </c>
      <c r="D1212">
        <v>1209</v>
      </c>
      <c r="E1212" t="str">
        <f>VLOOKUP(B1212,Nuclides!A:F,5,FALSE)</f>
        <v>Pm138</v>
      </c>
      <c r="F1212">
        <f>VLOOKUP(B1212,Nuclides!A:F,4,FALSE)</f>
        <v>10</v>
      </c>
      <c r="G1212" s="3" t="str">
        <f t="shared" si="93"/>
        <v>10s</v>
      </c>
      <c r="H1212" s="3">
        <f t="shared" si="94"/>
        <v>6.9314718055994526E-2</v>
      </c>
      <c r="I1212" s="3">
        <f t="shared" si="95"/>
        <v>0</v>
      </c>
      <c r="J1212" s="3">
        <f t="shared" si="96"/>
        <v>0</v>
      </c>
      <c r="K1212" s="3" t="str">
        <f t="shared" si="97"/>
        <v>Pm138</v>
      </c>
      <c r="L1212" s="3" cm="1">
        <f t="array" ref="L1212">SUM(($J1212*EXP(-$H1212*12*3600*_xlfn.SEQUENCE(L$1-1))))+$J1212</f>
        <v>0</v>
      </c>
      <c r="M1212" s="3"/>
      <c r="N1212" s="3"/>
    </row>
    <row r="1213" spans="2:14" hidden="1" x14ac:dyDescent="0.2">
      <c r="B1213" s="3">
        <v>61139</v>
      </c>
      <c r="C1213" s="3">
        <v>0</v>
      </c>
      <c r="D1213">
        <v>1210</v>
      </c>
      <c r="E1213" t="str">
        <f>VLOOKUP(B1213,Nuclides!A:F,5,FALSE)</f>
        <v>Pm139</v>
      </c>
      <c r="F1213">
        <f>VLOOKUP(B1213,Nuclides!A:F,4,FALSE)</f>
        <v>249</v>
      </c>
      <c r="G1213" s="3" t="str">
        <f t="shared" si="93"/>
        <v>4.15min</v>
      </c>
      <c r="H1213" s="3">
        <f t="shared" si="94"/>
        <v>2.7837236167066078E-3</v>
      </c>
      <c r="I1213" s="3">
        <f t="shared" si="95"/>
        <v>0</v>
      </c>
      <c r="J1213" s="3">
        <f t="shared" si="96"/>
        <v>0</v>
      </c>
      <c r="K1213" s="3" t="str">
        <f t="shared" si="97"/>
        <v>Pm139</v>
      </c>
      <c r="L1213" s="3" cm="1">
        <f t="array" ref="L1213">SUM(($J1213*EXP(-$H1213*12*3600*_xlfn.SEQUENCE(L$1-1))))+$J1213</f>
        <v>0</v>
      </c>
      <c r="M1213" s="3"/>
      <c r="N1213" s="3"/>
    </row>
    <row r="1214" spans="2:14" hidden="1" x14ac:dyDescent="0.2">
      <c r="B1214" s="3">
        <v>61140</v>
      </c>
      <c r="C1214" s="3">
        <v>0</v>
      </c>
      <c r="D1214">
        <v>1211</v>
      </c>
      <c r="E1214" t="str">
        <f>VLOOKUP(B1214,Nuclides!A:F,5,FALSE)</f>
        <v>Pm140</v>
      </c>
      <c r="F1214">
        <f>VLOOKUP(B1214,Nuclides!A:F,4,FALSE)</f>
        <v>9.1999999999999993</v>
      </c>
      <c r="G1214" s="3" t="str">
        <f t="shared" si="93"/>
        <v>9.2s</v>
      </c>
      <c r="H1214" s="3">
        <f t="shared" si="94"/>
        <v>7.5342084843472323E-2</v>
      </c>
      <c r="I1214" s="3">
        <f t="shared" si="95"/>
        <v>0</v>
      </c>
      <c r="J1214" s="3">
        <f t="shared" si="96"/>
        <v>0</v>
      </c>
      <c r="K1214" s="3" t="str">
        <f t="shared" si="97"/>
        <v>Pm140</v>
      </c>
      <c r="L1214" s="3" cm="1">
        <f t="array" ref="L1214">SUM(($J1214*EXP(-$H1214*12*3600*_xlfn.SEQUENCE(L$1-1))))+$J1214</f>
        <v>0</v>
      </c>
      <c r="M1214" s="3"/>
      <c r="N1214" s="3"/>
    </row>
    <row r="1215" spans="2:14" hidden="1" x14ac:dyDescent="0.2">
      <c r="B1215" s="3">
        <v>61141</v>
      </c>
      <c r="C1215" s="3">
        <v>0</v>
      </c>
      <c r="D1215">
        <v>1212</v>
      </c>
      <c r="E1215" t="str">
        <f>VLOOKUP(B1215,Nuclides!A:F,5,FALSE)</f>
        <v>Pm141</v>
      </c>
      <c r="F1215">
        <f>VLOOKUP(B1215,Nuclides!A:F,4,FALSE)</f>
        <v>1254</v>
      </c>
      <c r="G1215" s="3" t="str">
        <f t="shared" si="93"/>
        <v>20.9min</v>
      </c>
      <c r="H1215" s="3">
        <f t="shared" si="94"/>
        <v>5.5274894781494842E-4</v>
      </c>
      <c r="I1215" s="3">
        <f t="shared" si="95"/>
        <v>0</v>
      </c>
      <c r="J1215" s="3">
        <f t="shared" si="96"/>
        <v>0</v>
      </c>
      <c r="K1215" s="3" t="str">
        <f t="shared" si="97"/>
        <v>Pm141</v>
      </c>
      <c r="L1215" s="3" cm="1">
        <f t="array" ref="L1215">SUM(($J1215*EXP(-$H1215*12*3600*_xlfn.SEQUENCE(L$1-1))))+$J1215</f>
        <v>0</v>
      </c>
      <c r="M1215" s="3"/>
      <c r="N1215" s="3"/>
    </row>
    <row r="1216" spans="2:14" hidden="1" x14ac:dyDescent="0.2">
      <c r="B1216" s="3">
        <v>61142</v>
      </c>
      <c r="C1216" s="3">
        <v>0</v>
      </c>
      <c r="D1216">
        <v>1213</v>
      </c>
      <c r="E1216" t="str">
        <f>VLOOKUP(B1216,Nuclides!A:F,5,FALSE)</f>
        <v>Pm142</v>
      </c>
      <c r="F1216">
        <f>VLOOKUP(B1216,Nuclides!A:F,4,FALSE)</f>
        <v>40.5</v>
      </c>
      <c r="G1216" s="3" t="str">
        <f t="shared" si="93"/>
        <v>40.5s</v>
      </c>
      <c r="H1216" s="3">
        <f t="shared" si="94"/>
        <v>1.7114745199010996E-2</v>
      </c>
      <c r="I1216" s="3">
        <f t="shared" si="95"/>
        <v>0</v>
      </c>
      <c r="J1216" s="3">
        <f t="shared" si="96"/>
        <v>0</v>
      </c>
      <c r="K1216" s="3" t="str">
        <f t="shared" si="97"/>
        <v>Pm142</v>
      </c>
      <c r="L1216" s="3" cm="1">
        <f t="array" ref="L1216">SUM(($J1216*EXP(-$H1216*12*3600*_xlfn.SEQUENCE(L$1-1))))+$J1216</f>
        <v>0</v>
      </c>
      <c r="M1216" s="3"/>
      <c r="N1216" s="3"/>
    </row>
    <row r="1217" spans="2:14" hidden="1" x14ac:dyDescent="0.2">
      <c r="B1217" s="3">
        <v>61143</v>
      </c>
      <c r="C1217" s="3">
        <v>0</v>
      </c>
      <c r="D1217">
        <v>1214</v>
      </c>
      <c r="E1217" t="str">
        <f>VLOOKUP(B1217,Nuclides!A:F,5,FALSE)</f>
        <v>Pm143</v>
      </c>
      <c r="F1217">
        <f>VLOOKUP(B1217,Nuclides!A:F,4,FALSE)</f>
        <v>22896000</v>
      </c>
      <c r="G1217" s="3" t="str">
        <f t="shared" si="93"/>
        <v>265d</v>
      </c>
      <c r="H1217" s="3">
        <f t="shared" si="94"/>
        <v>3.02737238190053E-8</v>
      </c>
      <c r="I1217" s="3">
        <f t="shared" si="95"/>
        <v>0</v>
      </c>
      <c r="J1217" s="3">
        <f t="shared" si="96"/>
        <v>0</v>
      </c>
      <c r="K1217" s="3" t="str">
        <f t="shared" si="97"/>
        <v>Pm143</v>
      </c>
      <c r="L1217" s="3" cm="1">
        <f t="array" ref="L1217">SUM(($J1217*EXP(-$H1217*12*3600*_xlfn.SEQUENCE(L$1-1))))+$J1217</f>
        <v>0</v>
      </c>
      <c r="M1217" s="3"/>
      <c r="N1217" s="3"/>
    </row>
    <row r="1218" spans="2:14" hidden="1" x14ac:dyDescent="0.2">
      <c r="B1218" s="3">
        <v>61144</v>
      </c>
      <c r="C1218" s="3">
        <v>0</v>
      </c>
      <c r="D1218">
        <v>1215</v>
      </c>
      <c r="E1218" t="str">
        <f>VLOOKUP(B1218,Nuclides!A:F,5,FALSE)</f>
        <v>Pm144</v>
      </c>
      <c r="F1218">
        <f>VLOOKUP(B1218,Nuclides!A:F,4,FALSE)</f>
        <v>31363200</v>
      </c>
      <c r="G1218" s="3" t="str">
        <f t="shared" si="93"/>
        <v>363d</v>
      </c>
      <c r="H1218" s="3">
        <f t="shared" si="94"/>
        <v>2.2100652374755932E-8</v>
      </c>
      <c r="I1218" s="3">
        <f t="shared" si="95"/>
        <v>0</v>
      </c>
      <c r="J1218" s="3">
        <f t="shared" si="96"/>
        <v>0</v>
      </c>
      <c r="K1218" s="3" t="str">
        <f t="shared" si="97"/>
        <v>Pm144</v>
      </c>
      <c r="L1218" s="3" cm="1">
        <f t="array" ref="L1218">SUM(($J1218*EXP(-$H1218*12*3600*_xlfn.SEQUENCE(L$1-1))))+$J1218</f>
        <v>0</v>
      </c>
      <c r="M1218" s="3"/>
      <c r="N1218" s="3"/>
    </row>
    <row r="1219" spans="2:14" hidden="1" x14ac:dyDescent="0.2">
      <c r="B1219" s="3">
        <v>61145</v>
      </c>
      <c r="C1219" s="3">
        <v>0</v>
      </c>
      <c r="D1219">
        <v>1216</v>
      </c>
      <c r="E1219" t="str">
        <f>VLOOKUP(B1219,Nuclides!A:F,5,FALSE)</f>
        <v>Pm145</v>
      </c>
      <c r="F1219">
        <f>VLOOKUP(B1219,Nuclides!A:F,4,FALSE)</f>
        <v>558569520</v>
      </c>
      <c r="G1219" s="3" t="str">
        <f t="shared" si="93"/>
        <v>17.71y</v>
      </c>
      <c r="H1219" s="3">
        <f t="shared" si="94"/>
        <v>1.2409326963632839E-9</v>
      </c>
      <c r="I1219" s="3">
        <f t="shared" si="95"/>
        <v>0</v>
      </c>
      <c r="J1219" s="3">
        <f t="shared" si="96"/>
        <v>0</v>
      </c>
      <c r="K1219" s="3" t="str">
        <f t="shared" si="97"/>
        <v>Pm145</v>
      </c>
      <c r="L1219" s="3" cm="1">
        <f t="array" ref="L1219">SUM(($J1219*EXP(-$H1219*12*3600*_xlfn.SEQUENCE(L$1-1))))+$J1219</f>
        <v>0</v>
      </c>
      <c r="M1219" s="3"/>
      <c r="N1219" s="3"/>
    </row>
    <row r="1220" spans="2:14" hidden="1" x14ac:dyDescent="0.2">
      <c r="B1220" s="3">
        <v>61146</v>
      </c>
      <c r="C1220" s="3">
        <v>0</v>
      </c>
      <c r="D1220">
        <v>1217</v>
      </c>
      <c r="E1220" t="str">
        <f>VLOOKUP(B1220,Nuclides!A:F,5,FALSE)</f>
        <v>Pm146</v>
      </c>
      <c r="F1220">
        <f>VLOOKUP(B1220,Nuclides!A:F,4,FALSE)</f>
        <v>174513528</v>
      </c>
      <c r="G1220" s="3" t="str">
        <f t="shared" ref="G1220:G1283" si="98">IF(F1220="STABLE", "STABLE", IF(F1220&lt;60, F1220&amp;"s", IF(F1220&lt;3600, ROUND(F1220/60,2)&amp;"min", IF(F1220&lt;86400, ROUND(F1220/3600,2)&amp;"h", IF(F1220&lt;31536000, ROUND(F1220/86400,2)&amp;"d", ROUND(F1220/31536000,2)&amp;"y")))))</f>
        <v>5.53y</v>
      </c>
      <c r="H1220" s="3">
        <f t="shared" ref="H1220:H1283" si="99">LN(2)/F1220</f>
        <v>3.9718822288662075E-9</v>
      </c>
      <c r="I1220" s="3">
        <f t="shared" ref="I1220:I1283" si="100">100*6240000000000*C1220*(1-EXP(-H1220*2*3600))</f>
        <v>0</v>
      </c>
      <c r="J1220" s="3">
        <f t="shared" ref="J1220:J1283" si="101">I1220*EXP(-H1220*10*3600)</f>
        <v>0</v>
      </c>
      <c r="K1220" s="3" t="str">
        <f t="shared" ref="K1220:K1283" si="102">E1220</f>
        <v>Pm146</v>
      </c>
      <c r="L1220" s="3" cm="1">
        <f t="array" ref="L1220">SUM(($J1220*EXP(-$H1220*12*3600*_xlfn.SEQUENCE(L$1-1))))+$J1220</f>
        <v>0</v>
      </c>
      <c r="M1220" s="3"/>
      <c r="N1220" s="3"/>
    </row>
    <row r="1221" spans="2:14" hidden="1" x14ac:dyDescent="0.2">
      <c r="B1221" s="3">
        <v>61147</v>
      </c>
      <c r="C1221" s="3">
        <v>0</v>
      </c>
      <c r="D1221">
        <v>1218</v>
      </c>
      <c r="E1221" t="str">
        <f>VLOOKUP(B1221,Nuclides!A:F,5,FALSE)</f>
        <v>Pm147</v>
      </c>
      <c r="F1221">
        <f>VLOOKUP(B1221,Nuclides!A:F,4,FALSE)</f>
        <v>82788207.840000004</v>
      </c>
      <c r="G1221" s="3" t="str">
        <f t="shared" si="98"/>
        <v>2.63y</v>
      </c>
      <c r="H1221" s="3">
        <f t="shared" si="99"/>
        <v>8.3725351550011917E-9</v>
      </c>
      <c r="I1221" s="3">
        <f t="shared" si="100"/>
        <v>0</v>
      </c>
      <c r="J1221" s="3">
        <f t="shared" si="101"/>
        <v>0</v>
      </c>
      <c r="K1221" s="3" t="str">
        <f t="shared" si="102"/>
        <v>Pm147</v>
      </c>
      <c r="L1221" s="3" cm="1">
        <f t="array" ref="L1221">SUM(($J1221*EXP(-$H1221*12*3600*_xlfn.SEQUENCE(L$1-1))))+$J1221</f>
        <v>0</v>
      </c>
      <c r="M1221" s="3"/>
      <c r="N1221" s="3"/>
    </row>
    <row r="1222" spans="2:14" hidden="1" x14ac:dyDescent="0.2">
      <c r="B1222" s="3">
        <v>61148</v>
      </c>
      <c r="C1222" s="3">
        <v>0</v>
      </c>
      <c r="D1222">
        <v>1219</v>
      </c>
      <c r="E1222" t="str">
        <f>VLOOKUP(B1222,Nuclides!A:F,5,FALSE)</f>
        <v>Pm148</v>
      </c>
      <c r="F1222">
        <f>VLOOKUP(B1222,Nuclides!A:F,4,FALSE)</f>
        <v>463795.20000000001</v>
      </c>
      <c r="G1222" s="3" t="str">
        <f t="shared" si="98"/>
        <v>5.37d</v>
      </c>
      <c r="H1222" s="3">
        <f t="shared" si="99"/>
        <v>1.4945113286207905E-6</v>
      </c>
      <c r="I1222" s="3">
        <f t="shared" si="100"/>
        <v>0</v>
      </c>
      <c r="J1222" s="3">
        <f t="shared" si="101"/>
        <v>0</v>
      </c>
      <c r="K1222" s="3" t="str">
        <f t="shared" si="102"/>
        <v>Pm148</v>
      </c>
      <c r="L1222" s="3" cm="1">
        <f t="array" ref="L1222">SUM(($J1222*EXP(-$H1222*12*3600*_xlfn.SEQUENCE(L$1-1))))+$J1222</f>
        <v>0</v>
      </c>
      <c r="M1222" s="3"/>
      <c r="N1222" s="3"/>
    </row>
    <row r="1223" spans="2:14" hidden="1" x14ac:dyDescent="0.2">
      <c r="B1223" s="3">
        <v>61149</v>
      </c>
      <c r="C1223" s="3">
        <v>0</v>
      </c>
      <c r="D1223">
        <v>1220</v>
      </c>
      <c r="E1223" t="str">
        <f>VLOOKUP(B1223,Nuclides!A:F,5,FALSE)</f>
        <v>Pm149</v>
      </c>
      <c r="F1223">
        <f>VLOOKUP(B1223,Nuclides!A:F,4,FALSE)</f>
        <v>191088</v>
      </c>
      <c r="G1223" s="3" t="str">
        <f t="shared" si="98"/>
        <v>2.21d</v>
      </c>
      <c r="H1223" s="3">
        <f t="shared" si="99"/>
        <v>3.6273715804233928E-6</v>
      </c>
      <c r="I1223" s="3">
        <f t="shared" si="100"/>
        <v>0</v>
      </c>
      <c r="J1223" s="3">
        <f t="shared" si="101"/>
        <v>0</v>
      </c>
      <c r="K1223" s="3" t="str">
        <f t="shared" si="102"/>
        <v>Pm149</v>
      </c>
      <c r="L1223" s="3" cm="1">
        <f t="array" ref="L1223">SUM(($J1223*EXP(-$H1223*12*3600*_xlfn.SEQUENCE(L$1-1))))+$J1223</f>
        <v>0</v>
      </c>
      <c r="M1223" s="3"/>
      <c r="N1223" s="3"/>
    </row>
    <row r="1224" spans="2:14" hidden="1" x14ac:dyDescent="0.2">
      <c r="B1224" s="3">
        <v>61150</v>
      </c>
      <c r="C1224" s="3">
        <v>0</v>
      </c>
      <c r="D1224">
        <v>1221</v>
      </c>
      <c r="E1224" t="str">
        <f>VLOOKUP(B1224,Nuclides!A:F,5,FALSE)</f>
        <v>Pm150</v>
      </c>
      <c r="F1224">
        <f>VLOOKUP(B1224,Nuclides!A:F,4,FALSE)</f>
        <v>9712.7999999999993</v>
      </c>
      <c r="G1224" s="3" t="str">
        <f t="shared" si="98"/>
        <v>2.7h</v>
      </c>
      <c r="H1224" s="3">
        <f t="shared" si="99"/>
        <v>7.1364300774230435E-5</v>
      </c>
      <c r="I1224" s="3">
        <f t="shared" si="100"/>
        <v>0</v>
      </c>
      <c r="J1224" s="3">
        <f t="shared" si="101"/>
        <v>0</v>
      </c>
      <c r="K1224" s="3" t="str">
        <f t="shared" si="102"/>
        <v>Pm150</v>
      </c>
      <c r="L1224" s="3" cm="1">
        <f t="array" ref="L1224">SUM(($J1224*EXP(-$H1224*12*3600*_xlfn.SEQUENCE(L$1-1))))+$J1224</f>
        <v>0</v>
      </c>
      <c r="M1224" s="3"/>
      <c r="N1224" s="3"/>
    </row>
    <row r="1225" spans="2:14" hidden="1" x14ac:dyDescent="0.2">
      <c r="B1225" s="3">
        <v>61151</v>
      </c>
      <c r="C1225" s="3">
        <v>0</v>
      </c>
      <c r="D1225">
        <v>1222</v>
      </c>
      <c r="E1225" t="str">
        <f>VLOOKUP(B1225,Nuclides!A:F,5,FALSE)</f>
        <v>Pm151</v>
      </c>
      <c r="F1225">
        <f>VLOOKUP(B1225,Nuclides!A:F,4,FALSE)</f>
        <v>102240</v>
      </c>
      <c r="G1225" s="3" t="str">
        <f t="shared" si="98"/>
        <v>1.18d</v>
      </c>
      <c r="H1225" s="3">
        <f t="shared" si="99"/>
        <v>6.7796085735518902E-6</v>
      </c>
      <c r="I1225" s="3">
        <f t="shared" si="100"/>
        <v>0</v>
      </c>
      <c r="J1225" s="3">
        <f t="shared" si="101"/>
        <v>0</v>
      </c>
      <c r="K1225" s="3" t="str">
        <f t="shared" si="102"/>
        <v>Pm151</v>
      </c>
      <c r="L1225" s="3" cm="1">
        <f t="array" ref="L1225">SUM(($J1225*EXP(-$H1225*12*3600*_xlfn.SEQUENCE(L$1-1))))+$J1225</f>
        <v>0</v>
      </c>
      <c r="M1225" s="3"/>
      <c r="N1225" s="3"/>
    </row>
    <row r="1226" spans="2:14" hidden="1" x14ac:dyDescent="0.2">
      <c r="B1226" s="3">
        <v>61152</v>
      </c>
      <c r="C1226" s="3">
        <v>0</v>
      </c>
      <c r="D1226">
        <v>1223</v>
      </c>
      <c r="E1226" t="str">
        <f>VLOOKUP(B1226,Nuclides!A:F,5,FALSE)</f>
        <v>Pm152</v>
      </c>
      <c r="F1226">
        <f>VLOOKUP(B1226,Nuclides!A:F,4,FALSE)</f>
        <v>247.2</v>
      </c>
      <c r="G1226" s="3" t="str">
        <f t="shared" si="98"/>
        <v>4.12min</v>
      </c>
      <c r="H1226" s="3">
        <f t="shared" si="99"/>
        <v>2.8039934488670927E-3</v>
      </c>
      <c r="I1226" s="3">
        <f t="shared" si="100"/>
        <v>0</v>
      </c>
      <c r="J1226" s="3">
        <f t="shared" si="101"/>
        <v>0</v>
      </c>
      <c r="K1226" s="3" t="str">
        <f t="shared" si="102"/>
        <v>Pm152</v>
      </c>
      <c r="L1226" s="3" cm="1">
        <f t="array" ref="L1226">SUM(($J1226*EXP(-$H1226*12*3600*_xlfn.SEQUENCE(L$1-1))))+$J1226</f>
        <v>0</v>
      </c>
      <c r="M1226" s="3"/>
      <c r="N1226" s="3"/>
    </row>
    <row r="1227" spans="2:14" hidden="1" x14ac:dyDescent="0.2">
      <c r="B1227" s="3">
        <v>61153</v>
      </c>
      <c r="C1227" s="3">
        <v>0</v>
      </c>
      <c r="D1227">
        <v>1224</v>
      </c>
      <c r="E1227" t="str">
        <f>VLOOKUP(B1227,Nuclides!A:F,5,FALSE)</f>
        <v>Pm153</v>
      </c>
      <c r="F1227">
        <f>VLOOKUP(B1227,Nuclides!A:F,4,FALSE)</f>
        <v>315</v>
      </c>
      <c r="G1227" s="3" t="str">
        <f t="shared" si="98"/>
        <v>5.25min</v>
      </c>
      <c r="H1227" s="3">
        <f t="shared" si="99"/>
        <v>2.2004672398728423E-3</v>
      </c>
      <c r="I1227" s="3">
        <f t="shared" si="100"/>
        <v>0</v>
      </c>
      <c r="J1227" s="3">
        <f t="shared" si="101"/>
        <v>0</v>
      </c>
      <c r="K1227" s="3" t="str">
        <f t="shared" si="102"/>
        <v>Pm153</v>
      </c>
      <c r="L1227" s="3" cm="1">
        <f t="array" ref="L1227">SUM(($J1227*EXP(-$H1227*12*3600*_xlfn.SEQUENCE(L$1-1))))+$J1227</f>
        <v>0</v>
      </c>
      <c r="M1227" s="3"/>
      <c r="N1227" s="3"/>
    </row>
    <row r="1228" spans="2:14" hidden="1" x14ac:dyDescent="0.2">
      <c r="B1228" s="3">
        <v>61154</v>
      </c>
      <c r="C1228" s="3">
        <v>0</v>
      </c>
      <c r="D1228">
        <v>1225</v>
      </c>
      <c r="E1228" t="str">
        <f>VLOOKUP(B1228,Nuclides!A:F,5,FALSE)</f>
        <v>Pm154</v>
      </c>
      <c r="F1228">
        <f>VLOOKUP(B1228,Nuclides!A:F,4,FALSE)</f>
        <v>160.80000000000001</v>
      </c>
      <c r="G1228" s="3" t="str">
        <f t="shared" si="98"/>
        <v>2.68min</v>
      </c>
      <c r="H1228" s="3">
        <f t="shared" si="99"/>
        <v>4.3106167945270229E-3</v>
      </c>
      <c r="I1228" s="3">
        <f t="shared" si="100"/>
        <v>0</v>
      </c>
      <c r="J1228" s="3">
        <f t="shared" si="101"/>
        <v>0</v>
      </c>
      <c r="K1228" s="3" t="str">
        <f t="shared" si="102"/>
        <v>Pm154</v>
      </c>
      <c r="L1228" s="3" cm="1">
        <f t="array" ref="L1228">SUM(($J1228*EXP(-$H1228*12*3600*_xlfn.SEQUENCE(L$1-1))))+$J1228</f>
        <v>0</v>
      </c>
      <c r="M1228" s="3"/>
      <c r="N1228" s="3"/>
    </row>
    <row r="1229" spans="2:14" hidden="1" x14ac:dyDescent="0.2">
      <c r="B1229" s="3">
        <v>61155</v>
      </c>
      <c r="C1229" s="3">
        <v>0</v>
      </c>
      <c r="D1229">
        <v>1226</v>
      </c>
      <c r="E1229" t="str">
        <f>VLOOKUP(B1229,Nuclides!A:F,5,FALSE)</f>
        <v>Pm155</v>
      </c>
      <c r="F1229">
        <f>VLOOKUP(B1229,Nuclides!A:F,4,FALSE)</f>
        <v>41.5</v>
      </c>
      <c r="G1229" s="3" t="str">
        <f t="shared" si="98"/>
        <v>41.5s</v>
      </c>
      <c r="H1229" s="3">
        <f t="shared" si="99"/>
        <v>1.6702341700239647E-2</v>
      </c>
      <c r="I1229" s="3">
        <f t="shared" si="100"/>
        <v>0</v>
      </c>
      <c r="J1229" s="3">
        <f t="shared" si="101"/>
        <v>0</v>
      </c>
      <c r="K1229" s="3" t="str">
        <f t="shared" si="102"/>
        <v>Pm155</v>
      </c>
      <c r="L1229" s="3" cm="1">
        <f t="array" ref="L1229">SUM(($J1229*EXP(-$H1229*12*3600*_xlfn.SEQUENCE(L$1-1))))+$J1229</f>
        <v>0</v>
      </c>
      <c r="M1229" s="3"/>
      <c r="N1229" s="3"/>
    </row>
    <row r="1230" spans="2:14" hidden="1" x14ac:dyDescent="0.2">
      <c r="B1230" s="3">
        <v>62133</v>
      </c>
      <c r="C1230" s="3">
        <v>0</v>
      </c>
      <c r="D1230">
        <v>1227</v>
      </c>
      <c r="E1230" t="str">
        <f>VLOOKUP(B1230,Nuclides!A:F,5,FALSE)</f>
        <v>Sm133</v>
      </c>
      <c r="F1230">
        <f>VLOOKUP(B1230,Nuclides!A:F,4,FALSE)</f>
        <v>2.89</v>
      </c>
      <c r="G1230" s="3" t="str">
        <f t="shared" si="98"/>
        <v>2.89s</v>
      </c>
      <c r="H1230" s="3">
        <f t="shared" si="99"/>
        <v>0.23984331507264542</v>
      </c>
      <c r="I1230" s="3">
        <f t="shared" si="100"/>
        <v>0</v>
      </c>
      <c r="J1230" s="3">
        <f t="shared" si="101"/>
        <v>0</v>
      </c>
      <c r="K1230" s="3" t="str">
        <f t="shared" si="102"/>
        <v>Sm133</v>
      </c>
      <c r="L1230" s="3" cm="1">
        <f t="array" ref="L1230">SUM(($J1230*EXP(-$H1230*12*3600*_xlfn.SEQUENCE(L$1-1))))+$J1230</f>
        <v>0</v>
      </c>
      <c r="M1230" s="3"/>
      <c r="N1230" s="3"/>
    </row>
    <row r="1231" spans="2:14" hidden="1" x14ac:dyDescent="0.2">
      <c r="B1231" s="3">
        <v>62134</v>
      </c>
      <c r="C1231" s="3">
        <v>0</v>
      </c>
      <c r="D1231">
        <v>1228</v>
      </c>
      <c r="E1231" t="str">
        <f>VLOOKUP(B1231,Nuclides!A:F,5,FALSE)</f>
        <v>Sm134</v>
      </c>
      <c r="F1231">
        <f>VLOOKUP(B1231,Nuclides!A:F,4,FALSE)</f>
        <v>9.5</v>
      </c>
      <c r="G1231" s="3" t="str">
        <f t="shared" si="98"/>
        <v>9.5s</v>
      </c>
      <c r="H1231" s="3">
        <f t="shared" si="99"/>
        <v>7.2962861111573185E-2</v>
      </c>
      <c r="I1231" s="3">
        <f t="shared" si="100"/>
        <v>0</v>
      </c>
      <c r="J1231" s="3">
        <f t="shared" si="101"/>
        <v>0</v>
      </c>
      <c r="K1231" s="3" t="str">
        <f t="shared" si="102"/>
        <v>Sm134</v>
      </c>
      <c r="L1231" s="3" cm="1">
        <f t="array" ref="L1231">SUM(($J1231*EXP(-$H1231*12*3600*_xlfn.SEQUENCE(L$1-1))))+$J1231</f>
        <v>0</v>
      </c>
      <c r="M1231" s="3"/>
      <c r="N1231" s="3"/>
    </row>
    <row r="1232" spans="2:14" hidden="1" x14ac:dyDescent="0.2">
      <c r="B1232" s="3">
        <v>62135</v>
      </c>
      <c r="C1232" s="3">
        <v>0</v>
      </c>
      <c r="D1232">
        <v>1229</v>
      </c>
      <c r="E1232" t="str">
        <f>VLOOKUP(B1232,Nuclides!A:F,5,FALSE)</f>
        <v>Sm135</v>
      </c>
      <c r="F1232">
        <f>VLOOKUP(B1232,Nuclides!A:F,4,FALSE)</f>
        <v>10.3</v>
      </c>
      <c r="G1232" s="3" t="str">
        <f t="shared" si="98"/>
        <v>10.3s</v>
      </c>
      <c r="H1232" s="3">
        <f t="shared" si="99"/>
        <v>6.7295842772810213E-2</v>
      </c>
      <c r="I1232" s="3">
        <f t="shared" si="100"/>
        <v>0</v>
      </c>
      <c r="J1232" s="3">
        <f t="shared" si="101"/>
        <v>0</v>
      </c>
      <c r="K1232" s="3" t="str">
        <f t="shared" si="102"/>
        <v>Sm135</v>
      </c>
      <c r="L1232" s="3" cm="1">
        <f t="array" ref="L1232">SUM(($J1232*EXP(-$H1232*12*3600*_xlfn.SEQUENCE(L$1-1))))+$J1232</f>
        <v>0</v>
      </c>
      <c r="M1232" s="3"/>
      <c r="N1232" s="3"/>
    </row>
    <row r="1233" spans="2:14" hidden="1" x14ac:dyDescent="0.2">
      <c r="B1233" s="3">
        <v>62136</v>
      </c>
      <c r="C1233" s="3">
        <v>0</v>
      </c>
      <c r="D1233">
        <v>1230</v>
      </c>
      <c r="E1233" t="str">
        <f>VLOOKUP(B1233,Nuclides!A:F,5,FALSE)</f>
        <v>Sm136</v>
      </c>
      <c r="F1233">
        <f>VLOOKUP(B1233,Nuclides!A:F,4,FALSE)</f>
        <v>47</v>
      </c>
      <c r="G1233" s="3" t="str">
        <f t="shared" si="98"/>
        <v>47s</v>
      </c>
      <c r="H1233" s="3">
        <f t="shared" si="99"/>
        <v>1.4747812352339261E-2</v>
      </c>
      <c r="I1233" s="3">
        <f t="shared" si="100"/>
        <v>0</v>
      </c>
      <c r="J1233" s="3">
        <f t="shared" si="101"/>
        <v>0</v>
      </c>
      <c r="K1233" s="3" t="str">
        <f t="shared" si="102"/>
        <v>Sm136</v>
      </c>
      <c r="L1233" s="3" cm="1">
        <f t="array" ref="L1233">SUM(($J1233*EXP(-$H1233*12*3600*_xlfn.SEQUENCE(L$1-1))))+$J1233</f>
        <v>0</v>
      </c>
      <c r="M1233" s="3"/>
      <c r="N1233" s="3"/>
    </row>
    <row r="1234" spans="2:14" hidden="1" x14ac:dyDescent="0.2">
      <c r="B1234" s="3">
        <v>62137</v>
      </c>
      <c r="C1234" s="3">
        <v>0</v>
      </c>
      <c r="D1234">
        <v>1231</v>
      </c>
      <c r="E1234" t="str">
        <f>VLOOKUP(B1234,Nuclides!A:F,5,FALSE)</f>
        <v>Sm137</v>
      </c>
      <c r="F1234">
        <f>VLOOKUP(B1234,Nuclides!A:F,4,FALSE)</f>
        <v>45</v>
      </c>
      <c r="G1234" s="3" t="str">
        <f t="shared" si="98"/>
        <v>45s</v>
      </c>
      <c r="H1234" s="3">
        <f t="shared" si="99"/>
        <v>1.5403270679109895E-2</v>
      </c>
      <c r="I1234" s="3">
        <f t="shared" si="100"/>
        <v>0</v>
      </c>
      <c r="J1234" s="3">
        <f t="shared" si="101"/>
        <v>0</v>
      </c>
      <c r="K1234" s="3" t="str">
        <f t="shared" si="102"/>
        <v>Sm137</v>
      </c>
      <c r="L1234" s="3" cm="1">
        <f t="array" ref="L1234">SUM(($J1234*EXP(-$H1234*12*3600*_xlfn.SEQUENCE(L$1-1))))+$J1234</f>
        <v>0</v>
      </c>
      <c r="M1234" s="3"/>
      <c r="N1234" s="3"/>
    </row>
    <row r="1235" spans="2:14" hidden="1" x14ac:dyDescent="0.2">
      <c r="B1235" s="3">
        <v>62138</v>
      </c>
      <c r="C1235" s="3">
        <v>0</v>
      </c>
      <c r="D1235">
        <v>1232</v>
      </c>
      <c r="E1235" t="str">
        <f>VLOOKUP(B1235,Nuclides!A:F,5,FALSE)</f>
        <v>Sm138</v>
      </c>
      <c r="F1235">
        <f>VLOOKUP(B1235,Nuclides!A:F,4,FALSE)</f>
        <v>186</v>
      </c>
      <c r="G1235" s="3" t="str">
        <f t="shared" si="98"/>
        <v>3.1min</v>
      </c>
      <c r="H1235" s="3">
        <f t="shared" si="99"/>
        <v>3.7265977449459425E-3</v>
      </c>
      <c r="I1235" s="3">
        <f t="shared" si="100"/>
        <v>0</v>
      </c>
      <c r="J1235" s="3">
        <f t="shared" si="101"/>
        <v>0</v>
      </c>
      <c r="K1235" s="3" t="str">
        <f t="shared" si="102"/>
        <v>Sm138</v>
      </c>
      <c r="L1235" s="3" cm="1">
        <f t="array" ref="L1235">SUM(($J1235*EXP(-$H1235*12*3600*_xlfn.SEQUENCE(L$1-1))))+$J1235</f>
        <v>0</v>
      </c>
      <c r="M1235" s="3"/>
      <c r="N1235" s="3"/>
    </row>
    <row r="1236" spans="2:14" hidden="1" x14ac:dyDescent="0.2">
      <c r="B1236" s="3">
        <v>62139</v>
      </c>
      <c r="C1236" s="3">
        <v>0</v>
      </c>
      <c r="D1236">
        <v>1233</v>
      </c>
      <c r="E1236" t="str">
        <f>VLOOKUP(B1236,Nuclides!A:F,5,FALSE)</f>
        <v>Sm139</v>
      </c>
      <c r="F1236">
        <f>VLOOKUP(B1236,Nuclides!A:F,4,FALSE)</f>
        <v>154.19999999999999</v>
      </c>
      <c r="G1236" s="3" t="str">
        <f t="shared" si="98"/>
        <v>2.57min</v>
      </c>
      <c r="H1236" s="3">
        <f t="shared" si="99"/>
        <v>4.4951179024639775E-3</v>
      </c>
      <c r="I1236" s="3">
        <f t="shared" si="100"/>
        <v>0</v>
      </c>
      <c r="J1236" s="3">
        <f t="shared" si="101"/>
        <v>0</v>
      </c>
      <c r="K1236" s="3" t="str">
        <f t="shared" si="102"/>
        <v>Sm139</v>
      </c>
      <c r="L1236" s="3" cm="1">
        <f t="array" ref="L1236">SUM(($J1236*EXP(-$H1236*12*3600*_xlfn.SEQUENCE(L$1-1))))+$J1236</f>
        <v>0</v>
      </c>
      <c r="M1236" s="3"/>
      <c r="N1236" s="3"/>
    </row>
    <row r="1237" spans="2:14" hidden="1" x14ac:dyDescent="0.2">
      <c r="B1237" s="3">
        <v>62140</v>
      </c>
      <c r="C1237" s="3">
        <v>0</v>
      </c>
      <c r="D1237">
        <v>1234</v>
      </c>
      <c r="E1237" t="str">
        <f>VLOOKUP(B1237,Nuclides!A:F,5,FALSE)</f>
        <v>Sm140</v>
      </c>
      <c r="F1237">
        <f>VLOOKUP(B1237,Nuclides!A:F,4,FALSE)</f>
        <v>889.2</v>
      </c>
      <c r="G1237" s="3" t="str">
        <f t="shared" si="98"/>
        <v>14.82min</v>
      </c>
      <c r="H1237" s="3">
        <f t="shared" si="99"/>
        <v>7.7951774691851692E-4</v>
      </c>
      <c r="I1237" s="3">
        <f t="shared" si="100"/>
        <v>0</v>
      </c>
      <c r="J1237" s="3">
        <f t="shared" si="101"/>
        <v>0</v>
      </c>
      <c r="K1237" s="3" t="str">
        <f t="shared" si="102"/>
        <v>Sm140</v>
      </c>
      <c r="L1237" s="3" cm="1">
        <f t="array" ref="L1237">SUM(($J1237*EXP(-$H1237*12*3600*_xlfn.SEQUENCE(L$1-1))))+$J1237</f>
        <v>0</v>
      </c>
      <c r="M1237" s="3"/>
      <c r="N1237" s="3"/>
    </row>
    <row r="1238" spans="2:14" hidden="1" x14ac:dyDescent="0.2">
      <c r="B1238" s="3">
        <v>62141</v>
      </c>
      <c r="C1238" s="3">
        <v>0</v>
      </c>
      <c r="D1238">
        <v>1235</v>
      </c>
      <c r="E1238" t="str">
        <f>VLOOKUP(B1238,Nuclides!A:F,5,FALSE)</f>
        <v>Sm141</v>
      </c>
      <c r="F1238">
        <f>VLOOKUP(B1238,Nuclides!A:F,4,FALSE)</f>
        <v>612</v>
      </c>
      <c r="G1238" s="3" t="str">
        <f t="shared" si="98"/>
        <v>10.2min</v>
      </c>
      <c r="H1238" s="3">
        <f t="shared" si="99"/>
        <v>1.1325934322874924E-3</v>
      </c>
      <c r="I1238" s="3">
        <f t="shared" si="100"/>
        <v>0</v>
      </c>
      <c r="J1238" s="3">
        <f t="shared" si="101"/>
        <v>0</v>
      </c>
      <c r="K1238" s="3" t="str">
        <f t="shared" si="102"/>
        <v>Sm141</v>
      </c>
      <c r="L1238" s="3" cm="1">
        <f t="array" ref="L1238">SUM(($J1238*EXP(-$H1238*12*3600*_xlfn.SEQUENCE(L$1-1))))+$J1238</f>
        <v>0</v>
      </c>
      <c r="M1238" s="3"/>
      <c r="N1238" s="3"/>
    </row>
    <row r="1239" spans="2:14" hidden="1" x14ac:dyDescent="0.2">
      <c r="B1239" s="3">
        <v>62142</v>
      </c>
      <c r="C1239" s="3">
        <v>0</v>
      </c>
      <c r="D1239">
        <v>1236</v>
      </c>
      <c r="E1239" t="str">
        <f>VLOOKUP(B1239,Nuclides!A:F,5,FALSE)</f>
        <v>Sm142</v>
      </c>
      <c r="F1239">
        <f>VLOOKUP(B1239,Nuclides!A:F,4,FALSE)</f>
        <v>4349.3999999999996</v>
      </c>
      <c r="G1239" s="3" t="str">
        <f t="shared" si="98"/>
        <v>1.21h</v>
      </c>
      <c r="H1239" s="3">
        <f t="shared" si="99"/>
        <v>1.5936616097851321E-4</v>
      </c>
      <c r="I1239" s="3">
        <f t="shared" si="100"/>
        <v>0</v>
      </c>
      <c r="J1239" s="3">
        <f t="shared" si="101"/>
        <v>0</v>
      </c>
      <c r="K1239" s="3" t="str">
        <f t="shared" si="102"/>
        <v>Sm142</v>
      </c>
      <c r="L1239" s="3" cm="1">
        <f t="array" ref="L1239">SUM(($J1239*EXP(-$H1239*12*3600*_xlfn.SEQUENCE(L$1-1))))+$J1239</f>
        <v>0</v>
      </c>
      <c r="M1239" s="3"/>
      <c r="N1239" s="3"/>
    </row>
    <row r="1240" spans="2:14" hidden="1" x14ac:dyDescent="0.2">
      <c r="B1240" s="3">
        <v>62143</v>
      </c>
      <c r="C1240" s="3">
        <v>0</v>
      </c>
      <c r="D1240">
        <v>1237</v>
      </c>
      <c r="E1240" t="str">
        <f>VLOOKUP(B1240,Nuclides!A:F,5,FALSE)</f>
        <v>Sm143</v>
      </c>
      <c r="F1240">
        <f>VLOOKUP(B1240,Nuclides!A:F,4,FALSE)</f>
        <v>525</v>
      </c>
      <c r="G1240" s="3" t="str">
        <f t="shared" si="98"/>
        <v>8.75min</v>
      </c>
      <c r="H1240" s="3">
        <f t="shared" si="99"/>
        <v>1.3202803439237053E-3</v>
      </c>
      <c r="I1240" s="3">
        <f t="shared" si="100"/>
        <v>0</v>
      </c>
      <c r="J1240" s="3">
        <f t="shared" si="101"/>
        <v>0</v>
      </c>
      <c r="K1240" s="3" t="str">
        <f t="shared" si="102"/>
        <v>Sm143</v>
      </c>
      <c r="L1240" s="3" cm="1">
        <f t="array" ref="L1240">SUM(($J1240*EXP(-$H1240*12*3600*_xlfn.SEQUENCE(L$1-1))))+$J1240</f>
        <v>0</v>
      </c>
      <c r="M1240" s="3"/>
      <c r="N1240" s="3"/>
    </row>
    <row r="1241" spans="2:14" hidden="1" x14ac:dyDescent="0.2">
      <c r="B1241" s="3">
        <v>62144</v>
      </c>
      <c r="C1241" s="3">
        <v>0</v>
      </c>
      <c r="D1241">
        <v>1238</v>
      </c>
      <c r="E1241" t="str">
        <f>VLOOKUP(B1241,Nuclides!A:F,5,FALSE)</f>
        <v>Sm144</v>
      </c>
      <c r="F1241" t="str">
        <f>VLOOKUP(B1241,Nuclides!A:F,4,FALSE)</f>
        <v>STABLE</v>
      </c>
      <c r="G1241" s="3" t="str">
        <f t="shared" si="98"/>
        <v>STABLE</v>
      </c>
      <c r="H1241" s="3" t="e">
        <f t="shared" si="99"/>
        <v>#VALUE!</v>
      </c>
      <c r="I1241" s="3" t="e">
        <f t="shared" si="100"/>
        <v>#VALUE!</v>
      </c>
      <c r="J1241" s="3" t="e">
        <f t="shared" si="101"/>
        <v>#VALUE!</v>
      </c>
      <c r="K1241" s="3" t="str">
        <f t="shared" si="102"/>
        <v>Sm144</v>
      </c>
      <c r="L1241" s="3" t="e" cm="1">
        <f t="array" ref="L1241">SUM(($J1241*EXP(-$H1241*12*3600*_xlfn.SEQUENCE(L$1-1))))+$J1241</f>
        <v>#VALUE!</v>
      </c>
      <c r="M1241" s="3"/>
      <c r="N1241" s="3"/>
    </row>
    <row r="1242" spans="2:14" hidden="1" x14ac:dyDescent="0.2">
      <c r="B1242" s="3">
        <v>62145</v>
      </c>
      <c r="C1242" s="3">
        <v>0</v>
      </c>
      <c r="D1242">
        <v>1239</v>
      </c>
      <c r="E1242" t="str">
        <f>VLOOKUP(B1242,Nuclides!A:F,5,FALSE)</f>
        <v>Sm145</v>
      </c>
      <c r="F1242">
        <f>VLOOKUP(B1242,Nuclides!A:F,4,FALSE)</f>
        <v>29376000</v>
      </c>
      <c r="G1242" s="3" t="str">
        <f t="shared" si="98"/>
        <v>340d</v>
      </c>
      <c r="H1242" s="3">
        <f t="shared" si="99"/>
        <v>2.3595696505989422E-8</v>
      </c>
      <c r="I1242" s="3">
        <f t="shared" si="100"/>
        <v>0</v>
      </c>
      <c r="J1242" s="3">
        <f t="shared" si="101"/>
        <v>0</v>
      </c>
      <c r="K1242" s="3" t="str">
        <f t="shared" si="102"/>
        <v>Sm145</v>
      </c>
      <c r="L1242" s="3" cm="1">
        <f t="array" ref="L1242">SUM(($J1242*EXP(-$H1242*12*3600*_xlfn.SEQUENCE(L$1-1))))+$J1242</f>
        <v>0</v>
      </c>
      <c r="M1242" s="3"/>
      <c r="N1242" s="3"/>
    </row>
    <row r="1243" spans="2:14" hidden="1" x14ac:dyDescent="0.2">
      <c r="B1243" s="3">
        <v>62146</v>
      </c>
      <c r="C1243" s="3">
        <v>0</v>
      </c>
      <c r="D1243">
        <v>1240</v>
      </c>
      <c r="E1243" t="str">
        <f>VLOOKUP(B1243,Nuclides!A:F,5,FALSE)</f>
        <v>Sm146</v>
      </c>
      <c r="F1243">
        <f>VLOOKUP(B1243,Nuclides!A:F,4,FALSE)</f>
        <v>3250432800000000</v>
      </c>
      <c r="G1243" s="3" t="str">
        <f t="shared" si="98"/>
        <v>103070547.95y</v>
      </c>
      <c r="H1243" s="3">
        <f t="shared" si="99"/>
        <v>2.1324765753038958E-16</v>
      </c>
      <c r="I1243" s="3">
        <f t="shared" si="100"/>
        <v>0</v>
      </c>
      <c r="J1243" s="3">
        <f t="shared" si="101"/>
        <v>0</v>
      </c>
      <c r="K1243" s="3" t="str">
        <f t="shared" si="102"/>
        <v>Sm146</v>
      </c>
      <c r="L1243" s="3" cm="1">
        <f t="array" ref="L1243">SUM(($J1243*EXP(-$H1243*12*3600*_xlfn.SEQUENCE(L$1-1))))+$J1243</f>
        <v>0</v>
      </c>
      <c r="M1243" s="3"/>
      <c r="N1243" s="3"/>
    </row>
    <row r="1244" spans="2:14" hidden="1" x14ac:dyDescent="0.2">
      <c r="B1244" s="3">
        <v>62147</v>
      </c>
      <c r="C1244" s="3">
        <v>0</v>
      </c>
      <c r="D1244">
        <v>1241</v>
      </c>
      <c r="E1244" t="str">
        <f>VLOOKUP(B1244,Nuclides!A:F,5,FALSE)</f>
        <v>Sm147</v>
      </c>
      <c r="F1244">
        <f>VLOOKUP(B1244,Nuclides!A:F,4,FALSE)</f>
        <v>3.3451056E+18</v>
      </c>
      <c r="G1244" s="3" t="str">
        <f t="shared" si="98"/>
        <v>106072602739.73y</v>
      </c>
      <c r="H1244" s="3">
        <f t="shared" si="99"/>
        <v>2.0721234646820874E-19</v>
      </c>
      <c r="I1244" s="3">
        <f t="shared" si="100"/>
        <v>0</v>
      </c>
      <c r="J1244" s="3">
        <f t="shared" si="101"/>
        <v>0</v>
      </c>
      <c r="K1244" s="3" t="str">
        <f t="shared" si="102"/>
        <v>Sm147</v>
      </c>
      <c r="L1244" s="3" cm="1">
        <f t="array" ref="L1244">SUM(($J1244*EXP(-$H1244*12*3600*_xlfn.SEQUENCE(L$1-1))))+$J1244</f>
        <v>0</v>
      </c>
      <c r="M1244" s="3"/>
      <c r="N1244" s="3"/>
    </row>
    <row r="1245" spans="2:14" hidden="1" x14ac:dyDescent="0.2">
      <c r="B1245" s="3">
        <v>62148</v>
      </c>
      <c r="C1245" s="3">
        <v>0</v>
      </c>
      <c r="D1245">
        <v>1242</v>
      </c>
      <c r="E1245" t="str">
        <f>VLOOKUP(B1245,Nuclides!A:F,5,FALSE)</f>
        <v>Sm148</v>
      </c>
      <c r="F1245">
        <f>VLOOKUP(B1245,Nuclides!A:F,4,FALSE)</f>
        <v>2.2090319999999999E+23</v>
      </c>
      <c r="G1245" s="3" t="str">
        <f t="shared" si="98"/>
        <v>7004794520547940y</v>
      </c>
      <c r="H1245" s="3">
        <f t="shared" si="99"/>
        <v>3.1377869608043039E-24</v>
      </c>
      <c r="I1245" s="3">
        <f t="shared" si="100"/>
        <v>0</v>
      </c>
      <c r="J1245" s="3">
        <f t="shared" si="101"/>
        <v>0</v>
      </c>
      <c r="K1245" s="3" t="str">
        <f t="shared" si="102"/>
        <v>Sm148</v>
      </c>
      <c r="L1245" s="3" cm="1">
        <f t="array" ref="L1245">SUM(($J1245*EXP(-$H1245*12*3600*_xlfn.SEQUENCE(L$1-1))))+$J1245</f>
        <v>0</v>
      </c>
      <c r="M1245" s="3"/>
      <c r="N1245" s="3"/>
    </row>
    <row r="1246" spans="2:14" hidden="1" x14ac:dyDescent="0.2">
      <c r="B1246" s="3">
        <v>62149</v>
      </c>
      <c r="C1246" s="3">
        <v>0</v>
      </c>
      <c r="D1246">
        <v>1243</v>
      </c>
      <c r="E1246" t="str">
        <f>VLOOKUP(B1246,Nuclides!A:F,5,FALSE)</f>
        <v>Sm149</v>
      </c>
      <c r="F1246" t="str">
        <f>VLOOKUP(B1246,Nuclides!A:F,4,FALSE)</f>
        <v>STABLE</v>
      </c>
      <c r="G1246" s="3" t="str">
        <f t="shared" si="98"/>
        <v>STABLE</v>
      </c>
      <c r="H1246" s="3" t="e">
        <f t="shared" si="99"/>
        <v>#VALUE!</v>
      </c>
      <c r="I1246" s="3" t="e">
        <f t="shared" si="100"/>
        <v>#VALUE!</v>
      </c>
      <c r="J1246" s="3" t="e">
        <f t="shared" si="101"/>
        <v>#VALUE!</v>
      </c>
      <c r="K1246" s="3" t="str">
        <f t="shared" si="102"/>
        <v>Sm149</v>
      </c>
      <c r="L1246" s="3" t="e" cm="1">
        <f t="array" ref="L1246">SUM(($J1246*EXP(-$H1246*12*3600*_xlfn.SEQUENCE(L$1-1))))+$J1246</f>
        <v>#VALUE!</v>
      </c>
      <c r="M1246" s="3"/>
      <c r="N1246" s="3"/>
    </row>
    <row r="1247" spans="2:14" hidden="1" x14ac:dyDescent="0.2">
      <c r="B1247" s="3">
        <v>62150</v>
      </c>
      <c r="C1247" s="3">
        <v>0</v>
      </c>
      <c r="D1247">
        <v>1244</v>
      </c>
      <c r="E1247" t="str">
        <f>VLOOKUP(B1247,Nuclides!A:F,5,FALSE)</f>
        <v>Sm150</v>
      </c>
      <c r="F1247" t="str">
        <f>VLOOKUP(B1247,Nuclides!A:F,4,FALSE)</f>
        <v>STABLE</v>
      </c>
      <c r="G1247" s="3" t="str">
        <f t="shared" si="98"/>
        <v>STABLE</v>
      </c>
      <c r="H1247" s="3" t="e">
        <f t="shared" si="99"/>
        <v>#VALUE!</v>
      </c>
      <c r="I1247" s="3" t="e">
        <f t="shared" si="100"/>
        <v>#VALUE!</v>
      </c>
      <c r="J1247" s="3" t="e">
        <f t="shared" si="101"/>
        <v>#VALUE!</v>
      </c>
      <c r="K1247" s="3" t="str">
        <f t="shared" si="102"/>
        <v>Sm150</v>
      </c>
      <c r="L1247" s="3" t="e" cm="1">
        <f t="array" ref="L1247">SUM(($J1247*EXP(-$H1247*12*3600*_xlfn.SEQUENCE(L$1-1))))+$J1247</f>
        <v>#VALUE!</v>
      </c>
      <c r="M1247" s="3"/>
      <c r="N1247" s="3"/>
    </row>
    <row r="1248" spans="2:14" hidden="1" x14ac:dyDescent="0.2">
      <c r="B1248" s="3">
        <v>62151</v>
      </c>
      <c r="C1248" s="3">
        <v>0</v>
      </c>
      <c r="D1248">
        <v>1245</v>
      </c>
      <c r="E1248" t="str">
        <f>VLOOKUP(B1248,Nuclides!A:F,5,FALSE)</f>
        <v>Sm151</v>
      </c>
      <c r="F1248">
        <f>VLOOKUP(B1248,Nuclides!A:F,4,FALSE)</f>
        <v>2840184000</v>
      </c>
      <c r="G1248" s="3" t="str">
        <f t="shared" si="98"/>
        <v>90.06y</v>
      </c>
      <c r="H1248" s="3">
        <f t="shared" si="99"/>
        <v>2.4405009695144584E-10</v>
      </c>
      <c r="I1248" s="3">
        <f t="shared" si="100"/>
        <v>0</v>
      </c>
      <c r="J1248" s="3">
        <f t="shared" si="101"/>
        <v>0</v>
      </c>
      <c r="K1248" s="3" t="str">
        <f t="shared" si="102"/>
        <v>Sm151</v>
      </c>
      <c r="L1248" s="3" cm="1">
        <f t="array" ref="L1248">SUM(($J1248*EXP(-$H1248*12*3600*_xlfn.SEQUENCE(L$1-1))))+$J1248</f>
        <v>0</v>
      </c>
      <c r="M1248" s="3"/>
      <c r="N1248" s="3"/>
    </row>
    <row r="1249" spans="2:14" hidden="1" x14ac:dyDescent="0.2">
      <c r="B1249" s="3">
        <v>62152</v>
      </c>
      <c r="C1249" s="3">
        <v>0</v>
      </c>
      <c r="D1249">
        <v>1246</v>
      </c>
      <c r="E1249" t="str">
        <f>VLOOKUP(B1249,Nuclides!A:F,5,FALSE)</f>
        <v>Sm152</v>
      </c>
      <c r="F1249" t="str">
        <f>VLOOKUP(B1249,Nuclides!A:F,4,FALSE)</f>
        <v>STABLE</v>
      </c>
      <c r="G1249" s="3" t="str">
        <f t="shared" si="98"/>
        <v>STABLE</v>
      </c>
      <c r="H1249" s="3" t="e">
        <f t="shared" si="99"/>
        <v>#VALUE!</v>
      </c>
      <c r="I1249" s="3" t="e">
        <f t="shared" si="100"/>
        <v>#VALUE!</v>
      </c>
      <c r="J1249" s="3" t="e">
        <f t="shared" si="101"/>
        <v>#VALUE!</v>
      </c>
      <c r="K1249" s="3" t="str">
        <f t="shared" si="102"/>
        <v>Sm152</v>
      </c>
      <c r="L1249" s="3" t="e" cm="1">
        <f t="array" ref="L1249">SUM(($J1249*EXP(-$H1249*12*3600*_xlfn.SEQUENCE(L$1-1))))+$J1249</f>
        <v>#VALUE!</v>
      </c>
      <c r="M1249" s="3"/>
      <c r="N1249" s="3"/>
    </row>
    <row r="1250" spans="2:14" hidden="1" x14ac:dyDescent="0.2">
      <c r="B1250" s="3">
        <v>62153</v>
      </c>
      <c r="C1250" s="3">
        <v>0</v>
      </c>
      <c r="D1250">
        <v>1247</v>
      </c>
      <c r="E1250" t="str">
        <f>VLOOKUP(B1250,Nuclides!A:F,5,FALSE)</f>
        <v>Sm153</v>
      </c>
      <c r="F1250">
        <f>VLOOKUP(B1250,Nuclides!A:F,4,FALSE)</f>
        <v>166622.39999999999</v>
      </c>
      <c r="G1250" s="3" t="str">
        <f t="shared" si="98"/>
        <v>1.93d</v>
      </c>
      <c r="H1250" s="3">
        <f t="shared" si="99"/>
        <v>4.1599879761661417E-6</v>
      </c>
      <c r="I1250" s="3">
        <f t="shared" si="100"/>
        <v>0</v>
      </c>
      <c r="J1250" s="3">
        <f t="shared" si="101"/>
        <v>0</v>
      </c>
      <c r="K1250" s="3" t="str">
        <f t="shared" si="102"/>
        <v>Sm153</v>
      </c>
      <c r="L1250" s="3" cm="1">
        <f t="array" ref="L1250">SUM(($J1250*EXP(-$H1250*12*3600*_xlfn.SEQUENCE(L$1-1))))+$J1250</f>
        <v>0</v>
      </c>
      <c r="M1250" s="3"/>
      <c r="N1250" s="3"/>
    </row>
    <row r="1251" spans="2:14" hidden="1" x14ac:dyDescent="0.2">
      <c r="B1251" s="3">
        <v>62154</v>
      </c>
      <c r="C1251" s="3">
        <v>0</v>
      </c>
      <c r="D1251">
        <v>1248</v>
      </c>
      <c r="E1251" t="str">
        <f>VLOOKUP(B1251,Nuclides!A:F,5,FALSE)</f>
        <v>Sm154</v>
      </c>
      <c r="F1251" t="str">
        <f>VLOOKUP(B1251,Nuclides!A:F,4,FALSE)</f>
        <v>STABLE</v>
      </c>
      <c r="G1251" s="3" t="str">
        <f t="shared" si="98"/>
        <v>STABLE</v>
      </c>
      <c r="H1251" s="3" t="e">
        <f t="shared" si="99"/>
        <v>#VALUE!</v>
      </c>
      <c r="I1251" s="3" t="e">
        <f t="shared" si="100"/>
        <v>#VALUE!</v>
      </c>
      <c r="J1251" s="3" t="e">
        <f t="shared" si="101"/>
        <v>#VALUE!</v>
      </c>
      <c r="K1251" s="3" t="str">
        <f t="shared" si="102"/>
        <v>Sm154</v>
      </c>
      <c r="L1251" s="3" t="e" cm="1">
        <f t="array" ref="L1251">SUM(($J1251*EXP(-$H1251*12*3600*_xlfn.SEQUENCE(L$1-1))))+$J1251</f>
        <v>#VALUE!</v>
      </c>
      <c r="M1251" s="3"/>
      <c r="N1251" s="3"/>
    </row>
    <row r="1252" spans="2:14" hidden="1" x14ac:dyDescent="0.2">
      <c r="B1252" s="3">
        <v>62155</v>
      </c>
      <c r="C1252" s="3">
        <v>0</v>
      </c>
      <c r="D1252">
        <v>1249</v>
      </c>
      <c r="E1252" t="str">
        <f>VLOOKUP(B1252,Nuclides!A:F,5,FALSE)</f>
        <v>Sm155</v>
      </c>
      <c r="F1252">
        <f>VLOOKUP(B1252,Nuclides!A:F,4,FALSE)</f>
        <v>1338</v>
      </c>
      <c r="G1252" s="3" t="str">
        <f t="shared" si="98"/>
        <v>22.3min</v>
      </c>
      <c r="H1252" s="3">
        <f t="shared" si="99"/>
        <v>5.1804722014943589E-4</v>
      </c>
      <c r="I1252" s="3">
        <f t="shared" si="100"/>
        <v>0</v>
      </c>
      <c r="J1252" s="3">
        <f t="shared" si="101"/>
        <v>0</v>
      </c>
      <c r="K1252" s="3" t="str">
        <f t="shared" si="102"/>
        <v>Sm155</v>
      </c>
      <c r="L1252" s="3" cm="1">
        <f t="array" ref="L1252">SUM(($J1252*EXP(-$H1252*12*3600*_xlfn.SEQUENCE(L$1-1))))+$J1252</f>
        <v>0</v>
      </c>
      <c r="M1252" s="3"/>
      <c r="N1252" s="3"/>
    </row>
    <row r="1253" spans="2:14" hidden="1" x14ac:dyDescent="0.2">
      <c r="B1253" s="3">
        <v>62156</v>
      </c>
      <c r="C1253" s="3">
        <v>0</v>
      </c>
      <c r="D1253">
        <v>1250</v>
      </c>
      <c r="E1253" t="str">
        <f>VLOOKUP(B1253,Nuclides!A:F,5,FALSE)</f>
        <v>Sm156</v>
      </c>
      <c r="F1253">
        <f>VLOOKUP(B1253,Nuclides!A:F,4,FALSE)</f>
        <v>33840</v>
      </c>
      <c r="G1253" s="3" t="str">
        <f t="shared" si="98"/>
        <v>9.4h</v>
      </c>
      <c r="H1253" s="3">
        <f t="shared" si="99"/>
        <v>2.0483072711582307E-5</v>
      </c>
      <c r="I1253" s="3">
        <f t="shared" si="100"/>
        <v>0</v>
      </c>
      <c r="J1253" s="3">
        <f t="shared" si="101"/>
        <v>0</v>
      </c>
      <c r="K1253" s="3" t="str">
        <f t="shared" si="102"/>
        <v>Sm156</v>
      </c>
      <c r="L1253" s="3" cm="1">
        <f t="array" ref="L1253">SUM(($J1253*EXP(-$H1253*12*3600*_xlfn.SEQUENCE(L$1-1))))+$J1253</f>
        <v>0</v>
      </c>
      <c r="M1253" s="3"/>
      <c r="N1253" s="3"/>
    </row>
    <row r="1254" spans="2:14" hidden="1" x14ac:dyDescent="0.2">
      <c r="B1254" s="3">
        <v>62157</v>
      </c>
      <c r="C1254" s="3">
        <v>0</v>
      </c>
      <c r="D1254">
        <v>1251</v>
      </c>
      <c r="E1254" t="str">
        <f>VLOOKUP(B1254,Nuclides!A:F,5,FALSE)</f>
        <v>Sm157</v>
      </c>
      <c r="F1254">
        <f>VLOOKUP(B1254,Nuclides!A:F,4,FALSE)</f>
        <v>481.79999999999899</v>
      </c>
      <c r="G1254" s="3" t="str">
        <f t="shared" si="98"/>
        <v>8.03min</v>
      </c>
      <c r="H1254" s="3">
        <f t="shared" si="99"/>
        <v>1.438661644997814E-3</v>
      </c>
      <c r="I1254" s="3">
        <f t="shared" si="100"/>
        <v>0</v>
      </c>
      <c r="J1254" s="3">
        <f t="shared" si="101"/>
        <v>0</v>
      </c>
      <c r="K1254" s="3" t="str">
        <f t="shared" si="102"/>
        <v>Sm157</v>
      </c>
      <c r="L1254" s="3" cm="1">
        <f t="array" ref="L1254">SUM(($J1254*EXP(-$H1254*12*3600*_xlfn.SEQUENCE(L$1-1))))+$J1254</f>
        <v>0</v>
      </c>
      <c r="M1254" s="3"/>
      <c r="N1254" s="3"/>
    </row>
    <row r="1255" spans="2:14" hidden="1" x14ac:dyDescent="0.2">
      <c r="B1255" s="3">
        <v>62158</v>
      </c>
      <c r="C1255" s="3">
        <v>0</v>
      </c>
      <c r="D1255">
        <v>1252</v>
      </c>
      <c r="E1255" t="str">
        <f>VLOOKUP(B1255,Nuclides!A:F,5,FALSE)</f>
        <v>Sm158</v>
      </c>
      <c r="F1255">
        <f>VLOOKUP(B1255,Nuclides!A:F,4,FALSE)</f>
        <v>318</v>
      </c>
      <c r="G1255" s="3" t="str">
        <f t="shared" si="98"/>
        <v>5.3min</v>
      </c>
      <c r="H1255" s="3">
        <f t="shared" si="99"/>
        <v>2.1797081149683814E-3</v>
      </c>
      <c r="I1255" s="3">
        <f t="shared" si="100"/>
        <v>0</v>
      </c>
      <c r="J1255" s="3">
        <f t="shared" si="101"/>
        <v>0</v>
      </c>
      <c r="K1255" s="3" t="str">
        <f t="shared" si="102"/>
        <v>Sm158</v>
      </c>
      <c r="L1255" s="3" cm="1">
        <f t="array" ref="L1255">SUM(($J1255*EXP(-$H1255*12*3600*_xlfn.SEQUENCE(L$1-1))))+$J1255</f>
        <v>0</v>
      </c>
      <c r="M1255" s="3"/>
      <c r="N1255" s="3"/>
    </row>
    <row r="1256" spans="2:14" hidden="1" x14ac:dyDescent="0.2">
      <c r="B1256" s="3">
        <v>63138</v>
      </c>
      <c r="C1256" s="3">
        <v>0</v>
      </c>
      <c r="D1256">
        <v>1253</v>
      </c>
      <c r="E1256" t="str">
        <f>VLOOKUP(B1256,Nuclides!A:F,5,FALSE)</f>
        <v>Eu138</v>
      </c>
      <c r="F1256">
        <f>VLOOKUP(B1256,Nuclides!A:F,4,FALSE)</f>
        <v>12.1</v>
      </c>
      <c r="G1256" s="3" t="str">
        <f t="shared" si="98"/>
        <v>12.1s</v>
      </c>
      <c r="H1256" s="3">
        <f t="shared" si="99"/>
        <v>5.728489095536738E-2</v>
      </c>
      <c r="I1256" s="3">
        <f t="shared" si="100"/>
        <v>0</v>
      </c>
      <c r="J1256" s="3">
        <f t="shared" si="101"/>
        <v>0</v>
      </c>
      <c r="K1256" s="3" t="str">
        <f t="shared" si="102"/>
        <v>Eu138</v>
      </c>
      <c r="L1256" s="3" cm="1">
        <f t="array" ref="L1256">SUM(($J1256*EXP(-$H1256*12*3600*_xlfn.SEQUENCE(L$1-1))))+$J1256</f>
        <v>0</v>
      </c>
      <c r="M1256" s="3"/>
      <c r="N1256" s="3"/>
    </row>
    <row r="1257" spans="2:14" hidden="1" x14ac:dyDescent="0.2">
      <c r="B1257" s="3">
        <v>63139</v>
      </c>
      <c r="C1257" s="3">
        <v>0</v>
      </c>
      <c r="D1257">
        <v>1254</v>
      </c>
      <c r="E1257" t="str">
        <f>VLOOKUP(B1257,Nuclides!A:F,5,FALSE)</f>
        <v>Eu139</v>
      </c>
      <c r="F1257">
        <f>VLOOKUP(B1257,Nuclides!A:F,4,FALSE)</f>
        <v>17.899999999999999</v>
      </c>
      <c r="G1257" s="3" t="str">
        <f t="shared" si="98"/>
        <v>17.9s</v>
      </c>
      <c r="H1257" s="3">
        <f t="shared" si="99"/>
        <v>3.8723306176533259E-2</v>
      </c>
      <c r="I1257" s="3">
        <f t="shared" si="100"/>
        <v>0</v>
      </c>
      <c r="J1257" s="3">
        <f t="shared" si="101"/>
        <v>0</v>
      </c>
      <c r="K1257" s="3" t="str">
        <f t="shared" si="102"/>
        <v>Eu139</v>
      </c>
      <c r="L1257" s="3" cm="1">
        <f t="array" ref="L1257">SUM(($J1257*EXP(-$H1257*12*3600*_xlfn.SEQUENCE(L$1-1))))+$J1257</f>
        <v>0</v>
      </c>
      <c r="M1257" s="3"/>
      <c r="N1257" s="3"/>
    </row>
    <row r="1258" spans="2:14" hidden="1" x14ac:dyDescent="0.2">
      <c r="B1258" s="3">
        <v>63140</v>
      </c>
      <c r="C1258" s="3">
        <v>0</v>
      </c>
      <c r="D1258">
        <v>1255</v>
      </c>
      <c r="E1258" t="str">
        <f>VLOOKUP(B1258,Nuclides!A:F,5,FALSE)</f>
        <v>Eu140</v>
      </c>
      <c r="F1258">
        <f>VLOOKUP(B1258,Nuclides!A:F,4,FALSE)</f>
        <v>1.51</v>
      </c>
      <c r="G1258" s="3" t="str">
        <f t="shared" si="98"/>
        <v>1.51s</v>
      </c>
      <c r="H1258" s="3">
        <f t="shared" si="99"/>
        <v>0.45903786792049356</v>
      </c>
      <c r="I1258" s="3">
        <f t="shared" si="100"/>
        <v>0</v>
      </c>
      <c r="J1258" s="3">
        <f t="shared" si="101"/>
        <v>0</v>
      </c>
      <c r="K1258" s="3" t="str">
        <f t="shared" si="102"/>
        <v>Eu140</v>
      </c>
      <c r="L1258" s="3" cm="1">
        <f t="array" ref="L1258">SUM(($J1258*EXP(-$H1258*12*3600*_xlfn.SEQUENCE(L$1-1))))+$J1258</f>
        <v>0</v>
      </c>
      <c r="M1258" s="3"/>
      <c r="N1258" s="3"/>
    </row>
    <row r="1259" spans="2:14" hidden="1" x14ac:dyDescent="0.2">
      <c r="B1259" s="3">
        <v>63141</v>
      </c>
      <c r="C1259" s="3">
        <v>0</v>
      </c>
      <c r="D1259">
        <v>1256</v>
      </c>
      <c r="E1259" t="str">
        <f>VLOOKUP(B1259,Nuclides!A:F,5,FALSE)</f>
        <v>Eu141</v>
      </c>
      <c r="F1259">
        <f>VLOOKUP(B1259,Nuclides!A:F,4,FALSE)</f>
        <v>40.700000000000003</v>
      </c>
      <c r="G1259" s="3" t="str">
        <f t="shared" si="98"/>
        <v>40.7s</v>
      </c>
      <c r="H1259" s="3">
        <f t="shared" si="99"/>
        <v>1.7030643257001113E-2</v>
      </c>
      <c r="I1259" s="3">
        <f t="shared" si="100"/>
        <v>0</v>
      </c>
      <c r="J1259" s="3">
        <f t="shared" si="101"/>
        <v>0</v>
      </c>
      <c r="K1259" s="3" t="str">
        <f t="shared" si="102"/>
        <v>Eu141</v>
      </c>
      <c r="L1259" s="3" cm="1">
        <f t="array" ref="L1259">SUM(($J1259*EXP(-$H1259*12*3600*_xlfn.SEQUENCE(L$1-1))))+$J1259</f>
        <v>0</v>
      </c>
      <c r="M1259" s="3"/>
      <c r="N1259" s="3"/>
    </row>
    <row r="1260" spans="2:14" hidden="1" x14ac:dyDescent="0.2">
      <c r="B1260" s="3">
        <v>63142</v>
      </c>
      <c r="C1260" s="3">
        <v>0</v>
      </c>
      <c r="D1260">
        <v>1257</v>
      </c>
      <c r="E1260" t="str">
        <f>VLOOKUP(B1260,Nuclides!A:F,5,FALSE)</f>
        <v>Eu142</v>
      </c>
      <c r="F1260">
        <f>VLOOKUP(B1260,Nuclides!A:F,4,FALSE)</f>
        <v>2.34</v>
      </c>
      <c r="G1260" s="3" t="str">
        <f t="shared" si="98"/>
        <v>2.34s</v>
      </c>
      <c r="H1260" s="3">
        <f t="shared" si="99"/>
        <v>0.29621674382903646</v>
      </c>
      <c r="I1260" s="3">
        <f t="shared" si="100"/>
        <v>0</v>
      </c>
      <c r="J1260" s="3">
        <f t="shared" si="101"/>
        <v>0</v>
      </c>
      <c r="K1260" s="3" t="str">
        <f t="shared" si="102"/>
        <v>Eu142</v>
      </c>
      <c r="L1260" s="3" cm="1">
        <f t="array" ref="L1260">SUM(($J1260*EXP(-$H1260*12*3600*_xlfn.SEQUENCE(L$1-1))))+$J1260</f>
        <v>0</v>
      </c>
      <c r="M1260" s="3"/>
      <c r="N1260" s="3"/>
    </row>
    <row r="1261" spans="2:14" hidden="1" x14ac:dyDescent="0.2">
      <c r="B1261" s="3">
        <v>63143</v>
      </c>
      <c r="C1261" s="3">
        <v>0</v>
      </c>
      <c r="D1261">
        <v>1258</v>
      </c>
      <c r="E1261" t="str">
        <f>VLOOKUP(B1261,Nuclides!A:F,5,FALSE)</f>
        <v>Eu143</v>
      </c>
      <c r="F1261">
        <f>VLOOKUP(B1261,Nuclides!A:F,4,FALSE)</f>
        <v>155.39999999999901</v>
      </c>
      <c r="G1261" s="3" t="str">
        <f t="shared" si="98"/>
        <v>2.59min</v>
      </c>
      <c r="H1261" s="3">
        <f t="shared" si="99"/>
        <v>4.4604065673098433E-3</v>
      </c>
      <c r="I1261" s="3">
        <f t="shared" si="100"/>
        <v>0</v>
      </c>
      <c r="J1261" s="3">
        <f t="shared" si="101"/>
        <v>0</v>
      </c>
      <c r="K1261" s="3" t="str">
        <f t="shared" si="102"/>
        <v>Eu143</v>
      </c>
      <c r="L1261" s="3" cm="1">
        <f t="array" ref="L1261">SUM(($J1261*EXP(-$H1261*12*3600*_xlfn.SEQUENCE(L$1-1))))+$J1261</f>
        <v>0</v>
      </c>
      <c r="M1261" s="3"/>
      <c r="N1261" s="3"/>
    </row>
    <row r="1262" spans="2:14" hidden="1" x14ac:dyDescent="0.2">
      <c r="B1262" s="3">
        <v>63144</v>
      </c>
      <c r="C1262" s="3">
        <v>0</v>
      </c>
      <c r="D1262">
        <v>1259</v>
      </c>
      <c r="E1262" t="str">
        <f>VLOOKUP(B1262,Nuclides!A:F,5,FALSE)</f>
        <v>Eu144</v>
      </c>
      <c r="F1262">
        <f>VLOOKUP(B1262,Nuclides!A:F,4,FALSE)</f>
        <v>10.199999999999999</v>
      </c>
      <c r="G1262" s="3" t="str">
        <f t="shared" si="98"/>
        <v>10.2s</v>
      </c>
      <c r="H1262" s="3">
        <f t="shared" si="99"/>
        <v>6.7955605937249544E-2</v>
      </c>
      <c r="I1262" s="3">
        <f t="shared" si="100"/>
        <v>0</v>
      </c>
      <c r="J1262" s="3">
        <f t="shared" si="101"/>
        <v>0</v>
      </c>
      <c r="K1262" s="3" t="str">
        <f t="shared" si="102"/>
        <v>Eu144</v>
      </c>
      <c r="L1262" s="3" cm="1">
        <f t="array" ref="L1262">SUM(($J1262*EXP(-$H1262*12*3600*_xlfn.SEQUENCE(L$1-1))))+$J1262</f>
        <v>0</v>
      </c>
      <c r="M1262" s="3"/>
      <c r="N1262" s="3"/>
    </row>
    <row r="1263" spans="2:14" hidden="1" x14ac:dyDescent="0.2">
      <c r="B1263" s="3">
        <v>63145</v>
      </c>
      <c r="C1263" s="3">
        <v>0</v>
      </c>
      <c r="D1263">
        <v>1260</v>
      </c>
      <c r="E1263" t="str">
        <f>VLOOKUP(B1263,Nuclides!A:F,5,FALSE)</f>
        <v>Eu145</v>
      </c>
      <c r="F1263">
        <f>VLOOKUP(B1263,Nuclides!A:F,4,FALSE)</f>
        <v>512352</v>
      </c>
      <c r="G1263" s="3" t="str">
        <f t="shared" si="98"/>
        <v>5.93d</v>
      </c>
      <c r="H1263" s="3">
        <f t="shared" si="99"/>
        <v>1.3528729868526819E-6</v>
      </c>
      <c r="I1263" s="3">
        <f t="shared" si="100"/>
        <v>0</v>
      </c>
      <c r="J1263" s="3">
        <f t="shared" si="101"/>
        <v>0</v>
      </c>
      <c r="K1263" s="3" t="str">
        <f t="shared" si="102"/>
        <v>Eu145</v>
      </c>
      <c r="L1263" s="3" cm="1">
        <f t="array" ref="L1263">SUM(($J1263*EXP(-$H1263*12*3600*_xlfn.SEQUENCE(L$1-1))))+$J1263</f>
        <v>0</v>
      </c>
      <c r="M1263" s="3"/>
      <c r="N1263" s="3"/>
    </row>
    <row r="1264" spans="2:14" hidden="1" x14ac:dyDescent="0.2">
      <c r="B1264" s="3">
        <v>63146</v>
      </c>
      <c r="C1264" s="3">
        <v>0</v>
      </c>
      <c r="D1264">
        <v>1261</v>
      </c>
      <c r="E1264" t="str">
        <f>VLOOKUP(B1264,Nuclides!A:F,5,FALSE)</f>
        <v>Eu146</v>
      </c>
      <c r="F1264">
        <f>VLOOKUP(B1264,Nuclides!A:F,4,FALSE)</f>
        <v>398304</v>
      </c>
      <c r="G1264" s="3" t="str">
        <f t="shared" si="98"/>
        <v>4.61d</v>
      </c>
      <c r="H1264" s="3">
        <f t="shared" si="99"/>
        <v>1.7402465969710203E-6</v>
      </c>
      <c r="I1264" s="3">
        <f t="shared" si="100"/>
        <v>0</v>
      </c>
      <c r="J1264" s="3">
        <f t="shared" si="101"/>
        <v>0</v>
      </c>
      <c r="K1264" s="3" t="str">
        <f t="shared" si="102"/>
        <v>Eu146</v>
      </c>
      <c r="L1264" s="3" cm="1">
        <f t="array" ref="L1264">SUM(($J1264*EXP(-$H1264*12*3600*_xlfn.SEQUENCE(L$1-1))))+$J1264</f>
        <v>0</v>
      </c>
      <c r="M1264" s="3"/>
      <c r="N1264" s="3"/>
    </row>
    <row r="1265" spans="2:14" hidden="1" x14ac:dyDescent="0.2">
      <c r="B1265" s="3">
        <v>63147</v>
      </c>
      <c r="C1265" s="3">
        <v>0</v>
      </c>
      <c r="D1265">
        <v>1262</v>
      </c>
      <c r="E1265" t="str">
        <f>VLOOKUP(B1265,Nuclides!A:F,5,FALSE)</f>
        <v>Eu147</v>
      </c>
      <c r="F1265">
        <f>VLOOKUP(B1265,Nuclides!A:F,4,FALSE)</f>
        <v>2082240</v>
      </c>
      <c r="G1265" s="3" t="str">
        <f t="shared" si="98"/>
        <v>24.1d</v>
      </c>
      <c r="H1265" s="3">
        <f t="shared" si="99"/>
        <v>3.3288534489777611E-7</v>
      </c>
      <c r="I1265" s="3">
        <f t="shared" si="100"/>
        <v>0</v>
      </c>
      <c r="J1265" s="3">
        <f t="shared" si="101"/>
        <v>0</v>
      </c>
      <c r="K1265" s="3" t="str">
        <f t="shared" si="102"/>
        <v>Eu147</v>
      </c>
      <c r="L1265" s="3" cm="1">
        <f t="array" ref="L1265">SUM(($J1265*EXP(-$H1265*12*3600*_xlfn.SEQUENCE(L$1-1))))+$J1265</f>
        <v>0</v>
      </c>
      <c r="M1265" s="3"/>
      <c r="N1265" s="3"/>
    </row>
    <row r="1266" spans="2:14" hidden="1" x14ac:dyDescent="0.2">
      <c r="B1266" s="3">
        <v>63148</v>
      </c>
      <c r="C1266" s="3">
        <v>0</v>
      </c>
      <c r="D1266">
        <v>1263</v>
      </c>
      <c r="E1266" t="str">
        <f>VLOOKUP(B1266,Nuclides!A:F,5,FALSE)</f>
        <v>Eu148</v>
      </c>
      <c r="F1266">
        <f>VLOOKUP(B1266,Nuclides!A:F,4,FALSE)</f>
        <v>4708800</v>
      </c>
      <c r="G1266" s="3" t="str">
        <f t="shared" si="98"/>
        <v>54.5d</v>
      </c>
      <c r="H1266" s="3">
        <f t="shared" si="99"/>
        <v>1.4720251031259457E-7</v>
      </c>
      <c r="I1266" s="3">
        <f t="shared" si="100"/>
        <v>0</v>
      </c>
      <c r="J1266" s="3">
        <f t="shared" si="101"/>
        <v>0</v>
      </c>
      <c r="K1266" s="3" t="str">
        <f t="shared" si="102"/>
        <v>Eu148</v>
      </c>
      <c r="L1266" s="3" cm="1">
        <f t="array" ref="L1266">SUM(($J1266*EXP(-$H1266*12*3600*_xlfn.SEQUENCE(L$1-1))))+$J1266</f>
        <v>0</v>
      </c>
      <c r="M1266" s="3"/>
      <c r="N1266" s="3"/>
    </row>
    <row r="1267" spans="2:14" hidden="1" x14ac:dyDescent="0.2">
      <c r="B1267" s="3">
        <v>63149</v>
      </c>
      <c r="C1267" s="3">
        <v>0</v>
      </c>
      <c r="D1267">
        <v>1264</v>
      </c>
      <c r="E1267" t="str">
        <f>VLOOKUP(B1267,Nuclides!A:F,5,FALSE)</f>
        <v>Eu149</v>
      </c>
      <c r="F1267">
        <f>VLOOKUP(B1267,Nuclides!A:F,4,FALSE)</f>
        <v>8043839.9999999898</v>
      </c>
      <c r="G1267" s="3" t="str">
        <f t="shared" si="98"/>
        <v>93.1d</v>
      </c>
      <c r="H1267" s="3">
        <f t="shared" si="99"/>
        <v>8.6171179506298749E-8</v>
      </c>
      <c r="I1267" s="3">
        <f t="shared" si="100"/>
        <v>0</v>
      </c>
      <c r="J1267" s="3">
        <f t="shared" si="101"/>
        <v>0</v>
      </c>
      <c r="K1267" s="3" t="str">
        <f t="shared" si="102"/>
        <v>Eu149</v>
      </c>
      <c r="L1267" s="3" cm="1">
        <f t="array" ref="L1267">SUM(($J1267*EXP(-$H1267*12*3600*_xlfn.SEQUENCE(L$1-1))))+$J1267</f>
        <v>0</v>
      </c>
      <c r="M1267" s="3"/>
      <c r="N1267" s="3"/>
    </row>
    <row r="1268" spans="2:14" hidden="1" x14ac:dyDescent="0.2">
      <c r="B1268" s="3">
        <v>63150</v>
      </c>
      <c r="C1268" s="3">
        <v>0</v>
      </c>
      <c r="D1268">
        <v>1265</v>
      </c>
      <c r="E1268" t="str">
        <f>VLOOKUP(B1268,Nuclides!A:F,5,FALSE)</f>
        <v>Eu150</v>
      </c>
      <c r="F1268">
        <f>VLOOKUP(B1268,Nuclides!A:F,4,FALSE)</f>
        <v>1164475440</v>
      </c>
      <c r="G1268" s="3" t="str">
        <f t="shared" si="98"/>
        <v>36.93y</v>
      </c>
      <c r="H1268" s="3">
        <f t="shared" si="99"/>
        <v>5.9524413890596548E-10</v>
      </c>
      <c r="I1268" s="3">
        <f t="shared" si="100"/>
        <v>0</v>
      </c>
      <c r="J1268" s="3">
        <f t="shared" si="101"/>
        <v>0</v>
      </c>
      <c r="K1268" s="3" t="str">
        <f t="shared" si="102"/>
        <v>Eu150</v>
      </c>
      <c r="L1268" s="3" cm="1">
        <f t="array" ref="L1268">SUM(($J1268*EXP(-$H1268*12*3600*_xlfn.SEQUENCE(L$1-1))))+$J1268</f>
        <v>0</v>
      </c>
      <c r="M1268" s="3"/>
      <c r="N1268" s="3"/>
    </row>
    <row r="1269" spans="2:14" hidden="1" x14ac:dyDescent="0.2">
      <c r="B1269" s="3">
        <v>63151</v>
      </c>
      <c r="C1269" s="3">
        <v>0</v>
      </c>
      <c r="D1269">
        <v>1266</v>
      </c>
      <c r="E1269" t="str">
        <f>VLOOKUP(B1269,Nuclides!A:F,5,FALSE)</f>
        <v>Eu151</v>
      </c>
      <c r="F1269">
        <f>VLOOKUP(B1269,Nuclides!A:F,4,FALSE)</f>
        <v>5.3647920000000002E+25</v>
      </c>
      <c r="G1269" s="3" t="str">
        <f t="shared" si="98"/>
        <v>1701164383561640000y</v>
      </c>
      <c r="H1269" s="3">
        <f t="shared" si="99"/>
        <v>1.2920299250370663E-26</v>
      </c>
      <c r="I1269" s="3">
        <f t="shared" si="100"/>
        <v>0</v>
      </c>
      <c r="J1269" s="3">
        <f t="shared" si="101"/>
        <v>0</v>
      </c>
      <c r="K1269" s="3" t="str">
        <f t="shared" si="102"/>
        <v>Eu151</v>
      </c>
      <c r="L1269" s="3" cm="1">
        <f t="array" ref="L1269">SUM(($J1269*EXP(-$H1269*12*3600*_xlfn.SEQUENCE(L$1-1))))+$J1269</f>
        <v>0</v>
      </c>
      <c r="M1269" s="3"/>
      <c r="N1269" s="3"/>
    </row>
    <row r="1270" spans="2:14" hidden="1" x14ac:dyDescent="0.2">
      <c r="B1270" s="3">
        <v>63152</v>
      </c>
      <c r="C1270" s="3">
        <v>0</v>
      </c>
      <c r="D1270">
        <v>1267</v>
      </c>
      <c r="E1270" t="str">
        <f>VLOOKUP(B1270,Nuclides!A:F,5,FALSE)</f>
        <v>Eu152</v>
      </c>
      <c r="F1270">
        <f>VLOOKUP(B1270,Nuclides!A:F,4,FALSE)</f>
        <v>426564079.19999999</v>
      </c>
      <c r="G1270" s="3" t="str">
        <f t="shared" si="98"/>
        <v>13.53y</v>
      </c>
      <c r="H1270" s="3">
        <f t="shared" si="99"/>
        <v>1.6249544074595049E-9</v>
      </c>
      <c r="I1270" s="3">
        <f t="shared" si="100"/>
        <v>0</v>
      </c>
      <c r="J1270" s="3">
        <f t="shared" si="101"/>
        <v>0</v>
      </c>
      <c r="K1270" s="3" t="str">
        <f t="shared" si="102"/>
        <v>Eu152</v>
      </c>
      <c r="L1270" s="3" cm="1">
        <f t="array" ref="L1270">SUM(($J1270*EXP(-$H1270*12*3600*_xlfn.SEQUENCE(L$1-1))))+$J1270</f>
        <v>0</v>
      </c>
      <c r="M1270" s="3"/>
      <c r="N1270" s="3"/>
    </row>
    <row r="1271" spans="2:14" hidden="1" x14ac:dyDescent="0.2">
      <c r="B1271" s="3">
        <v>63153</v>
      </c>
      <c r="C1271" s="3">
        <v>0</v>
      </c>
      <c r="D1271">
        <v>1268</v>
      </c>
      <c r="E1271" t="str">
        <f>VLOOKUP(B1271,Nuclides!A:F,5,FALSE)</f>
        <v>Eu153</v>
      </c>
      <c r="F1271" t="str">
        <f>VLOOKUP(B1271,Nuclides!A:F,4,FALSE)</f>
        <v>STABLE</v>
      </c>
      <c r="G1271" s="3" t="str">
        <f t="shared" si="98"/>
        <v>STABLE</v>
      </c>
      <c r="H1271" s="3" t="e">
        <f t="shared" si="99"/>
        <v>#VALUE!</v>
      </c>
      <c r="I1271" s="3" t="e">
        <f t="shared" si="100"/>
        <v>#VALUE!</v>
      </c>
      <c r="J1271" s="3" t="e">
        <f t="shared" si="101"/>
        <v>#VALUE!</v>
      </c>
      <c r="K1271" s="3" t="str">
        <f t="shared" si="102"/>
        <v>Eu153</v>
      </c>
      <c r="L1271" s="3" t="e" cm="1">
        <f t="array" ref="L1271">SUM(($J1271*EXP(-$H1271*12*3600*_xlfn.SEQUENCE(L$1-1))))+$J1271</f>
        <v>#VALUE!</v>
      </c>
      <c r="M1271" s="3"/>
      <c r="N1271" s="3"/>
    </row>
    <row r="1272" spans="2:14" hidden="1" x14ac:dyDescent="0.2">
      <c r="B1272" s="3">
        <v>63154</v>
      </c>
      <c r="C1272" s="3">
        <v>0</v>
      </c>
      <c r="D1272">
        <v>1269</v>
      </c>
      <c r="E1272" t="str">
        <f>VLOOKUP(B1272,Nuclides!A:F,5,FALSE)</f>
        <v>Eu154</v>
      </c>
      <c r="F1272">
        <f>VLOOKUP(B1272,Nuclides!A:F,4,FALSE)</f>
        <v>271426917.60000002</v>
      </c>
      <c r="G1272" s="3" t="str">
        <f t="shared" si="98"/>
        <v>8.61y</v>
      </c>
      <c r="H1272" s="3">
        <f t="shared" si="99"/>
        <v>2.5537156988292206E-9</v>
      </c>
      <c r="I1272" s="3">
        <f t="shared" si="100"/>
        <v>0</v>
      </c>
      <c r="J1272" s="3">
        <f t="shared" si="101"/>
        <v>0</v>
      </c>
      <c r="K1272" s="3" t="str">
        <f t="shared" si="102"/>
        <v>Eu154</v>
      </c>
      <c r="L1272" s="3" cm="1">
        <f t="array" ref="L1272">SUM(($J1272*EXP(-$H1272*12*3600*_xlfn.SEQUENCE(L$1-1))))+$J1272</f>
        <v>0</v>
      </c>
      <c r="M1272" s="3"/>
      <c r="N1272" s="3"/>
    </row>
    <row r="1273" spans="2:14" hidden="1" x14ac:dyDescent="0.2">
      <c r="B1273" s="3">
        <v>63155</v>
      </c>
      <c r="C1273" s="3">
        <v>0</v>
      </c>
      <c r="D1273">
        <v>1270</v>
      </c>
      <c r="E1273" t="str">
        <f>VLOOKUP(B1273,Nuclides!A:F,5,FALSE)</f>
        <v>Eu155</v>
      </c>
      <c r="F1273">
        <f>VLOOKUP(B1273,Nuclides!A:F,4,FALSE)</f>
        <v>149993272.80000001</v>
      </c>
      <c r="G1273" s="3" t="str">
        <f t="shared" si="98"/>
        <v>4.76y</v>
      </c>
      <c r="H1273" s="3">
        <f t="shared" si="99"/>
        <v>4.6211884547927889E-9</v>
      </c>
      <c r="I1273" s="3">
        <f t="shared" si="100"/>
        <v>0</v>
      </c>
      <c r="J1273" s="3">
        <f t="shared" si="101"/>
        <v>0</v>
      </c>
      <c r="K1273" s="3" t="str">
        <f t="shared" si="102"/>
        <v>Eu155</v>
      </c>
      <c r="L1273" s="3" cm="1">
        <f t="array" ref="L1273">SUM(($J1273*EXP(-$H1273*12*3600*_xlfn.SEQUENCE(L$1-1))))+$J1273</f>
        <v>0</v>
      </c>
      <c r="M1273" s="3"/>
      <c r="N1273" s="3"/>
    </row>
    <row r="1274" spans="2:14" hidden="1" x14ac:dyDescent="0.2">
      <c r="B1274" s="3">
        <v>63156</v>
      </c>
      <c r="C1274" s="3">
        <v>0</v>
      </c>
      <c r="D1274">
        <v>1271</v>
      </c>
      <c r="E1274" t="str">
        <f>VLOOKUP(B1274,Nuclides!A:F,5,FALSE)</f>
        <v>Eu156</v>
      </c>
      <c r="F1274">
        <f>VLOOKUP(B1274,Nuclides!A:F,4,FALSE)</f>
        <v>1312416</v>
      </c>
      <c r="G1274" s="3" t="str">
        <f t="shared" si="98"/>
        <v>15.19d</v>
      </c>
      <c r="H1274" s="3">
        <f t="shared" si="99"/>
        <v>5.2814593890957231E-7</v>
      </c>
      <c r="I1274" s="3">
        <f t="shared" si="100"/>
        <v>0</v>
      </c>
      <c r="J1274" s="3">
        <f t="shared" si="101"/>
        <v>0</v>
      </c>
      <c r="K1274" s="3" t="str">
        <f t="shared" si="102"/>
        <v>Eu156</v>
      </c>
      <c r="L1274" s="3" cm="1">
        <f t="array" ref="L1274">SUM(($J1274*EXP(-$H1274*12*3600*_xlfn.SEQUENCE(L$1-1))))+$J1274</f>
        <v>0</v>
      </c>
      <c r="M1274" s="3"/>
      <c r="N1274" s="3"/>
    </row>
    <row r="1275" spans="2:14" hidden="1" x14ac:dyDescent="0.2">
      <c r="B1275" s="3">
        <v>63157</v>
      </c>
      <c r="C1275" s="3">
        <v>0</v>
      </c>
      <c r="D1275">
        <v>1272</v>
      </c>
      <c r="E1275" t="str">
        <f>VLOOKUP(B1275,Nuclides!A:F,5,FALSE)</f>
        <v>Eu157</v>
      </c>
      <c r="F1275">
        <f>VLOOKUP(B1275,Nuclides!A:F,4,FALSE)</f>
        <v>54648</v>
      </c>
      <c r="G1275" s="3" t="str">
        <f t="shared" si="98"/>
        <v>15.18h</v>
      </c>
      <c r="H1275" s="3">
        <f t="shared" si="99"/>
        <v>1.2683852667251232E-5</v>
      </c>
      <c r="I1275" s="3">
        <f t="shared" si="100"/>
        <v>0</v>
      </c>
      <c r="J1275" s="3">
        <f t="shared" si="101"/>
        <v>0</v>
      </c>
      <c r="K1275" s="3" t="str">
        <f t="shared" si="102"/>
        <v>Eu157</v>
      </c>
      <c r="L1275" s="3" cm="1">
        <f t="array" ref="L1275">SUM(($J1275*EXP(-$H1275*12*3600*_xlfn.SEQUENCE(L$1-1))))+$J1275</f>
        <v>0</v>
      </c>
      <c r="M1275" s="3"/>
      <c r="N1275" s="3"/>
    </row>
    <row r="1276" spans="2:14" hidden="1" x14ac:dyDescent="0.2">
      <c r="B1276" s="3">
        <v>63158</v>
      </c>
      <c r="C1276" s="3">
        <v>0</v>
      </c>
      <c r="D1276">
        <v>1273</v>
      </c>
      <c r="E1276" t="str">
        <f>VLOOKUP(B1276,Nuclides!A:F,5,FALSE)</f>
        <v>Eu158</v>
      </c>
      <c r="F1276">
        <f>VLOOKUP(B1276,Nuclides!A:F,4,FALSE)</f>
        <v>2754</v>
      </c>
      <c r="G1276" s="3" t="str">
        <f t="shared" si="98"/>
        <v>45.9min</v>
      </c>
      <c r="H1276" s="3">
        <f t="shared" si="99"/>
        <v>2.5168742939722053E-4</v>
      </c>
      <c r="I1276" s="3">
        <f t="shared" si="100"/>
        <v>0</v>
      </c>
      <c r="J1276" s="3">
        <f t="shared" si="101"/>
        <v>0</v>
      </c>
      <c r="K1276" s="3" t="str">
        <f t="shared" si="102"/>
        <v>Eu158</v>
      </c>
      <c r="L1276" s="3" cm="1">
        <f t="array" ref="L1276">SUM(($J1276*EXP(-$H1276*12*3600*_xlfn.SEQUENCE(L$1-1))))+$J1276</f>
        <v>0</v>
      </c>
      <c r="M1276" s="3"/>
      <c r="N1276" s="3"/>
    </row>
    <row r="1277" spans="2:14" hidden="1" x14ac:dyDescent="0.2">
      <c r="B1277" s="3">
        <v>63159</v>
      </c>
      <c r="C1277" s="3">
        <v>0</v>
      </c>
      <c r="D1277">
        <v>1274</v>
      </c>
      <c r="E1277" t="str">
        <f>VLOOKUP(B1277,Nuclides!A:F,5,FALSE)</f>
        <v>Eu159</v>
      </c>
      <c r="F1277">
        <f>VLOOKUP(B1277,Nuclides!A:F,4,FALSE)</f>
        <v>1086</v>
      </c>
      <c r="G1277" s="3" t="str">
        <f t="shared" si="98"/>
        <v>18.1min</v>
      </c>
      <c r="H1277" s="3">
        <f t="shared" si="99"/>
        <v>6.3825707233880783E-4</v>
      </c>
      <c r="I1277" s="3">
        <f t="shared" si="100"/>
        <v>0</v>
      </c>
      <c r="J1277" s="3">
        <f t="shared" si="101"/>
        <v>0</v>
      </c>
      <c r="K1277" s="3" t="str">
        <f t="shared" si="102"/>
        <v>Eu159</v>
      </c>
      <c r="L1277" s="3" cm="1">
        <f t="array" ref="L1277">SUM(($J1277*EXP(-$H1277*12*3600*_xlfn.SEQUENCE(L$1-1))))+$J1277</f>
        <v>0</v>
      </c>
      <c r="M1277" s="3"/>
      <c r="N1277" s="3"/>
    </row>
    <row r="1278" spans="2:14" hidden="1" x14ac:dyDescent="0.2">
      <c r="B1278" s="3">
        <v>63160</v>
      </c>
      <c r="C1278" s="3">
        <v>0</v>
      </c>
      <c r="D1278">
        <v>1275</v>
      </c>
      <c r="E1278" t="str">
        <f>VLOOKUP(B1278,Nuclides!A:F,5,FALSE)</f>
        <v>Eu160</v>
      </c>
      <c r="F1278">
        <f>VLOOKUP(B1278,Nuclides!A:F,4,FALSE)</f>
        <v>38</v>
      </c>
      <c r="G1278" s="3" t="str">
        <f t="shared" si="98"/>
        <v>38s</v>
      </c>
      <c r="H1278" s="3">
        <f t="shared" si="99"/>
        <v>1.8240715277893296E-2</v>
      </c>
      <c r="I1278" s="3">
        <f t="shared" si="100"/>
        <v>0</v>
      </c>
      <c r="J1278" s="3">
        <f t="shared" si="101"/>
        <v>0</v>
      </c>
      <c r="K1278" s="3" t="str">
        <f t="shared" si="102"/>
        <v>Eu160</v>
      </c>
      <c r="L1278" s="3" cm="1">
        <f t="array" ref="L1278">SUM(($J1278*EXP(-$H1278*12*3600*_xlfn.SEQUENCE(L$1-1))))+$J1278</f>
        <v>0</v>
      </c>
      <c r="M1278" s="3"/>
      <c r="N1278" s="3"/>
    </row>
    <row r="1279" spans="2:14" hidden="1" x14ac:dyDescent="0.2">
      <c r="B1279" s="3">
        <v>64142</v>
      </c>
      <c r="C1279" s="3">
        <v>0</v>
      </c>
      <c r="D1279">
        <v>1276</v>
      </c>
      <c r="E1279" t="str">
        <f>VLOOKUP(B1279,Nuclides!A:F,5,FALSE)</f>
        <v>Gd142</v>
      </c>
      <c r="F1279">
        <f>VLOOKUP(B1279,Nuclides!A:F,4,FALSE)</f>
        <v>70.2</v>
      </c>
      <c r="G1279" s="3" t="str">
        <f t="shared" si="98"/>
        <v>1.17min</v>
      </c>
      <c r="H1279" s="3">
        <f t="shared" si="99"/>
        <v>9.8738914609678811E-3</v>
      </c>
      <c r="I1279" s="3">
        <f t="shared" si="100"/>
        <v>0</v>
      </c>
      <c r="J1279" s="3">
        <f t="shared" si="101"/>
        <v>0</v>
      </c>
      <c r="K1279" s="3" t="str">
        <f t="shared" si="102"/>
        <v>Gd142</v>
      </c>
      <c r="L1279" s="3" cm="1">
        <f t="array" ref="L1279">SUM(($J1279*EXP(-$H1279*12*3600*_xlfn.SEQUENCE(L$1-1))))+$J1279</f>
        <v>0</v>
      </c>
      <c r="M1279" s="3"/>
      <c r="N1279" s="3"/>
    </row>
    <row r="1280" spans="2:14" hidden="1" x14ac:dyDescent="0.2">
      <c r="B1280" s="3">
        <v>64143</v>
      </c>
      <c r="C1280" s="3">
        <v>0</v>
      </c>
      <c r="D1280">
        <v>1277</v>
      </c>
      <c r="E1280" t="str">
        <f>VLOOKUP(B1280,Nuclides!A:F,5,FALSE)</f>
        <v>Gd143</v>
      </c>
      <c r="F1280">
        <f>VLOOKUP(B1280,Nuclides!A:F,4,FALSE)</f>
        <v>39</v>
      </c>
      <c r="G1280" s="3" t="str">
        <f t="shared" si="98"/>
        <v>39s</v>
      </c>
      <c r="H1280" s="3">
        <f t="shared" si="99"/>
        <v>1.7773004629742187E-2</v>
      </c>
      <c r="I1280" s="3">
        <f t="shared" si="100"/>
        <v>0</v>
      </c>
      <c r="J1280" s="3">
        <f t="shared" si="101"/>
        <v>0</v>
      </c>
      <c r="K1280" s="3" t="str">
        <f t="shared" si="102"/>
        <v>Gd143</v>
      </c>
      <c r="L1280" s="3" cm="1">
        <f t="array" ref="L1280">SUM(($J1280*EXP(-$H1280*12*3600*_xlfn.SEQUENCE(L$1-1))))+$J1280</f>
        <v>0</v>
      </c>
      <c r="M1280" s="3"/>
      <c r="N1280" s="3"/>
    </row>
    <row r="1281" spans="2:14" hidden="1" x14ac:dyDescent="0.2">
      <c r="B1281" s="3">
        <v>64144</v>
      </c>
      <c r="C1281" s="3">
        <v>0</v>
      </c>
      <c r="D1281">
        <v>1278</v>
      </c>
      <c r="E1281" t="str">
        <f>VLOOKUP(B1281,Nuclides!A:F,5,FALSE)</f>
        <v>Gd144</v>
      </c>
      <c r="F1281">
        <f>VLOOKUP(B1281,Nuclides!A:F,4,FALSE)</f>
        <v>268.2</v>
      </c>
      <c r="G1281" s="3" t="str">
        <f t="shared" si="98"/>
        <v>4.47min</v>
      </c>
      <c r="H1281" s="3">
        <f t="shared" si="99"/>
        <v>2.5844413891123988E-3</v>
      </c>
      <c r="I1281" s="3">
        <f t="shared" si="100"/>
        <v>0</v>
      </c>
      <c r="J1281" s="3">
        <f t="shared" si="101"/>
        <v>0</v>
      </c>
      <c r="K1281" s="3" t="str">
        <f t="shared" si="102"/>
        <v>Gd144</v>
      </c>
      <c r="L1281" s="3" cm="1">
        <f t="array" ref="L1281">SUM(($J1281*EXP(-$H1281*12*3600*_xlfn.SEQUENCE(L$1-1))))+$J1281</f>
        <v>0</v>
      </c>
      <c r="M1281" s="3"/>
      <c r="N1281" s="3"/>
    </row>
    <row r="1282" spans="2:14" hidden="1" x14ac:dyDescent="0.2">
      <c r="B1282" s="3">
        <v>64145</v>
      </c>
      <c r="C1282" s="3">
        <v>0</v>
      </c>
      <c r="D1282">
        <v>1279</v>
      </c>
      <c r="E1282" t="str">
        <f>VLOOKUP(B1282,Nuclides!A:F,5,FALSE)</f>
        <v>Gd145</v>
      </c>
      <c r="F1282">
        <f>VLOOKUP(B1282,Nuclides!A:F,4,FALSE)</f>
        <v>1380</v>
      </c>
      <c r="G1282" s="3" t="str">
        <f t="shared" si="98"/>
        <v>23min</v>
      </c>
      <c r="H1282" s="3">
        <f t="shared" si="99"/>
        <v>5.0228056562314871E-4</v>
      </c>
      <c r="I1282" s="3">
        <f t="shared" si="100"/>
        <v>0</v>
      </c>
      <c r="J1282" s="3">
        <f t="shared" si="101"/>
        <v>0</v>
      </c>
      <c r="K1282" s="3" t="str">
        <f t="shared" si="102"/>
        <v>Gd145</v>
      </c>
      <c r="L1282" s="3" cm="1">
        <f t="array" ref="L1282">SUM(($J1282*EXP(-$H1282*12*3600*_xlfn.SEQUENCE(L$1-1))))+$J1282</f>
        <v>0</v>
      </c>
      <c r="M1282" s="3"/>
      <c r="N1282" s="3"/>
    </row>
    <row r="1283" spans="2:14" hidden="1" x14ac:dyDescent="0.2">
      <c r="B1283" s="3">
        <v>64146</v>
      </c>
      <c r="C1283" s="3">
        <v>0</v>
      </c>
      <c r="D1283">
        <v>1280</v>
      </c>
      <c r="E1283" t="str">
        <f>VLOOKUP(B1283,Nuclides!A:F,5,FALSE)</f>
        <v>Gd146</v>
      </c>
      <c r="F1283">
        <f>VLOOKUP(B1283,Nuclides!A:F,4,FALSE)</f>
        <v>4170528</v>
      </c>
      <c r="G1283" s="3" t="str">
        <f t="shared" si="98"/>
        <v>48.27d</v>
      </c>
      <c r="H1283" s="3">
        <f t="shared" si="99"/>
        <v>1.6620130126447905E-7</v>
      </c>
      <c r="I1283" s="3">
        <f t="shared" si="100"/>
        <v>0</v>
      </c>
      <c r="J1283" s="3">
        <f t="shared" si="101"/>
        <v>0</v>
      </c>
      <c r="K1283" s="3" t="str">
        <f t="shared" si="102"/>
        <v>Gd146</v>
      </c>
      <c r="L1283" s="3" cm="1">
        <f t="array" ref="L1283">SUM(($J1283*EXP(-$H1283*12*3600*_xlfn.SEQUENCE(L$1-1))))+$J1283</f>
        <v>0</v>
      </c>
      <c r="M1283" s="3"/>
      <c r="N1283" s="3"/>
    </row>
    <row r="1284" spans="2:14" hidden="1" x14ac:dyDescent="0.2">
      <c r="B1284" s="3">
        <v>64147</v>
      </c>
      <c r="C1284" s="3">
        <v>0</v>
      </c>
      <c r="D1284">
        <v>1281</v>
      </c>
      <c r="E1284" t="str">
        <f>VLOOKUP(B1284,Nuclides!A:F,5,FALSE)</f>
        <v>Gd147</v>
      </c>
      <c r="F1284">
        <f>VLOOKUP(B1284,Nuclides!A:F,4,FALSE)</f>
        <v>137016</v>
      </c>
      <c r="G1284" s="3" t="str">
        <f t="shared" ref="G1284:G1347" si="103">IF(F1284="STABLE", "STABLE", IF(F1284&lt;60, F1284&amp;"s", IF(F1284&lt;3600, ROUND(F1284/60,2)&amp;"min", IF(F1284&lt;86400, ROUND(F1284/3600,2)&amp;"h", IF(F1284&lt;31536000, ROUND(F1284/86400,2)&amp;"d", ROUND(F1284/31536000,2)&amp;"y")))))</f>
        <v>1.59d</v>
      </c>
      <c r="H1284" s="3">
        <f t="shared" ref="H1284:H1347" si="104">LN(2)/F1284</f>
        <v>5.0588776534123408E-6</v>
      </c>
      <c r="I1284" s="3">
        <f t="shared" ref="I1284:I1347" si="105">100*6240000000000*C1284*(1-EXP(-H1284*2*3600))</f>
        <v>0</v>
      </c>
      <c r="J1284" s="3">
        <f t="shared" ref="J1284:J1347" si="106">I1284*EXP(-H1284*10*3600)</f>
        <v>0</v>
      </c>
      <c r="K1284" s="3" t="str">
        <f t="shared" ref="K1284:K1347" si="107">E1284</f>
        <v>Gd147</v>
      </c>
      <c r="L1284" s="3" cm="1">
        <f t="array" ref="L1284">SUM(($J1284*EXP(-$H1284*12*3600*_xlfn.SEQUENCE(L$1-1))))+$J1284</f>
        <v>0</v>
      </c>
      <c r="M1284" s="3"/>
      <c r="N1284" s="3"/>
    </row>
    <row r="1285" spans="2:14" hidden="1" x14ac:dyDescent="0.2">
      <c r="B1285" s="3">
        <v>64148</v>
      </c>
      <c r="C1285" s="3">
        <v>0</v>
      </c>
      <c r="D1285">
        <v>1282</v>
      </c>
      <c r="E1285" t="str">
        <f>VLOOKUP(B1285,Nuclides!A:F,5,FALSE)</f>
        <v>Gd148</v>
      </c>
      <c r="F1285">
        <f>VLOOKUP(B1285,Nuclides!A:F,4,FALSE)</f>
        <v>2243745360</v>
      </c>
      <c r="G1285" s="3" t="str">
        <f t="shared" si="103"/>
        <v>71.15y</v>
      </c>
      <c r="H1285" s="3">
        <f t="shared" si="104"/>
        <v>3.0892417335626059E-10</v>
      </c>
      <c r="I1285" s="3">
        <f t="shared" si="105"/>
        <v>0</v>
      </c>
      <c r="J1285" s="3">
        <f t="shared" si="106"/>
        <v>0</v>
      </c>
      <c r="K1285" s="3" t="str">
        <f t="shared" si="107"/>
        <v>Gd148</v>
      </c>
      <c r="L1285" s="3" cm="1">
        <f t="array" ref="L1285">SUM(($J1285*EXP(-$H1285*12*3600*_xlfn.SEQUENCE(L$1-1))))+$J1285</f>
        <v>0</v>
      </c>
      <c r="M1285" s="3"/>
      <c r="N1285" s="3"/>
    </row>
    <row r="1286" spans="2:14" hidden="1" x14ac:dyDescent="0.2">
      <c r="B1286" s="3">
        <v>64149</v>
      </c>
      <c r="C1286" s="3">
        <v>0</v>
      </c>
      <c r="D1286">
        <v>1283</v>
      </c>
      <c r="E1286" t="str">
        <f>VLOOKUP(B1286,Nuclides!A:F,5,FALSE)</f>
        <v>Gd149</v>
      </c>
      <c r="F1286">
        <f>VLOOKUP(B1286,Nuclides!A:F,4,FALSE)</f>
        <v>801792</v>
      </c>
      <c r="G1286" s="3" t="str">
        <f t="shared" si="103"/>
        <v>9.28d</v>
      </c>
      <c r="H1286" s="3">
        <f t="shared" si="104"/>
        <v>8.6449750129702627E-7</v>
      </c>
      <c r="I1286" s="3">
        <f t="shared" si="105"/>
        <v>0</v>
      </c>
      <c r="J1286" s="3">
        <f t="shared" si="106"/>
        <v>0</v>
      </c>
      <c r="K1286" s="3" t="str">
        <f t="shared" si="107"/>
        <v>Gd149</v>
      </c>
      <c r="L1286" s="3" cm="1">
        <f t="array" ref="L1286">SUM(($J1286*EXP(-$H1286*12*3600*_xlfn.SEQUENCE(L$1-1))))+$J1286</f>
        <v>0</v>
      </c>
      <c r="M1286" s="3"/>
      <c r="N1286" s="3"/>
    </row>
    <row r="1287" spans="2:14" hidden="1" x14ac:dyDescent="0.2">
      <c r="B1287" s="3">
        <v>64150</v>
      </c>
      <c r="C1287" s="3">
        <v>0</v>
      </c>
      <c r="D1287">
        <v>1284</v>
      </c>
      <c r="E1287" t="str">
        <f>VLOOKUP(B1287,Nuclides!A:F,5,FALSE)</f>
        <v>Gd150</v>
      </c>
      <c r="F1287">
        <f>VLOOKUP(B1287,Nuclides!A:F,4,FALSE)</f>
        <v>56488104000000</v>
      </c>
      <c r="G1287" s="3" t="str">
        <f t="shared" si="103"/>
        <v>1791226.03y</v>
      </c>
      <c r="H1287" s="3">
        <f t="shared" si="104"/>
        <v>1.2270675265715155E-14</v>
      </c>
      <c r="I1287" s="3">
        <f t="shared" si="105"/>
        <v>0</v>
      </c>
      <c r="J1287" s="3">
        <f t="shared" si="106"/>
        <v>0</v>
      </c>
      <c r="K1287" s="3" t="str">
        <f t="shared" si="107"/>
        <v>Gd150</v>
      </c>
      <c r="L1287" s="3" cm="1">
        <f t="array" ref="L1287">SUM(($J1287*EXP(-$H1287*12*3600*_xlfn.SEQUENCE(L$1-1))))+$J1287</f>
        <v>0</v>
      </c>
      <c r="M1287" s="3"/>
      <c r="N1287" s="3"/>
    </row>
    <row r="1288" spans="2:14" hidden="1" x14ac:dyDescent="0.2">
      <c r="B1288" s="3">
        <v>64151</v>
      </c>
      <c r="C1288" s="3">
        <v>0</v>
      </c>
      <c r="D1288">
        <v>1285</v>
      </c>
      <c r="E1288" t="str">
        <f>VLOOKUP(B1288,Nuclides!A:F,5,FALSE)</f>
        <v>Gd151</v>
      </c>
      <c r="F1288">
        <f>VLOOKUP(B1288,Nuclides!A:F,4,FALSE)</f>
        <v>10704960</v>
      </c>
      <c r="G1288" s="3" t="str">
        <f t="shared" si="103"/>
        <v>123.9d</v>
      </c>
      <c r="H1288" s="3">
        <f t="shared" si="104"/>
        <v>6.4750095335241355E-8</v>
      </c>
      <c r="I1288" s="3">
        <f t="shared" si="105"/>
        <v>0</v>
      </c>
      <c r="J1288" s="3">
        <f t="shared" si="106"/>
        <v>0</v>
      </c>
      <c r="K1288" s="3" t="str">
        <f t="shared" si="107"/>
        <v>Gd151</v>
      </c>
      <c r="L1288" s="3" cm="1">
        <f t="array" ref="L1288">SUM(($J1288*EXP(-$H1288*12*3600*_xlfn.SEQUENCE(L$1-1))))+$J1288</f>
        <v>0</v>
      </c>
      <c r="M1288" s="3"/>
      <c r="N1288" s="3"/>
    </row>
    <row r="1289" spans="2:14" hidden="1" x14ac:dyDescent="0.2">
      <c r="B1289" s="3">
        <v>64152</v>
      </c>
      <c r="C1289" s="3">
        <v>0</v>
      </c>
      <c r="D1289">
        <v>1286</v>
      </c>
      <c r="E1289" t="str">
        <f>VLOOKUP(B1289,Nuclides!A:F,5,FALSE)</f>
        <v>Gd152</v>
      </c>
      <c r="F1289">
        <f>VLOOKUP(B1289,Nuclides!A:F,4,FALSE)</f>
        <v>3.4082208E+21</v>
      </c>
      <c r="G1289" s="3" t="str">
        <f t="shared" si="103"/>
        <v>108073972602740y</v>
      </c>
      <c r="H1289" s="3">
        <f t="shared" si="104"/>
        <v>2.0337508079287153E-22</v>
      </c>
      <c r="I1289" s="3">
        <f t="shared" si="105"/>
        <v>0</v>
      </c>
      <c r="J1289" s="3">
        <f t="shared" si="106"/>
        <v>0</v>
      </c>
      <c r="K1289" s="3" t="str">
        <f t="shared" si="107"/>
        <v>Gd152</v>
      </c>
      <c r="L1289" s="3" cm="1">
        <f t="array" ref="L1289">SUM(($J1289*EXP(-$H1289*12*3600*_xlfn.SEQUENCE(L$1-1))))+$J1289</f>
        <v>0</v>
      </c>
      <c r="M1289" s="3"/>
      <c r="N1289" s="3"/>
    </row>
    <row r="1290" spans="2:14" hidden="1" x14ac:dyDescent="0.2">
      <c r="B1290" s="3">
        <v>64153</v>
      </c>
      <c r="C1290" s="3">
        <v>0</v>
      </c>
      <c r="D1290">
        <v>1287</v>
      </c>
      <c r="E1290" t="str">
        <f>VLOOKUP(B1290,Nuclides!A:F,5,FALSE)</f>
        <v>Gd153</v>
      </c>
      <c r="F1290">
        <f>VLOOKUP(B1290,Nuclides!A:F,4,FALSE)</f>
        <v>20770560</v>
      </c>
      <c r="G1290" s="3" t="str">
        <f t="shared" si="103"/>
        <v>240.4d</v>
      </c>
      <c r="H1290" s="3">
        <f t="shared" si="104"/>
        <v>3.3371617354560749E-8</v>
      </c>
      <c r="I1290" s="3">
        <f t="shared" si="105"/>
        <v>0</v>
      </c>
      <c r="J1290" s="3">
        <f t="shared" si="106"/>
        <v>0</v>
      </c>
      <c r="K1290" s="3" t="str">
        <f t="shared" si="107"/>
        <v>Gd153</v>
      </c>
      <c r="L1290" s="3" cm="1">
        <f t="array" ref="L1290">SUM(($J1290*EXP(-$H1290*12*3600*_xlfn.SEQUENCE(L$1-1))))+$J1290</f>
        <v>0</v>
      </c>
      <c r="M1290" s="3"/>
      <c r="N1290" s="3"/>
    </row>
    <row r="1291" spans="2:14" hidden="1" x14ac:dyDescent="0.2">
      <c r="B1291" s="3">
        <v>64154</v>
      </c>
      <c r="C1291" s="3">
        <v>0</v>
      </c>
      <c r="D1291">
        <v>1288</v>
      </c>
      <c r="E1291" t="str">
        <f>VLOOKUP(B1291,Nuclides!A:F,5,FALSE)</f>
        <v>Gd154</v>
      </c>
      <c r="F1291" t="str">
        <f>VLOOKUP(B1291,Nuclides!A:F,4,FALSE)</f>
        <v>STABLE</v>
      </c>
      <c r="G1291" s="3" t="str">
        <f t="shared" si="103"/>
        <v>STABLE</v>
      </c>
      <c r="H1291" s="3" t="e">
        <f t="shared" si="104"/>
        <v>#VALUE!</v>
      </c>
      <c r="I1291" s="3" t="e">
        <f t="shared" si="105"/>
        <v>#VALUE!</v>
      </c>
      <c r="J1291" s="3" t="e">
        <f t="shared" si="106"/>
        <v>#VALUE!</v>
      </c>
      <c r="K1291" s="3" t="str">
        <f t="shared" si="107"/>
        <v>Gd154</v>
      </c>
      <c r="L1291" s="3" t="e" cm="1">
        <f t="array" ref="L1291">SUM(($J1291*EXP(-$H1291*12*3600*_xlfn.SEQUENCE(L$1-1))))+$J1291</f>
        <v>#VALUE!</v>
      </c>
      <c r="M1291" s="3"/>
      <c r="N1291" s="3"/>
    </row>
    <row r="1292" spans="2:14" hidden="1" x14ac:dyDescent="0.2">
      <c r="B1292" s="3">
        <v>64155</v>
      </c>
      <c r="C1292" s="3">
        <v>0</v>
      </c>
      <c r="D1292">
        <v>1289</v>
      </c>
      <c r="E1292" t="str">
        <f>VLOOKUP(B1292,Nuclides!A:F,5,FALSE)</f>
        <v>Gd155</v>
      </c>
      <c r="F1292" t="str">
        <f>VLOOKUP(B1292,Nuclides!A:F,4,FALSE)</f>
        <v>STABLE</v>
      </c>
      <c r="G1292" s="3" t="str">
        <f t="shared" si="103"/>
        <v>STABLE</v>
      </c>
      <c r="H1292" s="3" t="e">
        <f t="shared" si="104"/>
        <v>#VALUE!</v>
      </c>
      <c r="I1292" s="3" t="e">
        <f t="shared" si="105"/>
        <v>#VALUE!</v>
      </c>
      <c r="J1292" s="3" t="e">
        <f t="shared" si="106"/>
        <v>#VALUE!</v>
      </c>
      <c r="K1292" s="3" t="str">
        <f t="shared" si="107"/>
        <v>Gd155</v>
      </c>
      <c r="L1292" s="3" t="e" cm="1">
        <f t="array" ref="L1292">SUM(($J1292*EXP(-$H1292*12*3600*_xlfn.SEQUENCE(L$1-1))))+$J1292</f>
        <v>#VALUE!</v>
      </c>
      <c r="M1292" s="3"/>
      <c r="N1292" s="3"/>
    </row>
    <row r="1293" spans="2:14" hidden="1" x14ac:dyDescent="0.2">
      <c r="B1293" s="3">
        <v>64156</v>
      </c>
      <c r="C1293" s="3">
        <v>0</v>
      </c>
      <c r="D1293">
        <v>1290</v>
      </c>
      <c r="E1293" t="str">
        <f>VLOOKUP(B1293,Nuclides!A:F,5,FALSE)</f>
        <v>Gd156</v>
      </c>
      <c r="F1293" t="str">
        <f>VLOOKUP(B1293,Nuclides!A:F,4,FALSE)</f>
        <v>STABLE</v>
      </c>
      <c r="G1293" s="3" t="str">
        <f t="shared" si="103"/>
        <v>STABLE</v>
      </c>
      <c r="H1293" s="3" t="e">
        <f t="shared" si="104"/>
        <v>#VALUE!</v>
      </c>
      <c r="I1293" s="3" t="e">
        <f t="shared" si="105"/>
        <v>#VALUE!</v>
      </c>
      <c r="J1293" s="3" t="e">
        <f t="shared" si="106"/>
        <v>#VALUE!</v>
      </c>
      <c r="K1293" s="3" t="str">
        <f t="shared" si="107"/>
        <v>Gd156</v>
      </c>
      <c r="L1293" s="3" t="e" cm="1">
        <f t="array" ref="L1293">SUM(($J1293*EXP(-$H1293*12*3600*_xlfn.SEQUENCE(L$1-1))))+$J1293</f>
        <v>#VALUE!</v>
      </c>
      <c r="M1293" s="3"/>
      <c r="N1293" s="3"/>
    </row>
    <row r="1294" spans="2:14" hidden="1" x14ac:dyDescent="0.2">
      <c r="B1294" s="3">
        <v>64157</v>
      </c>
      <c r="C1294" s="3">
        <v>0</v>
      </c>
      <c r="D1294">
        <v>1291</v>
      </c>
      <c r="E1294" t="str">
        <f>VLOOKUP(B1294,Nuclides!A:F,5,FALSE)</f>
        <v>Gd157</v>
      </c>
      <c r="F1294" t="str">
        <f>VLOOKUP(B1294,Nuclides!A:F,4,FALSE)</f>
        <v>STABLE</v>
      </c>
      <c r="G1294" s="3" t="str">
        <f t="shared" si="103"/>
        <v>STABLE</v>
      </c>
      <c r="H1294" s="3" t="e">
        <f t="shared" si="104"/>
        <v>#VALUE!</v>
      </c>
      <c r="I1294" s="3" t="e">
        <f t="shared" si="105"/>
        <v>#VALUE!</v>
      </c>
      <c r="J1294" s="3" t="e">
        <f t="shared" si="106"/>
        <v>#VALUE!</v>
      </c>
      <c r="K1294" s="3" t="str">
        <f t="shared" si="107"/>
        <v>Gd157</v>
      </c>
      <c r="L1294" s="3" t="e" cm="1">
        <f t="array" ref="L1294">SUM(($J1294*EXP(-$H1294*12*3600*_xlfn.SEQUENCE(L$1-1))))+$J1294</f>
        <v>#VALUE!</v>
      </c>
      <c r="M1294" s="3"/>
      <c r="N1294" s="3"/>
    </row>
    <row r="1295" spans="2:14" hidden="1" x14ac:dyDescent="0.2">
      <c r="B1295" s="3">
        <v>64158</v>
      </c>
      <c r="C1295" s="3">
        <v>0</v>
      </c>
      <c r="D1295">
        <v>1292</v>
      </c>
      <c r="E1295" t="str">
        <f>VLOOKUP(B1295,Nuclides!A:F,5,FALSE)</f>
        <v>Gd158</v>
      </c>
      <c r="F1295" t="str">
        <f>VLOOKUP(B1295,Nuclides!A:F,4,FALSE)</f>
        <v>STABLE</v>
      </c>
      <c r="G1295" s="3" t="str">
        <f t="shared" si="103"/>
        <v>STABLE</v>
      </c>
      <c r="H1295" s="3" t="e">
        <f t="shared" si="104"/>
        <v>#VALUE!</v>
      </c>
      <c r="I1295" s="3" t="e">
        <f t="shared" si="105"/>
        <v>#VALUE!</v>
      </c>
      <c r="J1295" s="3" t="e">
        <f t="shared" si="106"/>
        <v>#VALUE!</v>
      </c>
      <c r="K1295" s="3" t="str">
        <f t="shared" si="107"/>
        <v>Gd158</v>
      </c>
      <c r="L1295" s="3" t="e" cm="1">
        <f t="array" ref="L1295">SUM(($J1295*EXP(-$H1295*12*3600*_xlfn.SEQUENCE(L$1-1))))+$J1295</f>
        <v>#VALUE!</v>
      </c>
      <c r="M1295" s="3"/>
      <c r="N1295" s="3"/>
    </row>
    <row r="1296" spans="2:14" hidden="1" x14ac:dyDescent="0.2">
      <c r="B1296" s="3">
        <v>64159</v>
      </c>
      <c r="C1296" s="3">
        <v>0</v>
      </c>
      <c r="D1296">
        <v>1293</v>
      </c>
      <c r="E1296" t="str">
        <f>VLOOKUP(B1296,Nuclides!A:F,5,FALSE)</f>
        <v>Gd159</v>
      </c>
      <c r="F1296">
        <f>VLOOKUP(B1296,Nuclides!A:F,4,FALSE)</f>
        <v>66524.399999999994</v>
      </c>
      <c r="G1296" s="3" t="str">
        <f t="shared" si="103"/>
        <v>18.48h</v>
      </c>
      <c r="H1296" s="3">
        <f t="shared" si="104"/>
        <v>1.0419442799332956E-5</v>
      </c>
      <c r="I1296" s="3">
        <f t="shared" si="105"/>
        <v>0</v>
      </c>
      <c r="J1296" s="3">
        <f t="shared" si="106"/>
        <v>0</v>
      </c>
      <c r="K1296" s="3" t="str">
        <f t="shared" si="107"/>
        <v>Gd159</v>
      </c>
      <c r="L1296" s="3" cm="1">
        <f t="array" ref="L1296">SUM(($J1296*EXP(-$H1296*12*3600*_xlfn.SEQUENCE(L$1-1))))+$J1296</f>
        <v>0</v>
      </c>
      <c r="M1296" s="3"/>
      <c r="N1296" s="3"/>
    </row>
    <row r="1297" spans="2:14" hidden="1" x14ac:dyDescent="0.2">
      <c r="B1297" s="3">
        <v>64160</v>
      </c>
      <c r="C1297" s="3">
        <v>0</v>
      </c>
      <c r="D1297">
        <v>1294</v>
      </c>
      <c r="E1297" t="str">
        <f>VLOOKUP(B1297,Nuclides!A:F,5,FALSE)</f>
        <v>Gd160</v>
      </c>
      <c r="F1297">
        <f>VLOOKUP(B1297,Nuclides!A:F,4,FALSE)</f>
        <v>9.7828559999999996E+26</v>
      </c>
      <c r="G1297" s="3" t="str">
        <f t="shared" si="103"/>
        <v>31021232876712300000y</v>
      </c>
      <c r="H1297" s="3">
        <f t="shared" si="104"/>
        <v>7.0853253953645573E-28</v>
      </c>
      <c r="I1297" s="3">
        <f t="shared" si="105"/>
        <v>0</v>
      </c>
      <c r="J1297" s="3">
        <f t="shared" si="106"/>
        <v>0</v>
      </c>
      <c r="K1297" s="3" t="str">
        <f t="shared" si="107"/>
        <v>Gd160</v>
      </c>
      <c r="L1297" s="3" cm="1">
        <f t="array" ref="L1297">SUM(($J1297*EXP(-$H1297*12*3600*_xlfn.SEQUENCE(L$1-1))))+$J1297</f>
        <v>0</v>
      </c>
      <c r="M1297" s="3"/>
      <c r="N1297" s="3"/>
    </row>
    <row r="1298" spans="2:14" hidden="1" x14ac:dyDescent="0.2">
      <c r="B1298" s="3">
        <v>64161</v>
      </c>
      <c r="C1298" s="3">
        <v>0</v>
      </c>
      <c r="D1298">
        <v>1295</v>
      </c>
      <c r="E1298" t="str">
        <f>VLOOKUP(B1298,Nuclides!A:F,5,FALSE)</f>
        <v>Gd161</v>
      </c>
      <c r="F1298">
        <f>VLOOKUP(B1298,Nuclides!A:F,4,FALSE)</f>
        <v>219.6</v>
      </c>
      <c r="G1298" s="3" t="str">
        <f t="shared" si="103"/>
        <v>3.66min</v>
      </c>
      <c r="H1298" s="3">
        <f t="shared" si="104"/>
        <v>3.1564079260471096E-3</v>
      </c>
      <c r="I1298" s="3">
        <f t="shared" si="105"/>
        <v>0</v>
      </c>
      <c r="J1298" s="3">
        <f t="shared" si="106"/>
        <v>0</v>
      </c>
      <c r="K1298" s="3" t="str">
        <f t="shared" si="107"/>
        <v>Gd161</v>
      </c>
      <c r="L1298" s="3" cm="1">
        <f t="array" ref="L1298">SUM(($J1298*EXP(-$H1298*12*3600*_xlfn.SEQUENCE(L$1-1))))+$J1298</f>
        <v>0</v>
      </c>
      <c r="M1298" s="3"/>
      <c r="N1298" s="3"/>
    </row>
    <row r="1299" spans="2:14" hidden="1" x14ac:dyDescent="0.2">
      <c r="B1299" s="3">
        <v>64162</v>
      </c>
      <c r="C1299" s="3">
        <v>0</v>
      </c>
      <c r="D1299">
        <v>1296</v>
      </c>
      <c r="E1299" t="str">
        <f>VLOOKUP(B1299,Nuclides!A:F,5,FALSE)</f>
        <v>Gd162</v>
      </c>
      <c r="F1299">
        <f>VLOOKUP(B1299,Nuclides!A:F,4,FALSE)</f>
        <v>504</v>
      </c>
      <c r="G1299" s="3" t="str">
        <f t="shared" si="103"/>
        <v>8.4min</v>
      </c>
      <c r="H1299" s="3">
        <f t="shared" si="104"/>
        <v>1.3752920249205263E-3</v>
      </c>
      <c r="I1299" s="3">
        <f t="shared" si="105"/>
        <v>0</v>
      </c>
      <c r="J1299" s="3">
        <f t="shared" si="106"/>
        <v>0</v>
      </c>
      <c r="K1299" s="3" t="str">
        <f t="shared" si="107"/>
        <v>Gd162</v>
      </c>
      <c r="L1299" s="3" cm="1">
        <f t="array" ref="L1299">SUM(($J1299*EXP(-$H1299*12*3600*_xlfn.SEQUENCE(L$1-1))))+$J1299</f>
        <v>0</v>
      </c>
      <c r="M1299" s="3"/>
      <c r="N1299" s="3"/>
    </row>
    <row r="1300" spans="2:14" hidden="1" x14ac:dyDescent="0.2">
      <c r="B1300" s="3">
        <v>64163</v>
      </c>
      <c r="C1300" s="3">
        <v>0</v>
      </c>
      <c r="D1300">
        <v>1297</v>
      </c>
      <c r="E1300" t="str">
        <f>VLOOKUP(B1300,Nuclides!A:F,5,FALSE)</f>
        <v>Gd163</v>
      </c>
      <c r="F1300">
        <f>VLOOKUP(B1300,Nuclides!A:F,4,FALSE)</f>
        <v>68</v>
      </c>
      <c r="G1300" s="3" t="str">
        <f t="shared" si="103"/>
        <v>1.13min</v>
      </c>
      <c r="H1300" s="3">
        <f t="shared" si="104"/>
        <v>1.0193340890587431E-2</v>
      </c>
      <c r="I1300" s="3">
        <f t="shared" si="105"/>
        <v>0</v>
      </c>
      <c r="J1300" s="3">
        <f t="shared" si="106"/>
        <v>0</v>
      </c>
      <c r="K1300" s="3" t="str">
        <f t="shared" si="107"/>
        <v>Gd163</v>
      </c>
      <c r="L1300" s="3" cm="1">
        <f t="array" ref="L1300">SUM(($J1300*EXP(-$H1300*12*3600*_xlfn.SEQUENCE(L$1-1))))+$J1300</f>
        <v>0</v>
      </c>
      <c r="M1300" s="3"/>
      <c r="N1300" s="3"/>
    </row>
    <row r="1301" spans="2:14" hidden="1" x14ac:dyDescent="0.2">
      <c r="B1301" s="3">
        <v>65144</v>
      </c>
      <c r="C1301" s="3">
        <v>0</v>
      </c>
      <c r="D1301">
        <v>1298</v>
      </c>
      <c r="E1301" t="str">
        <f>VLOOKUP(B1301,Nuclides!A:F,5,FALSE)</f>
        <v>Tb144</v>
      </c>
      <c r="F1301">
        <f>VLOOKUP(B1301,Nuclides!A:F,4,FALSE)</f>
        <v>1</v>
      </c>
      <c r="G1301" s="3" t="str">
        <f t="shared" si="103"/>
        <v>1s</v>
      </c>
      <c r="H1301" s="3">
        <f t="shared" si="104"/>
        <v>0.69314718055994529</v>
      </c>
      <c r="I1301" s="3">
        <f t="shared" si="105"/>
        <v>0</v>
      </c>
      <c r="J1301" s="3">
        <f t="shared" si="106"/>
        <v>0</v>
      </c>
      <c r="K1301" s="3" t="str">
        <f t="shared" si="107"/>
        <v>Tb144</v>
      </c>
      <c r="L1301" s="3" cm="1">
        <f t="array" ref="L1301">SUM(($J1301*EXP(-$H1301*12*3600*_xlfn.SEQUENCE(L$1-1))))+$J1301</f>
        <v>0</v>
      </c>
      <c r="M1301" s="3"/>
      <c r="N1301" s="3"/>
    </row>
    <row r="1302" spans="2:14" hidden="1" x14ac:dyDescent="0.2">
      <c r="B1302" s="3">
        <v>65145</v>
      </c>
      <c r="C1302" s="3">
        <v>0</v>
      </c>
      <c r="D1302">
        <v>1299</v>
      </c>
      <c r="E1302" t="str">
        <f>VLOOKUP(B1302,Nuclides!A:F,5,FALSE)</f>
        <v>Tb145</v>
      </c>
      <c r="F1302">
        <f>VLOOKUP(B1302,Nuclides!A:F,4,FALSE)</f>
        <v>30.9</v>
      </c>
      <c r="G1302" s="3" t="str">
        <f t="shared" si="103"/>
        <v>30.9s</v>
      </c>
      <c r="H1302" s="3">
        <f t="shared" si="104"/>
        <v>2.2431947590936741E-2</v>
      </c>
      <c r="I1302" s="3">
        <f t="shared" si="105"/>
        <v>0</v>
      </c>
      <c r="J1302" s="3">
        <f t="shared" si="106"/>
        <v>0</v>
      </c>
      <c r="K1302" s="3" t="str">
        <f t="shared" si="107"/>
        <v>Tb145</v>
      </c>
      <c r="L1302" s="3" cm="1">
        <f t="array" ref="L1302">SUM(($J1302*EXP(-$H1302*12*3600*_xlfn.SEQUENCE(L$1-1))))+$J1302</f>
        <v>0</v>
      </c>
      <c r="M1302" s="3"/>
      <c r="N1302" s="3"/>
    </row>
    <row r="1303" spans="2:14" hidden="1" x14ac:dyDescent="0.2">
      <c r="B1303" s="3">
        <v>65146</v>
      </c>
      <c r="C1303" s="3">
        <v>0</v>
      </c>
      <c r="D1303">
        <v>1300</v>
      </c>
      <c r="E1303" t="str">
        <f>VLOOKUP(B1303,Nuclides!A:F,5,FALSE)</f>
        <v>Tb146</v>
      </c>
      <c r="F1303">
        <f>VLOOKUP(B1303,Nuclides!A:F,4,FALSE)</f>
        <v>8</v>
      </c>
      <c r="G1303" s="3" t="str">
        <f t="shared" si="103"/>
        <v>8s</v>
      </c>
      <c r="H1303" s="3">
        <f t="shared" si="104"/>
        <v>8.6643397569993161E-2</v>
      </c>
      <c r="I1303" s="3">
        <f t="shared" si="105"/>
        <v>0</v>
      </c>
      <c r="J1303" s="3">
        <f t="shared" si="106"/>
        <v>0</v>
      </c>
      <c r="K1303" s="3" t="str">
        <f t="shared" si="107"/>
        <v>Tb146</v>
      </c>
      <c r="L1303" s="3" cm="1">
        <f t="array" ref="L1303">SUM(($J1303*EXP(-$H1303*12*3600*_xlfn.SEQUENCE(L$1-1))))+$J1303</f>
        <v>0</v>
      </c>
      <c r="M1303" s="3"/>
      <c r="N1303" s="3"/>
    </row>
    <row r="1304" spans="2:14" hidden="1" x14ac:dyDescent="0.2">
      <c r="B1304" s="3">
        <v>65147</v>
      </c>
      <c r="C1304" s="3">
        <v>0</v>
      </c>
      <c r="D1304">
        <v>1301</v>
      </c>
      <c r="E1304" t="str">
        <f>VLOOKUP(B1304,Nuclides!A:F,5,FALSE)</f>
        <v>Tb147</v>
      </c>
      <c r="F1304">
        <f>VLOOKUP(B1304,Nuclides!A:F,4,FALSE)</f>
        <v>5904</v>
      </c>
      <c r="G1304" s="3" t="str">
        <f t="shared" si="103"/>
        <v>1.64h</v>
      </c>
      <c r="H1304" s="3">
        <f t="shared" si="104"/>
        <v>1.174029777371181E-4</v>
      </c>
      <c r="I1304" s="3">
        <f t="shared" si="105"/>
        <v>0</v>
      </c>
      <c r="J1304" s="3">
        <f t="shared" si="106"/>
        <v>0</v>
      </c>
      <c r="K1304" s="3" t="str">
        <f t="shared" si="107"/>
        <v>Tb147</v>
      </c>
      <c r="L1304" s="3" cm="1">
        <f t="array" ref="L1304">SUM(($J1304*EXP(-$H1304*12*3600*_xlfn.SEQUENCE(L$1-1))))+$J1304</f>
        <v>0</v>
      </c>
      <c r="M1304" s="3"/>
      <c r="N1304" s="3"/>
    </row>
    <row r="1305" spans="2:14" hidden="1" x14ac:dyDescent="0.2">
      <c r="B1305" s="3">
        <v>65148</v>
      </c>
      <c r="C1305" s="3">
        <v>0</v>
      </c>
      <c r="D1305">
        <v>1302</v>
      </c>
      <c r="E1305" t="str">
        <f>VLOOKUP(B1305,Nuclides!A:F,5,FALSE)</f>
        <v>Tb148</v>
      </c>
      <c r="F1305">
        <f>VLOOKUP(B1305,Nuclides!A:F,4,FALSE)</f>
        <v>3600</v>
      </c>
      <c r="G1305" s="3" t="str">
        <f t="shared" si="103"/>
        <v>1h</v>
      </c>
      <c r="H1305" s="3">
        <f t="shared" si="104"/>
        <v>1.9254088348887369E-4</v>
      </c>
      <c r="I1305" s="3">
        <f t="shared" si="105"/>
        <v>0</v>
      </c>
      <c r="J1305" s="3">
        <f t="shared" si="106"/>
        <v>0</v>
      </c>
      <c r="K1305" s="3" t="str">
        <f t="shared" si="107"/>
        <v>Tb148</v>
      </c>
      <c r="L1305" s="3" cm="1">
        <f t="array" ref="L1305">SUM(($J1305*EXP(-$H1305*12*3600*_xlfn.SEQUENCE(L$1-1))))+$J1305</f>
        <v>0</v>
      </c>
      <c r="M1305" s="3"/>
      <c r="N1305" s="3"/>
    </row>
    <row r="1306" spans="2:14" hidden="1" x14ac:dyDescent="0.2">
      <c r="B1306" s="3">
        <v>65149</v>
      </c>
      <c r="C1306" s="3">
        <v>0</v>
      </c>
      <c r="D1306">
        <v>1303</v>
      </c>
      <c r="E1306" t="str">
        <f>VLOOKUP(B1306,Nuclides!A:F,5,FALSE)</f>
        <v>Tb149</v>
      </c>
      <c r="F1306">
        <f>VLOOKUP(B1306,Nuclides!A:F,4,FALSE)</f>
        <v>14824.8</v>
      </c>
      <c r="G1306" s="3" t="str">
        <f t="shared" si="103"/>
        <v>4.12h</v>
      </c>
      <c r="H1306" s="3">
        <f t="shared" si="104"/>
        <v>4.6755921196909595E-5</v>
      </c>
      <c r="I1306" s="3">
        <f t="shared" si="105"/>
        <v>0</v>
      </c>
      <c r="J1306" s="3">
        <f t="shared" si="106"/>
        <v>0</v>
      </c>
      <c r="K1306" s="3" t="str">
        <f t="shared" si="107"/>
        <v>Tb149</v>
      </c>
      <c r="L1306" s="3" cm="1">
        <f t="array" ref="L1306">SUM(($J1306*EXP(-$H1306*12*3600*_xlfn.SEQUENCE(L$1-1))))+$J1306</f>
        <v>0</v>
      </c>
      <c r="M1306" s="3"/>
      <c r="N1306" s="3"/>
    </row>
    <row r="1307" spans="2:14" hidden="1" x14ac:dyDescent="0.2">
      <c r="B1307" s="3">
        <v>65150</v>
      </c>
      <c r="C1307" s="3">
        <v>0</v>
      </c>
      <c r="D1307">
        <v>1304</v>
      </c>
      <c r="E1307" t="str">
        <f>VLOOKUP(B1307,Nuclides!A:F,5,FALSE)</f>
        <v>Tb150</v>
      </c>
      <c r="F1307">
        <f>VLOOKUP(B1307,Nuclides!A:F,4,FALSE)</f>
        <v>12528</v>
      </c>
      <c r="G1307" s="3" t="str">
        <f t="shared" si="103"/>
        <v>3.48h</v>
      </c>
      <c r="H1307" s="3">
        <f t="shared" si="104"/>
        <v>5.5327840083009681E-5</v>
      </c>
      <c r="I1307" s="3">
        <f t="shared" si="105"/>
        <v>0</v>
      </c>
      <c r="J1307" s="3">
        <f t="shared" si="106"/>
        <v>0</v>
      </c>
      <c r="K1307" s="3" t="str">
        <f t="shared" si="107"/>
        <v>Tb150</v>
      </c>
      <c r="L1307" s="3" cm="1">
        <f t="array" ref="L1307">SUM(($J1307*EXP(-$H1307*12*3600*_xlfn.SEQUENCE(L$1-1))))+$J1307</f>
        <v>0</v>
      </c>
      <c r="M1307" s="3"/>
      <c r="N1307" s="3"/>
    </row>
    <row r="1308" spans="2:14" hidden="1" x14ac:dyDescent="0.2">
      <c r="B1308" s="3">
        <v>65151</v>
      </c>
      <c r="C1308" s="3">
        <v>0</v>
      </c>
      <c r="D1308">
        <v>1305</v>
      </c>
      <c r="E1308" t="str">
        <f>VLOOKUP(B1308,Nuclides!A:F,5,FALSE)</f>
        <v>Tb151</v>
      </c>
      <c r="F1308">
        <f>VLOOKUP(B1308,Nuclides!A:F,4,FALSE)</f>
        <v>63392.4</v>
      </c>
      <c r="G1308" s="3" t="str">
        <f t="shared" si="103"/>
        <v>17.61h</v>
      </c>
      <c r="H1308" s="3">
        <f t="shared" si="104"/>
        <v>1.0934231557094309E-5</v>
      </c>
      <c r="I1308" s="3">
        <f t="shared" si="105"/>
        <v>0</v>
      </c>
      <c r="J1308" s="3">
        <f t="shared" si="106"/>
        <v>0</v>
      </c>
      <c r="K1308" s="3" t="str">
        <f t="shared" si="107"/>
        <v>Tb151</v>
      </c>
      <c r="L1308" s="3" cm="1">
        <f t="array" ref="L1308">SUM(($J1308*EXP(-$H1308*12*3600*_xlfn.SEQUENCE(L$1-1))))+$J1308</f>
        <v>0</v>
      </c>
      <c r="M1308" s="3"/>
      <c r="N1308" s="3"/>
    </row>
    <row r="1309" spans="2:14" hidden="1" x14ac:dyDescent="0.2">
      <c r="B1309" s="3">
        <v>65152</v>
      </c>
      <c r="C1309" s="3">
        <v>0</v>
      </c>
      <c r="D1309">
        <v>1306</v>
      </c>
      <c r="E1309" t="str">
        <f>VLOOKUP(B1309,Nuclides!A:F,5,FALSE)</f>
        <v>Tb152</v>
      </c>
      <c r="F1309">
        <f>VLOOKUP(B1309,Nuclides!A:F,4,FALSE)</f>
        <v>63000</v>
      </c>
      <c r="G1309" s="3" t="str">
        <f t="shared" si="103"/>
        <v>17.5h</v>
      </c>
      <c r="H1309" s="3">
        <f t="shared" si="104"/>
        <v>1.1002336199364212E-5</v>
      </c>
      <c r="I1309" s="3">
        <f t="shared" si="105"/>
        <v>0</v>
      </c>
      <c r="J1309" s="3">
        <f t="shared" si="106"/>
        <v>0</v>
      </c>
      <c r="K1309" s="3" t="str">
        <f t="shared" si="107"/>
        <v>Tb152</v>
      </c>
      <c r="L1309" s="3" cm="1">
        <f t="array" ref="L1309">SUM(($J1309*EXP(-$H1309*12*3600*_xlfn.SEQUENCE(L$1-1))))+$J1309</f>
        <v>0</v>
      </c>
      <c r="M1309" s="3"/>
      <c r="N1309" s="3"/>
    </row>
    <row r="1310" spans="2:14" hidden="1" x14ac:dyDescent="0.2">
      <c r="B1310" s="3">
        <v>65153</v>
      </c>
      <c r="C1310" s="3">
        <v>0</v>
      </c>
      <c r="D1310">
        <v>1307</v>
      </c>
      <c r="E1310" t="str">
        <f>VLOOKUP(B1310,Nuclides!A:F,5,FALSE)</f>
        <v>Tb153</v>
      </c>
      <c r="F1310">
        <f>VLOOKUP(B1310,Nuclides!A:F,4,FALSE)</f>
        <v>202176</v>
      </c>
      <c r="G1310" s="3" t="str">
        <f t="shared" si="103"/>
        <v>2.34d</v>
      </c>
      <c r="H1310" s="3">
        <f t="shared" si="104"/>
        <v>3.4284345350582921E-6</v>
      </c>
      <c r="I1310" s="3">
        <f t="shared" si="105"/>
        <v>0</v>
      </c>
      <c r="J1310" s="3">
        <f t="shared" si="106"/>
        <v>0</v>
      </c>
      <c r="K1310" s="3" t="str">
        <f t="shared" si="107"/>
        <v>Tb153</v>
      </c>
      <c r="L1310" s="3" cm="1">
        <f t="array" ref="L1310">SUM(($J1310*EXP(-$H1310*12*3600*_xlfn.SEQUENCE(L$1-1))))+$J1310</f>
        <v>0</v>
      </c>
      <c r="M1310" s="3"/>
      <c r="N1310" s="3"/>
    </row>
    <row r="1311" spans="2:14" hidden="1" x14ac:dyDescent="0.2">
      <c r="B1311" s="3">
        <v>65154</v>
      </c>
      <c r="C1311" s="3">
        <v>0</v>
      </c>
      <c r="D1311">
        <v>1308</v>
      </c>
      <c r="E1311" t="str">
        <f>VLOOKUP(B1311,Nuclides!A:F,5,FALSE)</f>
        <v>Tb154</v>
      </c>
      <c r="F1311">
        <f>VLOOKUP(B1311,Nuclides!A:F,4,FALSE)</f>
        <v>77400</v>
      </c>
      <c r="G1311" s="3" t="str">
        <f t="shared" si="103"/>
        <v>21.5h</v>
      </c>
      <c r="H1311" s="3">
        <f t="shared" si="104"/>
        <v>8.9553899297150559E-6</v>
      </c>
      <c r="I1311" s="3">
        <f t="shared" si="105"/>
        <v>0</v>
      </c>
      <c r="J1311" s="3">
        <f t="shared" si="106"/>
        <v>0</v>
      </c>
      <c r="K1311" s="3" t="str">
        <f t="shared" si="107"/>
        <v>Tb154</v>
      </c>
      <c r="L1311" s="3" cm="1">
        <f t="array" ref="L1311">SUM(($J1311*EXP(-$H1311*12*3600*_xlfn.SEQUENCE(L$1-1))))+$J1311</f>
        <v>0</v>
      </c>
      <c r="M1311" s="3"/>
      <c r="N1311" s="3"/>
    </row>
    <row r="1312" spans="2:14" hidden="1" x14ac:dyDescent="0.2">
      <c r="B1312" s="3">
        <v>65155</v>
      </c>
      <c r="C1312" s="3">
        <v>0</v>
      </c>
      <c r="D1312">
        <v>1309</v>
      </c>
      <c r="E1312" t="str">
        <f>VLOOKUP(B1312,Nuclides!A:F,5,FALSE)</f>
        <v>Tb155</v>
      </c>
      <c r="F1312">
        <f>VLOOKUP(B1312,Nuclides!A:F,4,FALSE)</f>
        <v>459648</v>
      </c>
      <c r="G1312" s="3" t="str">
        <f t="shared" si="103"/>
        <v>5.32d</v>
      </c>
      <c r="H1312" s="3">
        <f t="shared" si="104"/>
        <v>1.5079956413602264E-6</v>
      </c>
      <c r="I1312" s="3">
        <f t="shared" si="105"/>
        <v>0</v>
      </c>
      <c r="J1312" s="3">
        <f t="shared" si="106"/>
        <v>0</v>
      </c>
      <c r="K1312" s="3" t="str">
        <f t="shared" si="107"/>
        <v>Tb155</v>
      </c>
      <c r="L1312" s="3" cm="1">
        <f t="array" ref="L1312">SUM(($J1312*EXP(-$H1312*12*3600*_xlfn.SEQUENCE(L$1-1))))+$J1312</f>
        <v>0</v>
      </c>
      <c r="M1312" s="3"/>
      <c r="N1312" s="3"/>
    </row>
    <row r="1313" spans="2:14" hidden="1" x14ac:dyDescent="0.2">
      <c r="B1313" s="3">
        <v>65156</v>
      </c>
      <c r="C1313" s="3">
        <v>0</v>
      </c>
      <c r="D1313">
        <v>1310</v>
      </c>
      <c r="E1313" t="str">
        <f>VLOOKUP(B1313,Nuclides!A:F,5,FALSE)</f>
        <v>Tb156</v>
      </c>
      <c r="F1313">
        <f>VLOOKUP(B1313,Nuclides!A:F,4,FALSE)</f>
        <v>462239.99999999901</v>
      </c>
      <c r="G1313" s="3" t="str">
        <f t="shared" si="103"/>
        <v>5.35d</v>
      </c>
      <c r="H1313" s="3">
        <f t="shared" si="104"/>
        <v>1.499539591034845E-6</v>
      </c>
      <c r="I1313" s="3">
        <f t="shared" si="105"/>
        <v>0</v>
      </c>
      <c r="J1313" s="3">
        <f t="shared" si="106"/>
        <v>0</v>
      </c>
      <c r="K1313" s="3" t="str">
        <f t="shared" si="107"/>
        <v>Tb156</v>
      </c>
      <c r="L1313" s="3" cm="1">
        <f t="array" ref="L1313">SUM(($J1313*EXP(-$H1313*12*3600*_xlfn.SEQUENCE(L$1-1))))+$J1313</f>
        <v>0</v>
      </c>
      <c r="M1313" s="3"/>
      <c r="N1313" s="3"/>
    </row>
    <row r="1314" spans="2:14" hidden="1" x14ac:dyDescent="0.2">
      <c r="B1314" s="3">
        <v>65157</v>
      </c>
      <c r="C1314" s="3">
        <v>0</v>
      </c>
      <c r="D1314">
        <v>1311</v>
      </c>
      <c r="E1314" t="str">
        <f>VLOOKUP(B1314,Nuclides!A:F,5,FALSE)</f>
        <v>Tb157</v>
      </c>
      <c r="F1314">
        <f>VLOOKUP(B1314,Nuclides!A:F,4,FALSE)</f>
        <v>2240589600</v>
      </c>
      <c r="G1314" s="3" t="str">
        <f t="shared" si="103"/>
        <v>71.05y</v>
      </c>
      <c r="H1314" s="3">
        <f t="shared" si="104"/>
        <v>3.0935927782577644E-10</v>
      </c>
      <c r="I1314" s="3">
        <f t="shared" si="105"/>
        <v>0</v>
      </c>
      <c r="J1314" s="3">
        <f t="shared" si="106"/>
        <v>0</v>
      </c>
      <c r="K1314" s="3" t="str">
        <f t="shared" si="107"/>
        <v>Tb157</v>
      </c>
      <c r="L1314" s="3" cm="1">
        <f t="array" ref="L1314">SUM(($J1314*EXP(-$H1314*12*3600*_xlfn.SEQUENCE(L$1-1))))+$J1314</f>
        <v>0</v>
      </c>
      <c r="M1314" s="3"/>
      <c r="N1314" s="3"/>
    </row>
    <row r="1315" spans="2:14" hidden="1" x14ac:dyDescent="0.2">
      <c r="B1315" s="3">
        <v>65158</v>
      </c>
      <c r="C1315" s="3">
        <v>0</v>
      </c>
      <c r="D1315">
        <v>1312</v>
      </c>
      <c r="E1315" t="str">
        <f>VLOOKUP(B1315,Nuclides!A:F,5,FALSE)</f>
        <v>Tb158</v>
      </c>
      <c r="F1315">
        <f>VLOOKUP(B1315,Nuclides!A:F,4,FALSE)</f>
        <v>5680368000</v>
      </c>
      <c r="G1315" s="3" t="str">
        <f t="shared" si="103"/>
        <v>180.12y</v>
      </c>
      <c r="H1315" s="3">
        <f t="shared" si="104"/>
        <v>1.2202504847572292E-10</v>
      </c>
      <c r="I1315" s="3">
        <f t="shared" si="105"/>
        <v>0</v>
      </c>
      <c r="J1315" s="3">
        <f t="shared" si="106"/>
        <v>0</v>
      </c>
      <c r="K1315" s="3" t="str">
        <f t="shared" si="107"/>
        <v>Tb158</v>
      </c>
      <c r="L1315" s="3" cm="1">
        <f t="array" ref="L1315">SUM(($J1315*EXP(-$H1315*12*3600*_xlfn.SEQUENCE(L$1-1))))+$J1315</f>
        <v>0</v>
      </c>
      <c r="M1315" s="3"/>
      <c r="N1315" s="3"/>
    </row>
    <row r="1316" spans="2:14" hidden="1" x14ac:dyDescent="0.2">
      <c r="B1316" s="3">
        <v>65159</v>
      </c>
      <c r="C1316" s="3">
        <v>0</v>
      </c>
      <c r="D1316">
        <v>1313</v>
      </c>
      <c r="E1316" t="str">
        <f>VLOOKUP(B1316,Nuclides!A:F,5,FALSE)</f>
        <v>Tb159</v>
      </c>
      <c r="F1316" t="str">
        <f>VLOOKUP(B1316,Nuclides!A:F,4,FALSE)</f>
        <v>STABLE</v>
      </c>
      <c r="G1316" s="3" t="str">
        <f t="shared" si="103"/>
        <v>STABLE</v>
      </c>
      <c r="H1316" s="3" t="e">
        <f t="shared" si="104"/>
        <v>#VALUE!</v>
      </c>
      <c r="I1316" s="3" t="e">
        <f t="shared" si="105"/>
        <v>#VALUE!</v>
      </c>
      <c r="J1316" s="3" t="e">
        <f t="shared" si="106"/>
        <v>#VALUE!</v>
      </c>
      <c r="K1316" s="3" t="str">
        <f t="shared" si="107"/>
        <v>Tb159</v>
      </c>
      <c r="L1316" s="3" t="e" cm="1">
        <f t="array" ref="L1316">SUM(($J1316*EXP(-$H1316*12*3600*_xlfn.SEQUENCE(L$1-1))))+$J1316</f>
        <v>#VALUE!</v>
      </c>
      <c r="M1316" s="3"/>
      <c r="N1316" s="3"/>
    </row>
    <row r="1317" spans="2:14" hidden="1" x14ac:dyDescent="0.2">
      <c r="B1317" s="3">
        <v>65160</v>
      </c>
      <c r="C1317" s="3">
        <v>0</v>
      </c>
      <c r="D1317">
        <v>1314</v>
      </c>
      <c r="E1317" t="str">
        <f>VLOOKUP(B1317,Nuclides!A:F,5,FALSE)</f>
        <v>Tb160</v>
      </c>
      <c r="F1317">
        <f>VLOOKUP(B1317,Nuclides!A:F,4,FALSE)</f>
        <v>6246720</v>
      </c>
      <c r="G1317" s="3" t="str">
        <f t="shared" si="103"/>
        <v>72.3d</v>
      </c>
      <c r="H1317" s="3">
        <f t="shared" si="104"/>
        <v>1.1096178163259204E-7</v>
      </c>
      <c r="I1317" s="3">
        <f t="shared" si="105"/>
        <v>0</v>
      </c>
      <c r="J1317" s="3">
        <f t="shared" si="106"/>
        <v>0</v>
      </c>
      <c r="K1317" s="3" t="str">
        <f t="shared" si="107"/>
        <v>Tb160</v>
      </c>
      <c r="L1317" s="3" cm="1">
        <f t="array" ref="L1317">SUM(($J1317*EXP(-$H1317*12*3600*_xlfn.SEQUENCE(L$1-1))))+$J1317</f>
        <v>0</v>
      </c>
      <c r="M1317" s="3"/>
      <c r="N1317" s="3"/>
    </row>
    <row r="1318" spans="2:14" hidden="1" x14ac:dyDescent="0.2">
      <c r="B1318" s="3">
        <v>65161</v>
      </c>
      <c r="C1318" s="3">
        <v>0</v>
      </c>
      <c r="D1318">
        <v>1315</v>
      </c>
      <c r="E1318" t="str">
        <f>VLOOKUP(B1318,Nuclides!A:F,5,FALSE)</f>
        <v>Tb161</v>
      </c>
      <c r="F1318">
        <f>VLOOKUP(B1318,Nuclides!A:F,4,FALSE)</f>
        <v>595296</v>
      </c>
      <c r="G1318" s="3" t="str">
        <f t="shared" si="103"/>
        <v>6.89d</v>
      </c>
      <c r="H1318" s="3">
        <f t="shared" si="104"/>
        <v>1.1643739930386654E-6</v>
      </c>
      <c r="I1318" s="3">
        <f t="shared" si="105"/>
        <v>0</v>
      </c>
      <c r="J1318" s="3">
        <f t="shared" si="106"/>
        <v>0</v>
      </c>
      <c r="K1318" s="3" t="str">
        <f t="shared" si="107"/>
        <v>Tb161</v>
      </c>
      <c r="L1318" s="3" cm="1">
        <f t="array" ref="L1318">SUM(($J1318*EXP(-$H1318*12*3600*_xlfn.SEQUENCE(L$1-1))))+$J1318</f>
        <v>0</v>
      </c>
      <c r="M1318" s="3"/>
      <c r="N1318" s="3"/>
    </row>
    <row r="1319" spans="2:14" hidden="1" x14ac:dyDescent="0.2">
      <c r="B1319" s="3">
        <v>65162</v>
      </c>
      <c r="C1319" s="3">
        <v>0</v>
      </c>
      <c r="D1319">
        <v>1316</v>
      </c>
      <c r="E1319" t="str">
        <f>VLOOKUP(B1319,Nuclides!A:F,5,FALSE)</f>
        <v>Tb162</v>
      </c>
      <c r="F1319">
        <f>VLOOKUP(B1319,Nuclides!A:F,4,FALSE)</f>
        <v>456</v>
      </c>
      <c r="G1319" s="3" t="str">
        <f t="shared" si="103"/>
        <v>7.6min</v>
      </c>
      <c r="H1319" s="3">
        <f t="shared" si="104"/>
        <v>1.520059606491108E-3</v>
      </c>
      <c r="I1319" s="3">
        <f t="shared" si="105"/>
        <v>0</v>
      </c>
      <c r="J1319" s="3">
        <f t="shared" si="106"/>
        <v>0</v>
      </c>
      <c r="K1319" s="3" t="str">
        <f t="shared" si="107"/>
        <v>Tb162</v>
      </c>
      <c r="L1319" s="3" cm="1">
        <f t="array" ref="L1319">SUM(($J1319*EXP(-$H1319*12*3600*_xlfn.SEQUENCE(L$1-1))))+$J1319</f>
        <v>0</v>
      </c>
      <c r="M1319" s="3"/>
      <c r="N1319" s="3"/>
    </row>
    <row r="1320" spans="2:14" hidden="1" x14ac:dyDescent="0.2">
      <c r="B1320" s="3">
        <v>65163</v>
      </c>
      <c r="C1320" s="3">
        <v>0</v>
      </c>
      <c r="D1320">
        <v>1317</v>
      </c>
      <c r="E1320" t="str">
        <f>VLOOKUP(B1320,Nuclides!A:F,5,FALSE)</f>
        <v>Tb163</v>
      </c>
      <c r="F1320">
        <f>VLOOKUP(B1320,Nuclides!A:F,4,FALSE)</f>
        <v>1170</v>
      </c>
      <c r="G1320" s="3" t="str">
        <f t="shared" si="103"/>
        <v>19.5min</v>
      </c>
      <c r="H1320" s="3">
        <f t="shared" si="104"/>
        <v>5.9243348765807284E-4</v>
      </c>
      <c r="I1320" s="3">
        <f t="shared" si="105"/>
        <v>0</v>
      </c>
      <c r="J1320" s="3">
        <f t="shared" si="106"/>
        <v>0</v>
      </c>
      <c r="K1320" s="3" t="str">
        <f t="shared" si="107"/>
        <v>Tb163</v>
      </c>
      <c r="L1320" s="3" cm="1">
        <f t="array" ref="L1320">SUM(($J1320*EXP(-$H1320*12*3600*_xlfn.SEQUENCE(L$1-1))))+$J1320</f>
        <v>0</v>
      </c>
      <c r="M1320" s="3"/>
      <c r="N1320" s="3"/>
    </row>
    <row r="1321" spans="2:14" hidden="1" x14ac:dyDescent="0.2">
      <c r="B1321" s="3">
        <v>65164</v>
      </c>
      <c r="C1321" s="3">
        <v>0</v>
      </c>
      <c r="D1321">
        <v>1318</v>
      </c>
      <c r="E1321" t="str">
        <f>VLOOKUP(B1321,Nuclides!A:F,5,FALSE)</f>
        <v>Tb164</v>
      </c>
      <c r="F1321">
        <f>VLOOKUP(B1321,Nuclides!A:F,4,FALSE)</f>
        <v>180</v>
      </c>
      <c r="G1321" s="3" t="str">
        <f t="shared" si="103"/>
        <v>3min</v>
      </c>
      <c r="H1321" s="3">
        <f t="shared" si="104"/>
        <v>3.8508176697774738E-3</v>
      </c>
      <c r="I1321" s="3">
        <f t="shared" si="105"/>
        <v>0</v>
      </c>
      <c r="J1321" s="3">
        <f t="shared" si="106"/>
        <v>0</v>
      </c>
      <c r="K1321" s="3" t="str">
        <f t="shared" si="107"/>
        <v>Tb164</v>
      </c>
      <c r="L1321" s="3" cm="1">
        <f t="array" ref="L1321">SUM(($J1321*EXP(-$H1321*12*3600*_xlfn.SEQUENCE(L$1-1))))+$J1321</f>
        <v>0</v>
      </c>
      <c r="M1321" s="3"/>
      <c r="N1321" s="3"/>
    </row>
    <row r="1322" spans="2:14" hidden="1" x14ac:dyDescent="0.2">
      <c r="B1322" s="3">
        <v>65165</v>
      </c>
      <c r="C1322" s="3">
        <v>0</v>
      </c>
      <c r="D1322">
        <v>1319</v>
      </c>
      <c r="E1322" t="str">
        <f>VLOOKUP(B1322,Nuclides!A:F,5,FALSE)</f>
        <v>Tb165</v>
      </c>
      <c r="F1322">
        <f>VLOOKUP(B1322,Nuclides!A:F,4,FALSE)</f>
        <v>126.6</v>
      </c>
      <c r="G1322" s="3" t="str">
        <f t="shared" si="103"/>
        <v>2.11min</v>
      </c>
      <c r="H1322" s="3">
        <f t="shared" si="104"/>
        <v>5.4750962129537541E-3</v>
      </c>
      <c r="I1322" s="3">
        <f t="shared" si="105"/>
        <v>0</v>
      </c>
      <c r="J1322" s="3">
        <f t="shared" si="106"/>
        <v>0</v>
      </c>
      <c r="K1322" s="3" t="str">
        <f t="shared" si="107"/>
        <v>Tb165</v>
      </c>
      <c r="L1322" s="3" cm="1">
        <f t="array" ref="L1322">SUM(($J1322*EXP(-$H1322*12*3600*_xlfn.SEQUENCE(L$1-1))))+$J1322</f>
        <v>0</v>
      </c>
      <c r="M1322" s="3"/>
      <c r="N1322" s="3"/>
    </row>
    <row r="1323" spans="2:14" hidden="1" x14ac:dyDescent="0.2">
      <c r="B1323" s="3">
        <v>66145</v>
      </c>
      <c r="C1323" s="3">
        <v>0</v>
      </c>
      <c r="D1323">
        <v>1320</v>
      </c>
      <c r="E1323" t="str">
        <f>VLOOKUP(B1323,Nuclides!A:F,5,FALSE)</f>
        <v>Dy145</v>
      </c>
      <c r="F1323">
        <f>VLOOKUP(B1323,Nuclides!A:F,4,FALSE)</f>
        <v>6</v>
      </c>
      <c r="G1323" s="3" t="str">
        <f t="shared" si="103"/>
        <v>6s</v>
      </c>
      <c r="H1323" s="3">
        <f t="shared" si="104"/>
        <v>0.11552453009332421</v>
      </c>
      <c r="I1323" s="3">
        <f t="shared" si="105"/>
        <v>0</v>
      </c>
      <c r="J1323" s="3">
        <f t="shared" si="106"/>
        <v>0</v>
      </c>
      <c r="K1323" s="3" t="str">
        <f t="shared" si="107"/>
        <v>Dy145</v>
      </c>
      <c r="L1323" s="3" cm="1">
        <f t="array" ref="L1323">SUM(($J1323*EXP(-$H1323*12*3600*_xlfn.SEQUENCE(L$1-1))))+$J1323</f>
        <v>0</v>
      </c>
      <c r="M1323" s="3"/>
      <c r="N1323" s="3"/>
    </row>
    <row r="1324" spans="2:14" hidden="1" x14ac:dyDescent="0.2">
      <c r="B1324" s="3">
        <v>66146</v>
      </c>
      <c r="C1324" s="3">
        <v>0</v>
      </c>
      <c r="D1324">
        <v>1321</v>
      </c>
      <c r="E1324" t="str">
        <f>VLOOKUP(B1324,Nuclides!A:F,5,FALSE)</f>
        <v>Dy146</v>
      </c>
      <c r="F1324">
        <f>VLOOKUP(B1324,Nuclides!A:F,4,FALSE)</f>
        <v>33.200000000000003</v>
      </c>
      <c r="G1324" s="3" t="str">
        <f t="shared" si="103"/>
        <v>33.2s</v>
      </c>
      <c r="H1324" s="3">
        <f t="shared" si="104"/>
        <v>2.0877927125299556E-2</v>
      </c>
      <c r="I1324" s="3">
        <f t="shared" si="105"/>
        <v>0</v>
      </c>
      <c r="J1324" s="3">
        <f t="shared" si="106"/>
        <v>0</v>
      </c>
      <c r="K1324" s="3" t="str">
        <f t="shared" si="107"/>
        <v>Dy146</v>
      </c>
      <c r="L1324" s="3" cm="1">
        <f t="array" ref="L1324">SUM(($J1324*EXP(-$H1324*12*3600*_xlfn.SEQUENCE(L$1-1))))+$J1324</f>
        <v>0</v>
      </c>
      <c r="M1324" s="3"/>
      <c r="N1324" s="3"/>
    </row>
    <row r="1325" spans="2:14" hidden="1" x14ac:dyDescent="0.2">
      <c r="B1325" s="3">
        <v>66147</v>
      </c>
      <c r="C1325" s="3">
        <v>0</v>
      </c>
      <c r="D1325">
        <v>1322</v>
      </c>
      <c r="E1325" t="str">
        <f>VLOOKUP(B1325,Nuclides!A:F,5,FALSE)</f>
        <v>Dy147</v>
      </c>
      <c r="F1325">
        <f>VLOOKUP(B1325,Nuclides!A:F,4,FALSE)</f>
        <v>67</v>
      </c>
      <c r="G1325" s="3" t="str">
        <f t="shared" si="103"/>
        <v>1.12min</v>
      </c>
      <c r="H1325" s="3">
        <f t="shared" si="104"/>
        <v>1.0345480306864855E-2</v>
      </c>
      <c r="I1325" s="3">
        <f t="shared" si="105"/>
        <v>0</v>
      </c>
      <c r="J1325" s="3">
        <f t="shared" si="106"/>
        <v>0</v>
      </c>
      <c r="K1325" s="3" t="str">
        <f t="shared" si="107"/>
        <v>Dy147</v>
      </c>
      <c r="L1325" s="3" cm="1">
        <f t="array" ref="L1325">SUM(($J1325*EXP(-$H1325*12*3600*_xlfn.SEQUENCE(L$1-1))))+$J1325</f>
        <v>0</v>
      </c>
      <c r="M1325" s="3"/>
      <c r="N1325" s="3"/>
    </row>
    <row r="1326" spans="2:14" hidden="1" x14ac:dyDescent="0.2">
      <c r="B1326" s="3">
        <v>66148</v>
      </c>
      <c r="C1326" s="3">
        <v>0</v>
      </c>
      <c r="D1326">
        <v>1323</v>
      </c>
      <c r="E1326" t="str">
        <f>VLOOKUP(B1326,Nuclides!A:F,5,FALSE)</f>
        <v>Dy148</v>
      </c>
      <c r="F1326">
        <f>VLOOKUP(B1326,Nuclides!A:F,4,FALSE)</f>
        <v>198</v>
      </c>
      <c r="G1326" s="3" t="str">
        <f t="shared" si="103"/>
        <v>3.3min</v>
      </c>
      <c r="H1326" s="3">
        <f t="shared" si="104"/>
        <v>3.5007433361613398E-3</v>
      </c>
      <c r="I1326" s="3">
        <f t="shared" si="105"/>
        <v>0</v>
      </c>
      <c r="J1326" s="3">
        <f t="shared" si="106"/>
        <v>0</v>
      </c>
      <c r="K1326" s="3" t="str">
        <f t="shared" si="107"/>
        <v>Dy148</v>
      </c>
      <c r="L1326" s="3" cm="1">
        <f t="array" ref="L1326">SUM(($J1326*EXP(-$H1326*12*3600*_xlfn.SEQUENCE(L$1-1))))+$J1326</f>
        <v>0</v>
      </c>
      <c r="M1326" s="3"/>
      <c r="N1326" s="3"/>
    </row>
    <row r="1327" spans="2:14" hidden="1" x14ac:dyDescent="0.2">
      <c r="B1327" s="3">
        <v>66149</v>
      </c>
      <c r="C1327" s="3">
        <v>0</v>
      </c>
      <c r="D1327">
        <v>1324</v>
      </c>
      <c r="E1327" t="str">
        <f>VLOOKUP(B1327,Nuclides!A:F,5,FALSE)</f>
        <v>Dy149</v>
      </c>
      <c r="F1327">
        <f>VLOOKUP(B1327,Nuclides!A:F,4,FALSE)</f>
        <v>252</v>
      </c>
      <c r="G1327" s="3" t="str">
        <f t="shared" si="103"/>
        <v>4.2min</v>
      </c>
      <c r="H1327" s="3">
        <f t="shared" si="104"/>
        <v>2.7505840498410527E-3</v>
      </c>
      <c r="I1327" s="3">
        <f t="shared" si="105"/>
        <v>0</v>
      </c>
      <c r="J1327" s="3">
        <f t="shared" si="106"/>
        <v>0</v>
      </c>
      <c r="K1327" s="3" t="str">
        <f t="shared" si="107"/>
        <v>Dy149</v>
      </c>
      <c r="L1327" s="3" cm="1">
        <f t="array" ref="L1327">SUM(($J1327*EXP(-$H1327*12*3600*_xlfn.SEQUENCE(L$1-1))))+$J1327</f>
        <v>0</v>
      </c>
      <c r="M1327" s="3"/>
      <c r="N1327" s="3"/>
    </row>
    <row r="1328" spans="2:14" hidden="1" x14ac:dyDescent="0.2">
      <c r="B1328" s="3">
        <v>66150</v>
      </c>
      <c r="C1328" s="3">
        <v>0</v>
      </c>
      <c r="D1328">
        <v>1325</v>
      </c>
      <c r="E1328" t="str">
        <f>VLOOKUP(B1328,Nuclides!A:F,5,FALSE)</f>
        <v>Dy150</v>
      </c>
      <c r="F1328">
        <f>VLOOKUP(B1328,Nuclides!A:F,4,FALSE)</f>
        <v>430.2</v>
      </c>
      <c r="G1328" s="3" t="str">
        <f t="shared" si="103"/>
        <v>7.17min</v>
      </c>
      <c r="H1328" s="3">
        <f t="shared" si="104"/>
        <v>1.6112207823336712E-3</v>
      </c>
      <c r="I1328" s="3">
        <f t="shared" si="105"/>
        <v>0</v>
      </c>
      <c r="J1328" s="3">
        <f t="shared" si="106"/>
        <v>0</v>
      </c>
      <c r="K1328" s="3" t="str">
        <f t="shared" si="107"/>
        <v>Dy150</v>
      </c>
      <c r="L1328" s="3" cm="1">
        <f t="array" ref="L1328">SUM(($J1328*EXP(-$H1328*12*3600*_xlfn.SEQUENCE(L$1-1))))+$J1328</f>
        <v>0</v>
      </c>
      <c r="M1328" s="3"/>
      <c r="N1328" s="3"/>
    </row>
    <row r="1329" spans="2:14" hidden="1" x14ac:dyDescent="0.2">
      <c r="B1329" s="3">
        <v>66151</v>
      </c>
      <c r="C1329" s="3">
        <v>0</v>
      </c>
      <c r="D1329">
        <v>1326</v>
      </c>
      <c r="E1329" t="str">
        <f>VLOOKUP(B1329,Nuclides!A:F,5,FALSE)</f>
        <v>Dy151</v>
      </c>
      <c r="F1329">
        <f>VLOOKUP(B1329,Nuclides!A:F,4,FALSE)</f>
        <v>1074</v>
      </c>
      <c r="G1329" s="3" t="str">
        <f t="shared" si="103"/>
        <v>17.9min</v>
      </c>
      <c r="H1329" s="3">
        <f t="shared" si="104"/>
        <v>6.4538843627555431E-4</v>
      </c>
      <c r="I1329" s="3">
        <f t="shared" si="105"/>
        <v>0</v>
      </c>
      <c r="J1329" s="3">
        <f t="shared" si="106"/>
        <v>0</v>
      </c>
      <c r="K1329" s="3" t="str">
        <f t="shared" si="107"/>
        <v>Dy151</v>
      </c>
      <c r="L1329" s="3" cm="1">
        <f t="array" ref="L1329">SUM(($J1329*EXP(-$H1329*12*3600*_xlfn.SEQUENCE(L$1-1))))+$J1329</f>
        <v>0</v>
      </c>
      <c r="M1329" s="3"/>
      <c r="N1329" s="3"/>
    </row>
    <row r="1330" spans="2:14" hidden="1" x14ac:dyDescent="0.2">
      <c r="B1330" s="3">
        <v>66152</v>
      </c>
      <c r="C1330" s="3">
        <v>0</v>
      </c>
      <c r="D1330">
        <v>1327</v>
      </c>
      <c r="E1330" t="str">
        <f>VLOOKUP(B1330,Nuclides!A:F,5,FALSE)</f>
        <v>Dy152</v>
      </c>
      <c r="F1330">
        <f>VLOOKUP(B1330,Nuclides!A:F,4,FALSE)</f>
        <v>8568</v>
      </c>
      <c r="G1330" s="3" t="str">
        <f t="shared" si="103"/>
        <v>2.38h</v>
      </c>
      <c r="H1330" s="3">
        <f t="shared" si="104"/>
        <v>8.0899530877678026E-5</v>
      </c>
      <c r="I1330" s="3">
        <f t="shared" si="105"/>
        <v>0</v>
      </c>
      <c r="J1330" s="3">
        <f t="shared" si="106"/>
        <v>0</v>
      </c>
      <c r="K1330" s="3" t="str">
        <f t="shared" si="107"/>
        <v>Dy152</v>
      </c>
      <c r="L1330" s="3" cm="1">
        <f t="array" ref="L1330">SUM(($J1330*EXP(-$H1330*12*3600*_xlfn.SEQUENCE(L$1-1))))+$J1330</f>
        <v>0</v>
      </c>
      <c r="M1330" s="3"/>
      <c r="N1330" s="3"/>
    </row>
    <row r="1331" spans="2:14" hidden="1" x14ac:dyDescent="0.2">
      <c r="B1331" s="3">
        <v>66153</v>
      </c>
      <c r="C1331" s="3">
        <v>0</v>
      </c>
      <c r="D1331">
        <v>1328</v>
      </c>
      <c r="E1331" t="str">
        <f>VLOOKUP(B1331,Nuclides!A:F,5,FALSE)</f>
        <v>Dy153</v>
      </c>
      <c r="F1331">
        <f>VLOOKUP(B1331,Nuclides!A:F,4,FALSE)</f>
        <v>23040</v>
      </c>
      <c r="G1331" s="3" t="str">
        <f t="shared" si="103"/>
        <v>6.4h</v>
      </c>
      <c r="H1331" s="3">
        <f t="shared" si="104"/>
        <v>3.0084513045136514E-5</v>
      </c>
      <c r="I1331" s="3">
        <f t="shared" si="105"/>
        <v>0</v>
      </c>
      <c r="J1331" s="3">
        <f t="shared" si="106"/>
        <v>0</v>
      </c>
      <c r="K1331" s="3" t="str">
        <f t="shared" si="107"/>
        <v>Dy153</v>
      </c>
      <c r="L1331" s="3" cm="1">
        <f t="array" ref="L1331">SUM(($J1331*EXP(-$H1331*12*3600*_xlfn.SEQUENCE(L$1-1))))+$J1331</f>
        <v>0</v>
      </c>
      <c r="M1331" s="3"/>
      <c r="N1331" s="3"/>
    </row>
    <row r="1332" spans="2:14" hidden="1" x14ac:dyDescent="0.2">
      <c r="B1332" s="3">
        <v>66154</v>
      </c>
      <c r="C1332" s="3">
        <v>0</v>
      </c>
      <c r="D1332">
        <v>1329</v>
      </c>
      <c r="E1332" t="str">
        <f>VLOOKUP(B1332,Nuclides!A:F,5,FALSE)</f>
        <v>Dy154</v>
      </c>
      <c r="F1332">
        <f>VLOOKUP(B1332,Nuclides!A:F,4,FALSE)</f>
        <v>94672800000000</v>
      </c>
      <c r="G1332" s="3" t="str">
        <f t="shared" si="103"/>
        <v>3002054.79y</v>
      </c>
      <c r="H1332" s="3">
        <f t="shared" si="104"/>
        <v>7.321502908543376E-15</v>
      </c>
      <c r="I1332" s="3">
        <f t="shared" si="105"/>
        <v>0</v>
      </c>
      <c r="J1332" s="3">
        <f t="shared" si="106"/>
        <v>0</v>
      </c>
      <c r="K1332" s="3" t="str">
        <f t="shared" si="107"/>
        <v>Dy154</v>
      </c>
      <c r="L1332" s="3" cm="1">
        <f t="array" ref="L1332">SUM(($J1332*EXP(-$H1332*12*3600*_xlfn.SEQUENCE(L$1-1))))+$J1332</f>
        <v>0</v>
      </c>
      <c r="M1332" s="3"/>
      <c r="N1332" s="3"/>
    </row>
    <row r="1333" spans="2:14" hidden="1" x14ac:dyDescent="0.2">
      <c r="B1333" s="3">
        <v>66155</v>
      </c>
      <c r="C1333" s="3">
        <v>0</v>
      </c>
      <c r="D1333">
        <v>1330</v>
      </c>
      <c r="E1333" t="str">
        <f>VLOOKUP(B1333,Nuclides!A:F,5,FALSE)</f>
        <v>Dy155</v>
      </c>
      <c r="F1333">
        <f>VLOOKUP(B1333,Nuclides!A:F,4,FALSE)</f>
        <v>35640</v>
      </c>
      <c r="G1333" s="3" t="str">
        <f t="shared" si="103"/>
        <v>9.9h</v>
      </c>
      <c r="H1333" s="3">
        <f t="shared" si="104"/>
        <v>1.9448574089785222E-5</v>
      </c>
      <c r="I1333" s="3">
        <f t="shared" si="105"/>
        <v>0</v>
      </c>
      <c r="J1333" s="3">
        <f t="shared" si="106"/>
        <v>0</v>
      </c>
      <c r="K1333" s="3" t="str">
        <f t="shared" si="107"/>
        <v>Dy155</v>
      </c>
      <c r="L1333" s="3" cm="1">
        <f t="array" ref="L1333">SUM(($J1333*EXP(-$H1333*12*3600*_xlfn.SEQUENCE(L$1-1))))+$J1333</f>
        <v>0</v>
      </c>
      <c r="M1333" s="3"/>
      <c r="N1333" s="3"/>
    </row>
    <row r="1334" spans="2:14" hidden="1" x14ac:dyDescent="0.2">
      <c r="B1334" s="3">
        <v>66156</v>
      </c>
      <c r="C1334" s="3">
        <v>0</v>
      </c>
      <c r="D1334">
        <v>1331</v>
      </c>
      <c r="E1334" t="str">
        <f>VLOOKUP(B1334,Nuclides!A:F,5,FALSE)</f>
        <v>Dy156</v>
      </c>
      <c r="F1334" t="str">
        <f>VLOOKUP(B1334,Nuclides!A:F,4,FALSE)</f>
        <v>STABLE</v>
      </c>
      <c r="G1334" s="3" t="str">
        <f t="shared" si="103"/>
        <v>STABLE</v>
      </c>
      <c r="H1334" s="3" t="e">
        <f t="shared" si="104"/>
        <v>#VALUE!</v>
      </c>
      <c r="I1334" s="3" t="e">
        <f t="shared" si="105"/>
        <v>#VALUE!</v>
      </c>
      <c r="J1334" s="3" t="e">
        <f t="shared" si="106"/>
        <v>#VALUE!</v>
      </c>
      <c r="K1334" s="3" t="str">
        <f t="shared" si="107"/>
        <v>Dy156</v>
      </c>
      <c r="L1334" s="3" t="e" cm="1">
        <f t="array" ref="L1334">SUM(($J1334*EXP(-$H1334*12*3600*_xlfn.SEQUENCE(L$1-1))))+$J1334</f>
        <v>#VALUE!</v>
      </c>
      <c r="M1334" s="3"/>
      <c r="N1334" s="3"/>
    </row>
    <row r="1335" spans="2:14" hidden="1" x14ac:dyDescent="0.2">
      <c r="B1335" s="3">
        <v>66157</v>
      </c>
      <c r="C1335" s="3">
        <v>0</v>
      </c>
      <c r="D1335">
        <v>1332</v>
      </c>
      <c r="E1335" t="str">
        <f>VLOOKUP(B1335,Nuclides!A:F,5,FALSE)</f>
        <v>Dy157</v>
      </c>
      <c r="F1335">
        <f>VLOOKUP(B1335,Nuclides!A:F,4,FALSE)</f>
        <v>29304</v>
      </c>
      <c r="G1335" s="3" t="str">
        <f t="shared" si="103"/>
        <v>8.14h</v>
      </c>
      <c r="H1335" s="3">
        <f t="shared" si="104"/>
        <v>2.3653671190279322E-5</v>
      </c>
      <c r="I1335" s="3">
        <f t="shared" si="105"/>
        <v>0</v>
      </c>
      <c r="J1335" s="3">
        <f t="shared" si="106"/>
        <v>0</v>
      </c>
      <c r="K1335" s="3" t="str">
        <f t="shared" si="107"/>
        <v>Dy157</v>
      </c>
      <c r="L1335" s="3" cm="1">
        <f t="array" ref="L1335">SUM(($J1335*EXP(-$H1335*12*3600*_xlfn.SEQUENCE(L$1-1))))+$J1335</f>
        <v>0</v>
      </c>
      <c r="M1335" s="3"/>
      <c r="N1335" s="3"/>
    </row>
    <row r="1336" spans="2:14" hidden="1" x14ac:dyDescent="0.2">
      <c r="B1336" s="3">
        <v>66158</v>
      </c>
      <c r="C1336" s="3">
        <v>0</v>
      </c>
      <c r="D1336">
        <v>1333</v>
      </c>
      <c r="E1336" t="str">
        <f>VLOOKUP(B1336,Nuclides!A:F,5,FALSE)</f>
        <v>Dy158</v>
      </c>
      <c r="F1336" t="str">
        <f>VLOOKUP(B1336,Nuclides!A:F,4,FALSE)</f>
        <v>STABLE</v>
      </c>
      <c r="G1336" s="3" t="str">
        <f t="shared" si="103"/>
        <v>STABLE</v>
      </c>
      <c r="H1336" s="3" t="e">
        <f t="shared" si="104"/>
        <v>#VALUE!</v>
      </c>
      <c r="I1336" s="3" t="e">
        <f t="shared" si="105"/>
        <v>#VALUE!</v>
      </c>
      <c r="J1336" s="3" t="e">
        <f t="shared" si="106"/>
        <v>#VALUE!</v>
      </c>
      <c r="K1336" s="3" t="str">
        <f t="shared" si="107"/>
        <v>Dy158</v>
      </c>
      <c r="L1336" s="3" t="e" cm="1">
        <f t="array" ref="L1336">SUM(($J1336*EXP(-$H1336*12*3600*_xlfn.SEQUENCE(L$1-1))))+$J1336</f>
        <v>#VALUE!</v>
      </c>
      <c r="M1336" s="3"/>
      <c r="N1336" s="3"/>
    </row>
    <row r="1337" spans="2:14" hidden="1" x14ac:dyDescent="0.2">
      <c r="B1337" s="3">
        <v>66159</v>
      </c>
      <c r="C1337" s="3">
        <v>0</v>
      </c>
      <c r="D1337">
        <v>1334</v>
      </c>
      <c r="E1337" t="str">
        <f>VLOOKUP(B1337,Nuclides!A:F,5,FALSE)</f>
        <v>Dy159</v>
      </c>
      <c r="F1337">
        <f>VLOOKUP(B1337,Nuclides!A:F,4,FALSE)</f>
        <v>12476160</v>
      </c>
      <c r="G1337" s="3" t="str">
        <f t="shared" si="103"/>
        <v>144.4d</v>
      </c>
      <c r="H1337" s="3">
        <f t="shared" si="104"/>
        <v>5.5557734155376761E-8</v>
      </c>
      <c r="I1337" s="3">
        <f t="shared" si="105"/>
        <v>0</v>
      </c>
      <c r="J1337" s="3">
        <f t="shared" si="106"/>
        <v>0</v>
      </c>
      <c r="K1337" s="3" t="str">
        <f t="shared" si="107"/>
        <v>Dy159</v>
      </c>
      <c r="L1337" s="3" cm="1">
        <f t="array" ref="L1337">SUM(($J1337*EXP(-$H1337*12*3600*_xlfn.SEQUENCE(L$1-1))))+$J1337</f>
        <v>0</v>
      </c>
      <c r="M1337" s="3"/>
      <c r="N1337" s="3"/>
    </row>
    <row r="1338" spans="2:14" hidden="1" x14ac:dyDescent="0.2">
      <c r="B1338" s="3">
        <v>66160</v>
      </c>
      <c r="C1338" s="3">
        <v>0</v>
      </c>
      <c r="D1338">
        <v>1335</v>
      </c>
      <c r="E1338" t="str">
        <f>VLOOKUP(B1338,Nuclides!A:F,5,FALSE)</f>
        <v>Dy160</v>
      </c>
      <c r="F1338" t="str">
        <f>VLOOKUP(B1338,Nuclides!A:F,4,FALSE)</f>
        <v>STABLE</v>
      </c>
      <c r="G1338" s="3" t="str">
        <f t="shared" si="103"/>
        <v>STABLE</v>
      </c>
      <c r="H1338" s="3" t="e">
        <f t="shared" si="104"/>
        <v>#VALUE!</v>
      </c>
      <c r="I1338" s="3" t="e">
        <f t="shared" si="105"/>
        <v>#VALUE!</v>
      </c>
      <c r="J1338" s="3" t="e">
        <f t="shared" si="106"/>
        <v>#VALUE!</v>
      </c>
      <c r="K1338" s="3" t="str">
        <f t="shared" si="107"/>
        <v>Dy160</v>
      </c>
      <c r="L1338" s="3" t="e" cm="1">
        <f t="array" ref="L1338">SUM(($J1338*EXP(-$H1338*12*3600*_xlfn.SEQUENCE(L$1-1))))+$J1338</f>
        <v>#VALUE!</v>
      </c>
      <c r="M1338" s="3"/>
      <c r="N1338" s="3"/>
    </row>
    <row r="1339" spans="2:14" hidden="1" x14ac:dyDescent="0.2">
      <c r="B1339" s="3">
        <v>66161</v>
      </c>
      <c r="C1339" s="3">
        <v>0</v>
      </c>
      <c r="D1339">
        <v>1336</v>
      </c>
      <c r="E1339" t="str">
        <f>VLOOKUP(B1339,Nuclides!A:F,5,FALSE)</f>
        <v>Dy161</v>
      </c>
      <c r="F1339" t="str">
        <f>VLOOKUP(B1339,Nuclides!A:F,4,FALSE)</f>
        <v>STABLE</v>
      </c>
      <c r="G1339" s="3" t="str">
        <f t="shared" si="103"/>
        <v>STABLE</v>
      </c>
      <c r="H1339" s="3" t="e">
        <f t="shared" si="104"/>
        <v>#VALUE!</v>
      </c>
      <c r="I1339" s="3" t="e">
        <f t="shared" si="105"/>
        <v>#VALUE!</v>
      </c>
      <c r="J1339" s="3" t="e">
        <f t="shared" si="106"/>
        <v>#VALUE!</v>
      </c>
      <c r="K1339" s="3" t="str">
        <f t="shared" si="107"/>
        <v>Dy161</v>
      </c>
      <c r="L1339" s="3" t="e" cm="1">
        <f t="array" ref="L1339">SUM(($J1339*EXP(-$H1339*12*3600*_xlfn.SEQUENCE(L$1-1))))+$J1339</f>
        <v>#VALUE!</v>
      </c>
      <c r="M1339" s="3"/>
      <c r="N1339" s="3"/>
    </row>
    <row r="1340" spans="2:14" hidden="1" x14ac:dyDescent="0.2">
      <c r="B1340" s="3">
        <v>66162</v>
      </c>
      <c r="C1340" s="3">
        <v>0</v>
      </c>
      <c r="D1340">
        <v>1337</v>
      </c>
      <c r="E1340" t="str">
        <f>VLOOKUP(B1340,Nuclides!A:F,5,FALSE)</f>
        <v>Dy162</v>
      </c>
      <c r="F1340" t="str">
        <f>VLOOKUP(B1340,Nuclides!A:F,4,FALSE)</f>
        <v>STABLE</v>
      </c>
      <c r="G1340" s="3" t="str">
        <f t="shared" si="103"/>
        <v>STABLE</v>
      </c>
      <c r="H1340" s="3" t="e">
        <f t="shared" si="104"/>
        <v>#VALUE!</v>
      </c>
      <c r="I1340" s="3" t="e">
        <f t="shared" si="105"/>
        <v>#VALUE!</v>
      </c>
      <c r="J1340" s="3" t="e">
        <f t="shared" si="106"/>
        <v>#VALUE!</v>
      </c>
      <c r="K1340" s="3" t="str">
        <f t="shared" si="107"/>
        <v>Dy162</v>
      </c>
      <c r="L1340" s="3" t="e" cm="1">
        <f t="array" ref="L1340">SUM(($J1340*EXP(-$H1340*12*3600*_xlfn.SEQUENCE(L$1-1))))+$J1340</f>
        <v>#VALUE!</v>
      </c>
      <c r="M1340" s="3"/>
      <c r="N1340" s="3"/>
    </row>
    <row r="1341" spans="2:14" hidden="1" x14ac:dyDescent="0.2">
      <c r="B1341" s="3">
        <v>66163</v>
      </c>
      <c r="C1341" s="3">
        <v>0</v>
      </c>
      <c r="D1341">
        <v>1338</v>
      </c>
      <c r="E1341" t="str">
        <f>VLOOKUP(B1341,Nuclides!A:F,5,FALSE)</f>
        <v>Dy163</v>
      </c>
      <c r="F1341" t="str">
        <f>VLOOKUP(B1341,Nuclides!A:F,4,FALSE)</f>
        <v>STABLE</v>
      </c>
      <c r="G1341" s="3" t="str">
        <f t="shared" si="103"/>
        <v>STABLE</v>
      </c>
      <c r="H1341" s="3" t="e">
        <f t="shared" si="104"/>
        <v>#VALUE!</v>
      </c>
      <c r="I1341" s="3" t="e">
        <f t="shared" si="105"/>
        <v>#VALUE!</v>
      </c>
      <c r="J1341" s="3" t="e">
        <f t="shared" si="106"/>
        <v>#VALUE!</v>
      </c>
      <c r="K1341" s="3" t="str">
        <f t="shared" si="107"/>
        <v>Dy163</v>
      </c>
      <c r="L1341" s="3" t="e" cm="1">
        <f t="array" ref="L1341">SUM(($J1341*EXP(-$H1341*12*3600*_xlfn.SEQUENCE(L$1-1))))+$J1341</f>
        <v>#VALUE!</v>
      </c>
      <c r="M1341" s="3"/>
      <c r="N1341" s="3"/>
    </row>
    <row r="1342" spans="2:14" hidden="1" x14ac:dyDescent="0.2">
      <c r="B1342" s="3">
        <v>66164</v>
      </c>
      <c r="C1342" s="3">
        <v>0</v>
      </c>
      <c r="D1342">
        <v>1339</v>
      </c>
      <c r="E1342" t="str">
        <f>VLOOKUP(B1342,Nuclides!A:F,5,FALSE)</f>
        <v>Dy164</v>
      </c>
      <c r="F1342" t="str">
        <f>VLOOKUP(B1342,Nuclides!A:F,4,FALSE)</f>
        <v>STABLE</v>
      </c>
      <c r="G1342" s="3" t="str">
        <f t="shared" si="103"/>
        <v>STABLE</v>
      </c>
      <c r="H1342" s="3" t="e">
        <f t="shared" si="104"/>
        <v>#VALUE!</v>
      </c>
      <c r="I1342" s="3" t="e">
        <f t="shared" si="105"/>
        <v>#VALUE!</v>
      </c>
      <c r="J1342" s="3" t="e">
        <f t="shared" si="106"/>
        <v>#VALUE!</v>
      </c>
      <c r="K1342" s="3" t="str">
        <f t="shared" si="107"/>
        <v>Dy164</v>
      </c>
      <c r="L1342" s="3" t="e" cm="1">
        <f t="array" ref="L1342">SUM(($J1342*EXP(-$H1342*12*3600*_xlfn.SEQUENCE(L$1-1))))+$J1342</f>
        <v>#VALUE!</v>
      </c>
      <c r="M1342" s="3"/>
      <c r="N1342" s="3"/>
    </row>
    <row r="1343" spans="2:14" hidden="1" x14ac:dyDescent="0.2">
      <c r="B1343" s="3">
        <v>66165</v>
      </c>
      <c r="C1343" s="3">
        <v>0</v>
      </c>
      <c r="D1343">
        <v>1340</v>
      </c>
      <c r="E1343" t="str">
        <f>VLOOKUP(B1343,Nuclides!A:F,5,FALSE)</f>
        <v>Dy165</v>
      </c>
      <c r="F1343">
        <f>VLOOKUP(B1343,Nuclides!A:F,4,FALSE)</f>
        <v>8402.4</v>
      </c>
      <c r="G1343" s="3" t="str">
        <f t="shared" si="103"/>
        <v>2.33h</v>
      </c>
      <c r="H1343" s="3">
        <f t="shared" si="104"/>
        <v>8.2493951794718803E-5</v>
      </c>
      <c r="I1343" s="3">
        <f t="shared" si="105"/>
        <v>0</v>
      </c>
      <c r="J1343" s="3">
        <f t="shared" si="106"/>
        <v>0</v>
      </c>
      <c r="K1343" s="3" t="str">
        <f t="shared" si="107"/>
        <v>Dy165</v>
      </c>
      <c r="L1343" s="3" cm="1">
        <f t="array" ref="L1343">SUM(($J1343*EXP(-$H1343*12*3600*_xlfn.SEQUENCE(L$1-1))))+$J1343</f>
        <v>0</v>
      </c>
      <c r="M1343" s="3"/>
      <c r="N1343" s="3"/>
    </row>
    <row r="1344" spans="2:14" hidden="1" x14ac:dyDescent="0.2">
      <c r="B1344" s="3">
        <v>66166</v>
      </c>
      <c r="C1344" s="3">
        <v>0</v>
      </c>
      <c r="D1344">
        <v>1341</v>
      </c>
      <c r="E1344" t="str">
        <f>VLOOKUP(B1344,Nuclides!A:F,5,FALSE)</f>
        <v>Dy166</v>
      </c>
      <c r="F1344">
        <f>VLOOKUP(B1344,Nuclides!A:F,4,FALSE)</f>
        <v>293760</v>
      </c>
      <c r="G1344" s="3" t="str">
        <f t="shared" si="103"/>
        <v>3.4d</v>
      </c>
      <c r="H1344" s="3">
        <f t="shared" si="104"/>
        <v>2.3595696505989421E-6</v>
      </c>
      <c r="I1344" s="3">
        <f t="shared" si="105"/>
        <v>0</v>
      </c>
      <c r="J1344" s="3">
        <f t="shared" si="106"/>
        <v>0</v>
      </c>
      <c r="K1344" s="3" t="str">
        <f t="shared" si="107"/>
        <v>Dy166</v>
      </c>
      <c r="L1344" s="3" cm="1">
        <f t="array" ref="L1344">SUM(($J1344*EXP(-$H1344*12*3600*_xlfn.SEQUENCE(L$1-1))))+$J1344</f>
        <v>0</v>
      </c>
      <c r="M1344" s="3"/>
      <c r="N1344" s="3"/>
    </row>
    <row r="1345" spans="2:14" hidden="1" x14ac:dyDescent="0.2">
      <c r="B1345" s="3">
        <v>66167</v>
      </c>
      <c r="C1345" s="3">
        <v>0</v>
      </c>
      <c r="D1345">
        <v>1342</v>
      </c>
      <c r="E1345" t="str">
        <f>VLOOKUP(B1345,Nuclides!A:F,5,FALSE)</f>
        <v>Dy167</v>
      </c>
      <c r="F1345">
        <f>VLOOKUP(B1345,Nuclides!A:F,4,FALSE)</f>
        <v>372</v>
      </c>
      <c r="G1345" s="3" t="str">
        <f t="shared" si="103"/>
        <v>6.2min</v>
      </c>
      <c r="H1345" s="3">
        <f t="shared" si="104"/>
        <v>1.8632988724729713E-3</v>
      </c>
      <c r="I1345" s="3">
        <f t="shared" si="105"/>
        <v>0</v>
      </c>
      <c r="J1345" s="3">
        <f t="shared" si="106"/>
        <v>0</v>
      </c>
      <c r="K1345" s="3" t="str">
        <f t="shared" si="107"/>
        <v>Dy167</v>
      </c>
      <c r="L1345" s="3" cm="1">
        <f t="array" ref="L1345">SUM(($J1345*EXP(-$H1345*12*3600*_xlfn.SEQUENCE(L$1-1))))+$J1345</f>
        <v>0</v>
      </c>
      <c r="M1345" s="3"/>
      <c r="N1345" s="3"/>
    </row>
    <row r="1346" spans="2:14" hidden="1" x14ac:dyDescent="0.2">
      <c r="B1346" s="3">
        <v>66168</v>
      </c>
      <c r="C1346" s="3">
        <v>0</v>
      </c>
      <c r="D1346">
        <v>1343</v>
      </c>
      <c r="E1346" t="str">
        <f>VLOOKUP(B1346,Nuclides!A:F,5,FALSE)</f>
        <v>Dy168</v>
      </c>
      <c r="F1346">
        <f>VLOOKUP(B1346,Nuclides!A:F,4,FALSE)</f>
        <v>522</v>
      </c>
      <c r="G1346" s="3" t="str">
        <f t="shared" si="103"/>
        <v>8.7min</v>
      </c>
      <c r="H1346" s="3">
        <f t="shared" si="104"/>
        <v>1.3278681619922324E-3</v>
      </c>
      <c r="I1346" s="3">
        <f t="shared" si="105"/>
        <v>0</v>
      </c>
      <c r="J1346" s="3">
        <f t="shared" si="106"/>
        <v>0</v>
      </c>
      <c r="K1346" s="3" t="str">
        <f t="shared" si="107"/>
        <v>Dy168</v>
      </c>
      <c r="L1346" s="3" cm="1">
        <f t="array" ref="L1346">SUM(($J1346*EXP(-$H1346*12*3600*_xlfn.SEQUENCE(L$1-1))))+$J1346</f>
        <v>0</v>
      </c>
      <c r="M1346" s="3"/>
      <c r="N1346" s="3"/>
    </row>
    <row r="1347" spans="2:14" hidden="1" x14ac:dyDescent="0.2">
      <c r="B1347" s="3">
        <v>67147</v>
      </c>
      <c r="C1347" s="3">
        <v>0</v>
      </c>
      <c r="D1347">
        <v>1344</v>
      </c>
      <c r="E1347" t="str">
        <f>VLOOKUP(B1347,Nuclides!A:F,5,FALSE)</f>
        <v>Ho147</v>
      </c>
      <c r="F1347">
        <f>VLOOKUP(B1347,Nuclides!A:F,4,FALSE)</f>
        <v>5.8</v>
      </c>
      <c r="G1347" s="3" t="str">
        <f t="shared" si="103"/>
        <v>5.8s</v>
      </c>
      <c r="H1347" s="3">
        <f t="shared" si="104"/>
        <v>0.11950813457930091</v>
      </c>
      <c r="I1347" s="3">
        <f t="shared" si="105"/>
        <v>0</v>
      </c>
      <c r="J1347" s="3">
        <f t="shared" si="106"/>
        <v>0</v>
      </c>
      <c r="K1347" s="3" t="str">
        <f t="shared" si="107"/>
        <v>Ho147</v>
      </c>
      <c r="L1347" s="3" cm="1">
        <f t="array" ref="L1347">SUM(($J1347*EXP(-$H1347*12*3600*_xlfn.SEQUENCE(L$1-1))))+$J1347</f>
        <v>0</v>
      </c>
      <c r="M1347" s="3"/>
      <c r="N1347" s="3"/>
    </row>
    <row r="1348" spans="2:14" hidden="1" x14ac:dyDescent="0.2">
      <c r="B1348" s="3">
        <v>67148</v>
      </c>
      <c r="C1348" s="3">
        <v>0</v>
      </c>
      <c r="D1348">
        <v>1345</v>
      </c>
      <c r="E1348" t="str">
        <f>VLOOKUP(B1348,Nuclides!A:F,5,FALSE)</f>
        <v>Ho148</v>
      </c>
      <c r="F1348">
        <f>VLOOKUP(B1348,Nuclides!A:F,4,FALSE)</f>
        <v>2.2000000000000002</v>
      </c>
      <c r="G1348" s="3" t="str">
        <f t="shared" ref="G1348:G1411" si="108">IF(F1348="STABLE", "STABLE", IF(F1348&lt;60, F1348&amp;"s", IF(F1348&lt;3600, ROUND(F1348/60,2)&amp;"min", IF(F1348&lt;86400, ROUND(F1348/3600,2)&amp;"h", IF(F1348&lt;31536000, ROUND(F1348/86400,2)&amp;"d", ROUND(F1348/31536000,2)&amp;"y")))))</f>
        <v>2.2s</v>
      </c>
      <c r="H1348" s="3">
        <f t="shared" ref="H1348:H1411" si="109">LN(2)/F1348</f>
        <v>0.31506690025452055</v>
      </c>
      <c r="I1348" s="3">
        <f t="shared" ref="I1348:I1411" si="110">100*6240000000000*C1348*(1-EXP(-H1348*2*3600))</f>
        <v>0</v>
      </c>
      <c r="J1348" s="3">
        <f t="shared" ref="J1348:J1411" si="111">I1348*EXP(-H1348*10*3600)</f>
        <v>0</v>
      </c>
      <c r="K1348" s="3" t="str">
        <f t="shared" ref="K1348:K1411" si="112">E1348</f>
        <v>Ho148</v>
      </c>
      <c r="L1348" s="3" cm="1">
        <f t="array" ref="L1348">SUM(($J1348*EXP(-$H1348*12*3600*_xlfn.SEQUENCE(L$1-1))))+$J1348</f>
        <v>0</v>
      </c>
      <c r="M1348" s="3"/>
      <c r="N1348" s="3"/>
    </row>
    <row r="1349" spans="2:14" hidden="1" x14ac:dyDescent="0.2">
      <c r="B1349" s="3">
        <v>67149</v>
      </c>
      <c r="C1349" s="3">
        <v>0</v>
      </c>
      <c r="D1349">
        <v>1346</v>
      </c>
      <c r="E1349" t="str">
        <f>VLOOKUP(B1349,Nuclides!A:F,5,FALSE)</f>
        <v>Ho149</v>
      </c>
      <c r="F1349">
        <f>VLOOKUP(B1349,Nuclides!A:F,4,FALSE)</f>
        <v>21.1</v>
      </c>
      <c r="G1349" s="3" t="str">
        <f t="shared" si="108"/>
        <v>21.1s</v>
      </c>
      <c r="H1349" s="3">
        <f t="shared" si="109"/>
        <v>3.2850577277722524E-2</v>
      </c>
      <c r="I1349" s="3">
        <f t="shared" si="110"/>
        <v>0</v>
      </c>
      <c r="J1349" s="3">
        <f t="shared" si="111"/>
        <v>0</v>
      </c>
      <c r="K1349" s="3" t="str">
        <f t="shared" si="112"/>
        <v>Ho149</v>
      </c>
      <c r="L1349" s="3" cm="1">
        <f t="array" ref="L1349">SUM(($J1349*EXP(-$H1349*12*3600*_xlfn.SEQUENCE(L$1-1))))+$J1349</f>
        <v>0</v>
      </c>
      <c r="M1349" s="3"/>
      <c r="N1349" s="3"/>
    </row>
    <row r="1350" spans="2:14" hidden="1" x14ac:dyDescent="0.2">
      <c r="B1350" s="3">
        <v>67150</v>
      </c>
      <c r="C1350" s="3">
        <v>0</v>
      </c>
      <c r="D1350">
        <v>1347</v>
      </c>
      <c r="E1350" t="str">
        <f>VLOOKUP(B1350,Nuclides!A:F,5,FALSE)</f>
        <v>Ho150</v>
      </c>
      <c r="F1350">
        <f>VLOOKUP(B1350,Nuclides!A:F,4,FALSE)</f>
        <v>72</v>
      </c>
      <c r="G1350" s="3" t="str">
        <f t="shared" si="108"/>
        <v>1.2min</v>
      </c>
      <c r="H1350" s="3">
        <f t="shared" si="109"/>
        <v>9.6270441744436847E-3</v>
      </c>
      <c r="I1350" s="3">
        <f t="shared" si="110"/>
        <v>0</v>
      </c>
      <c r="J1350" s="3">
        <f t="shared" si="111"/>
        <v>0</v>
      </c>
      <c r="K1350" s="3" t="str">
        <f t="shared" si="112"/>
        <v>Ho150</v>
      </c>
      <c r="L1350" s="3" cm="1">
        <f t="array" ref="L1350">SUM(($J1350*EXP(-$H1350*12*3600*_xlfn.SEQUENCE(L$1-1))))+$J1350</f>
        <v>0</v>
      </c>
      <c r="M1350" s="3"/>
      <c r="N1350" s="3"/>
    </row>
    <row r="1351" spans="2:14" hidden="1" x14ac:dyDescent="0.2">
      <c r="B1351" s="3">
        <v>67151</v>
      </c>
      <c r="C1351" s="3">
        <v>0</v>
      </c>
      <c r="D1351">
        <v>1348</v>
      </c>
      <c r="E1351" t="str">
        <f>VLOOKUP(B1351,Nuclides!A:F,5,FALSE)</f>
        <v>Ho151</v>
      </c>
      <c r="F1351">
        <f>VLOOKUP(B1351,Nuclides!A:F,4,FALSE)</f>
        <v>35.200000000000003</v>
      </c>
      <c r="G1351" s="3" t="str">
        <f t="shared" si="108"/>
        <v>35.2s</v>
      </c>
      <c r="H1351" s="3">
        <f t="shared" si="109"/>
        <v>1.9691681265907535E-2</v>
      </c>
      <c r="I1351" s="3">
        <f t="shared" si="110"/>
        <v>0</v>
      </c>
      <c r="J1351" s="3">
        <f t="shared" si="111"/>
        <v>0</v>
      </c>
      <c r="K1351" s="3" t="str">
        <f t="shared" si="112"/>
        <v>Ho151</v>
      </c>
      <c r="L1351" s="3" cm="1">
        <f t="array" ref="L1351">SUM(($J1351*EXP(-$H1351*12*3600*_xlfn.SEQUENCE(L$1-1))))+$J1351</f>
        <v>0</v>
      </c>
      <c r="M1351" s="3"/>
      <c r="N1351" s="3"/>
    </row>
    <row r="1352" spans="2:14" hidden="1" x14ac:dyDescent="0.2">
      <c r="B1352" s="3">
        <v>67152</v>
      </c>
      <c r="C1352" s="3">
        <v>0</v>
      </c>
      <c r="D1352">
        <v>1349</v>
      </c>
      <c r="E1352" t="str">
        <f>VLOOKUP(B1352,Nuclides!A:F,5,FALSE)</f>
        <v>Ho152</v>
      </c>
      <c r="F1352">
        <f>VLOOKUP(B1352,Nuclides!A:F,4,FALSE)</f>
        <v>161.80000000000001</v>
      </c>
      <c r="G1352" s="3" t="str">
        <f t="shared" si="108"/>
        <v>2.7min</v>
      </c>
      <c r="H1352" s="3">
        <f t="shared" si="109"/>
        <v>4.2839751579724673E-3</v>
      </c>
      <c r="I1352" s="3">
        <f t="shared" si="110"/>
        <v>0</v>
      </c>
      <c r="J1352" s="3">
        <f t="shared" si="111"/>
        <v>0</v>
      </c>
      <c r="K1352" s="3" t="str">
        <f t="shared" si="112"/>
        <v>Ho152</v>
      </c>
      <c r="L1352" s="3" cm="1">
        <f t="array" ref="L1352">SUM(($J1352*EXP(-$H1352*12*3600*_xlfn.SEQUENCE(L$1-1))))+$J1352</f>
        <v>0</v>
      </c>
      <c r="M1352" s="3"/>
      <c r="N1352" s="3"/>
    </row>
    <row r="1353" spans="2:14" hidden="1" x14ac:dyDescent="0.2">
      <c r="B1353" s="3">
        <v>67153</v>
      </c>
      <c r="C1353" s="3">
        <v>0</v>
      </c>
      <c r="D1353">
        <v>1350</v>
      </c>
      <c r="E1353" t="str">
        <f>VLOOKUP(B1353,Nuclides!A:F,5,FALSE)</f>
        <v>Ho153</v>
      </c>
      <c r="F1353">
        <f>VLOOKUP(B1353,Nuclides!A:F,4,FALSE)</f>
        <v>120.6</v>
      </c>
      <c r="G1353" s="3" t="str">
        <f t="shared" si="108"/>
        <v>2.01min</v>
      </c>
      <c r="H1353" s="3">
        <f t="shared" si="109"/>
        <v>5.7474890593693642E-3</v>
      </c>
      <c r="I1353" s="3">
        <f t="shared" si="110"/>
        <v>0</v>
      </c>
      <c r="J1353" s="3">
        <f t="shared" si="111"/>
        <v>0</v>
      </c>
      <c r="K1353" s="3" t="str">
        <f t="shared" si="112"/>
        <v>Ho153</v>
      </c>
      <c r="L1353" s="3" cm="1">
        <f t="array" ref="L1353">SUM(($J1353*EXP(-$H1353*12*3600*_xlfn.SEQUENCE(L$1-1))))+$J1353</f>
        <v>0</v>
      </c>
      <c r="M1353" s="3"/>
      <c r="N1353" s="3"/>
    </row>
    <row r="1354" spans="2:14" hidden="1" x14ac:dyDescent="0.2">
      <c r="B1354" s="3">
        <v>67154</v>
      </c>
      <c r="C1354" s="3">
        <v>0</v>
      </c>
      <c r="D1354">
        <v>1351</v>
      </c>
      <c r="E1354" t="str">
        <f>VLOOKUP(B1354,Nuclides!A:F,5,FALSE)</f>
        <v>Ho154</v>
      </c>
      <c r="F1354">
        <f>VLOOKUP(B1354,Nuclides!A:F,4,FALSE)</f>
        <v>705.6</v>
      </c>
      <c r="G1354" s="3" t="str">
        <f t="shared" si="108"/>
        <v>11.76min</v>
      </c>
      <c r="H1354" s="3">
        <f t="shared" si="109"/>
        <v>9.8235144637180455E-4</v>
      </c>
      <c r="I1354" s="3">
        <f t="shared" si="110"/>
        <v>0</v>
      </c>
      <c r="J1354" s="3">
        <f t="shared" si="111"/>
        <v>0</v>
      </c>
      <c r="K1354" s="3" t="str">
        <f t="shared" si="112"/>
        <v>Ho154</v>
      </c>
      <c r="L1354" s="3" cm="1">
        <f t="array" ref="L1354">SUM(($J1354*EXP(-$H1354*12*3600*_xlfn.SEQUENCE(L$1-1))))+$J1354</f>
        <v>0</v>
      </c>
      <c r="M1354" s="3"/>
      <c r="N1354" s="3"/>
    </row>
    <row r="1355" spans="2:14" hidden="1" x14ac:dyDescent="0.2">
      <c r="B1355" s="3">
        <v>67155</v>
      </c>
      <c r="C1355" s="3">
        <v>0</v>
      </c>
      <c r="D1355">
        <v>1352</v>
      </c>
      <c r="E1355" t="str">
        <f>VLOOKUP(B1355,Nuclides!A:F,5,FALSE)</f>
        <v>Ho155</v>
      </c>
      <c r="F1355">
        <f>VLOOKUP(B1355,Nuclides!A:F,4,FALSE)</f>
        <v>2880</v>
      </c>
      <c r="G1355" s="3" t="str">
        <f t="shared" si="108"/>
        <v>48min</v>
      </c>
      <c r="H1355" s="3">
        <f t="shared" si="109"/>
        <v>2.4067610436109211E-4</v>
      </c>
      <c r="I1355" s="3">
        <f t="shared" si="110"/>
        <v>0</v>
      </c>
      <c r="J1355" s="3">
        <f t="shared" si="111"/>
        <v>0</v>
      </c>
      <c r="K1355" s="3" t="str">
        <f t="shared" si="112"/>
        <v>Ho155</v>
      </c>
      <c r="L1355" s="3" cm="1">
        <f t="array" ref="L1355">SUM(($J1355*EXP(-$H1355*12*3600*_xlfn.SEQUENCE(L$1-1))))+$J1355</f>
        <v>0</v>
      </c>
      <c r="M1355" s="3"/>
      <c r="N1355" s="3"/>
    </row>
    <row r="1356" spans="2:14" hidden="1" x14ac:dyDescent="0.2">
      <c r="B1356" s="3">
        <v>67156</v>
      </c>
      <c r="C1356" s="3">
        <v>0</v>
      </c>
      <c r="D1356">
        <v>1353</v>
      </c>
      <c r="E1356" t="str">
        <f>VLOOKUP(B1356,Nuclides!A:F,5,FALSE)</f>
        <v>Ho156</v>
      </c>
      <c r="F1356">
        <f>VLOOKUP(B1356,Nuclides!A:F,4,FALSE)</f>
        <v>3360</v>
      </c>
      <c r="G1356" s="3" t="str">
        <f t="shared" si="108"/>
        <v>56min</v>
      </c>
      <c r="H1356" s="3">
        <f t="shared" si="109"/>
        <v>2.0629380373807897E-4</v>
      </c>
      <c r="I1356" s="3">
        <f t="shared" si="110"/>
        <v>0</v>
      </c>
      <c r="J1356" s="3">
        <f t="shared" si="111"/>
        <v>0</v>
      </c>
      <c r="K1356" s="3" t="str">
        <f t="shared" si="112"/>
        <v>Ho156</v>
      </c>
      <c r="L1356" s="3" cm="1">
        <f t="array" ref="L1356">SUM(($J1356*EXP(-$H1356*12*3600*_xlfn.SEQUENCE(L$1-1))))+$J1356</f>
        <v>0</v>
      </c>
      <c r="M1356" s="3"/>
      <c r="N1356" s="3"/>
    </row>
    <row r="1357" spans="2:14" hidden="1" x14ac:dyDescent="0.2">
      <c r="B1357" s="3">
        <v>67157</v>
      </c>
      <c r="C1357" s="3">
        <v>0</v>
      </c>
      <c r="D1357">
        <v>1354</v>
      </c>
      <c r="E1357" t="str">
        <f>VLOOKUP(B1357,Nuclides!A:F,5,FALSE)</f>
        <v>Ho157</v>
      </c>
      <c r="F1357">
        <f>VLOOKUP(B1357,Nuclides!A:F,4,FALSE)</f>
        <v>756</v>
      </c>
      <c r="G1357" s="3" t="str">
        <f t="shared" si="108"/>
        <v>12.6min</v>
      </c>
      <c r="H1357" s="3">
        <f t="shared" si="109"/>
        <v>9.1686134994701759E-4</v>
      </c>
      <c r="I1357" s="3">
        <f t="shared" si="110"/>
        <v>0</v>
      </c>
      <c r="J1357" s="3">
        <f t="shared" si="111"/>
        <v>0</v>
      </c>
      <c r="K1357" s="3" t="str">
        <f t="shared" si="112"/>
        <v>Ho157</v>
      </c>
      <c r="L1357" s="3" cm="1">
        <f t="array" ref="L1357">SUM(($J1357*EXP(-$H1357*12*3600*_xlfn.SEQUENCE(L$1-1))))+$J1357</f>
        <v>0</v>
      </c>
      <c r="M1357" s="3"/>
      <c r="N1357" s="3"/>
    </row>
    <row r="1358" spans="2:14" hidden="1" x14ac:dyDescent="0.2">
      <c r="B1358" s="3">
        <v>67158</v>
      </c>
      <c r="C1358" s="3">
        <v>0</v>
      </c>
      <c r="D1358">
        <v>1355</v>
      </c>
      <c r="E1358" t="str">
        <f>VLOOKUP(B1358,Nuclides!A:F,5,FALSE)</f>
        <v>Ho158</v>
      </c>
      <c r="F1358">
        <f>VLOOKUP(B1358,Nuclides!A:F,4,FALSE)</f>
        <v>678</v>
      </c>
      <c r="G1358" s="3" t="str">
        <f t="shared" si="108"/>
        <v>11.3min</v>
      </c>
      <c r="H1358" s="3">
        <f t="shared" si="109"/>
        <v>1.0223409742772054E-3</v>
      </c>
      <c r="I1358" s="3">
        <f t="shared" si="110"/>
        <v>0</v>
      </c>
      <c r="J1358" s="3">
        <f t="shared" si="111"/>
        <v>0</v>
      </c>
      <c r="K1358" s="3" t="str">
        <f t="shared" si="112"/>
        <v>Ho158</v>
      </c>
      <c r="L1358" s="3" cm="1">
        <f t="array" ref="L1358">SUM(($J1358*EXP(-$H1358*12*3600*_xlfn.SEQUENCE(L$1-1))))+$J1358</f>
        <v>0</v>
      </c>
      <c r="M1358" s="3"/>
      <c r="N1358" s="3"/>
    </row>
    <row r="1359" spans="2:14" hidden="1" x14ac:dyDescent="0.2">
      <c r="B1359" s="3">
        <v>67159</v>
      </c>
      <c r="C1359" s="3">
        <v>0</v>
      </c>
      <c r="D1359">
        <v>1356</v>
      </c>
      <c r="E1359" t="str">
        <f>VLOOKUP(B1359,Nuclides!A:F,5,FALSE)</f>
        <v>Ho159</v>
      </c>
      <c r="F1359">
        <f>VLOOKUP(B1359,Nuclides!A:F,4,FALSE)</f>
        <v>1982.99999999999</v>
      </c>
      <c r="G1359" s="3" t="str">
        <f t="shared" si="108"/>
        <v>33.05min</v>
      </c>
      <c r="H1359" s="3">
        <f t="shared" si="109"/>
        <v>3.495447204034033E-4</v>
      </c>
      <c r="I1359" s="3">
        <f t="shared" si="110"/>
        <v>0</v>
      </c>
      <c r="J1359" s="3">
        <f t="shared" si="111"/>
        <v>0</v>
      </c>
      <c r="K1359" s="3" t="str">
        <f t="shared" si="112"/>
        <v>Ho159</v>
      </c>
      <c r="L1359" s="3" cm="1">
        <f t="array" ref="L1359">SUM(($J1359*EXP(-$H1359*12*3600*_xlfn.SEQUENCE(L$1-1))))+$J1359</f>
        <v>0</v>
      </c>
      <c r="M1359" s="3"/>
      <c r="N1359" s="3"/>
    </row>
    <row r="1360" spans="2:14" hidden="1" x14ac:dyDescent="0.2">
      <c r="B1360" s="3">
        <v>67160</v>
      </c>
      <c r="C1360" s="3">
        <v>0</v>
      </c>
      <c r="D1360">
        <v>1357</v>
      </c>
      <c r="E1360" t="str">
        <f>VLOOKUP(B1360,Nuclides!A:F,5,FALSE)</f>
        <v>Ho160</v>
      </c>
      <c r="F1360">
        <f>VLOOKUP(B1360,Nuclides!A:F,4,FALSE)</f>
        <v>1536</v>
      </c>
      <c r="G1360" s="3" t="str">
        <f t="shared" si="108"/>
        <v>25.6min</v>
      </c>
      <c r="H1360" s="3">
        <f t="shared" si="109"/>
        <v>4.5126769567704769E-4</v>
      </c>
      <c r="I1360" s="3">
        <f t="shared" si="110"/>
        <v>0</v>
      </c>
      <c r="J1360" s="3">
        <f t="shared" si="111"/>
        <v>0</v>
      </c>
      <c r="K1360" s="3" t="str">
        <f t="shared" si="112"/>
        <v>Ho160</v>
      </c>
      <c r="L1360" s="3" cm="1">
        <f t="array" ref="L1360">SUM(($J1360*EXP(-$H1360*12*3600*_xlfn.SEQUENCE(L$1-1))))+$J1360</f>
        <v>0</v>
      </c>
      <c r="M1360" s="3"/>
      <c r="N1360" s="3"/>
    </row>
    <row r="1361" spans="2:14" hidden="1" x14ac:dyDescent="0.2">
      <c r="B1361" s="3">
        <v>67161</v>
      </c>
      <c r="C1361" s="3">
        <v>0</v>
      </c>
      <c r="D1361">
        <v>1358</v>
      </c>
      <c r="E1361" t="str">
        <f>VLOOKUP(B1361,Nuclides!A:F,5,FALSE)</f>
        <v>Ho161</v>
      </c>
      <c r="F1361">
        <f>VLOOKUP(B1361,Nuclides!A:F,4,FALSE)</f>
        <v>8928</v>
      </c>
      <c r="G1361" s="3" t="str">
        <f t="shared" si="108"/>
        <v>2.48h</v>
      </c>
      <c r="H1361" s="3">
        <f t="shared" si="109"/>
        <v>7.7637453019707131E-5</v>
      </c>
      <c r="I1361" s="3">
        <f t="shared" si="110"/>
        <v>0</v>
      </c>
      <c r="J1361" s="3">
        <f t="shared" si="111"/>
        <v>0</v>
      </c>
      <c r="K1361" s="3" t="str">
        <f t="shared" si="112"/>
        <v>Ho161</v>
      </c>
      <c r="L1361" s="3" cm="1">
        <f t="array" ref="L1361">SUM(($J1361*EXP(-$H1361*12*3600*_xlfn.SEQUENCE(L$1-1))))+$J1361</f>
        <v>0</v>
      </c>
      <c r="M1361" s="3"/>
      <c r="N1361" s="3"/>
    </row>
    <row r="1362" spans="2:14" hidden="1" x14ac:dyDescent="0.2">
      <c r="B1362" s="3">
        <v>67162</v>
      </c>
      <c r="C1362" s="3">
        <v>0</v>
      </c>
      <c r="D1362">
        <v>1359</v>
      </c>
      <c r="E1362" t="str">
        <f>VLOOKUP(B1362,Nuclides!A:F,5,FALSE)</f>
        <v>Ho162</v>
      </c>
      <c r="F1362">
        <f>VLOOKUP(B1362,Nuclides!A:F,4,FALSE)</f>
        <v>900</v>
      </c>
      <c r="G1362" s="3" t="str">
        <f t="shared" si="108"/>
        <v>15min</v>
      </c>
      <c r="H1362" s="3">
        <f t="shared" si="109"/>
        <v>7.7016353395549476E-4</v>
      </c>
      <c r="I1362" s="3">
        <f t="shared" si="110"/>
        <v>0</v>
      </c>
      <c r="J1362" s="3">
        <f t="shared" si="111"/>
        <v>0</v>
      </c>
      <c r="K1362" s="3" t="str">
        <f t="shared" si="112"/>
        <v>Ho162</v>
      </c>
      <c r="L1362" s="3" cm="1">
        <f t="array" ref="L1362">SUM(($J1362*EXP(-$H1362*12*3600*_xlfn.SEQUENCE(L$1-1))))+$J1362</f>
        <v>0</v>
      </c>
      <c r="M1362" s="3"/>
      <c r="N1362" s="3"/>
    </row>
    <row r="1363" spans="2:14" hidden="1" x14ac:dyDescent="0.2">
      <c r="B1363" s="3">
        <v>67163</v>
      </c>
      <c r="C1363" s="3">
        <v>0</v>
      </c>
      <c r="D1363">
        <v>1360</v>
      </c>
      <c r="E1363" t="str">
        <f>VLOOKUP(B1363,Nuclides!A:F,5,FALSE)</f>
        <v>Ho163</v>
      </c>
      <c r="F1363">
        <f>VLOOKUP(B1363,Nuclides!A:F,4,FALSE)</f>
        <v>144218232000</v>
      </c>
      <c r="G1363" s="3" t="str">
        <f t="shared" si="108"/>
        <v>4573.13y</v>
      </c>
      <c r="H1363" s="3">
        <f t="shared" si="109"/>
        <v>4.8062382331794589E-12</v>
      </c>
      <c r="I1363" s="3">
        <f t="shared" si="110"/>
        <v>0</v>
      </c>
      <c r="J1363" s="3">
        <f t="shared" si="111"/>
        <v>0</v>
      </c>
      <c r="K1363" s="3" t="str">
        <f t="shared" si="112"/>
        <v>Ho163</v>
      </c>
      <c r="L1363" s="3" cm="1">
        <f t="array" ref="L1363">SUM(($J1363*EXP(-$H1363*12*3600*_xlfn.SEQUENCE(L$1-1))))+$J1363</f>
        <v>0</v>
      </c>
      <c r="M1363" s="3"/>
      <c r="N1363" s="3"/>
    </row>
    <row r="1364" spans="2:14" hidden="1" x14ac:dyDescent="0.2">
      <c r="B1364" s="3">
        <v>67164</v>
      </c>
      <c r="C1364" s="3">
        <v>0</v>
      </c>
      <c r="D1364">
        <v>1361</v>
      </c>
      <c r="E1364" t="str">
        <f>VLOOKUP(B1364,Nuclides!A:F,5,FALSE)</f>
        <v>Ho164</v>
      </c>
      <c r="F1364">
        <f>VLOOKUP(B1364,Nuclides!A:F,4,FALSE)</f>
        <v>1740</v>
      </c>
      <c r="G1364" s="3" t="str">
        <f t="shared" si="108"/>
        <v>29min</v>
      </c>
      <c r="H1364" s="3">
        <f t="shared" si="109"/>
        <v>3.983604485976697E-4</v>
      </c>
      <c r="I1364" s="3">
        <f t="shared" si="110"/>
        <v>0</v>
      </c>
      <c r="J1364" s="3">
        <f t="shared" si="111"/>
        <v>0</v>
      </c>
      <c r="K1364" s="3" t="str">
        <f t="shared" si="112"/>
        <v>Ho164</v>
      </c>
      <c r="L1364" s="3" cm="1">
        <f t="array" ref="L1364">SUM(($J1364*EXP(-$H1364*12*3600*_xlfn.SEQUENCE(L$1-1))))+$J1364</f>
        <v>0</v>
      </c>
      <c r="M1364" s="3"/>
      <c r="N1364" s="3"/>
    </row>
    <row r="1365" spans="2:14" hidden="1" x14ac:dyDescent="0.2">
      <c r="B1365" s="3">
        <v>67165</v>
      </c>
      <c r="C1365" s="3">
        <v>0</v>
      </c>
      <c r="D1365">
        <v>1362</v>
      </c>
      <c r="E1365" t="str">
        <f>VLOOKUP(B1365,Nuclides!A:F,5,FALSE)</f>
        <v>Ho165</v>
      </c>
      <c r="F1365" t="str">
        <f>VLOOKUP(B1365,Nuclides!A:F,4,FALSE)</f>
        <v>STABLE</v>
      </c>
      <c r="G1365" s="3" t="str">
        <f t="shared" si="108"/>
        <v>STABLE</v>
      </c>
      <c r="H1365" s="3" t="e">
        <f t="shared" si="109"/>
        <v>#VALUE!</v>
      </c>
      <c r="I1365" s="3" t="e">
        <f t="shared" si="110"/>
        <v>#VALUE!</v>
      </c>
      <c r="J1365" s="3" t="e">
        <f t="shared" si="111"/>
        <v>#VALUE!</v>
      </c>
      <c r="K1365" s="3" t="str">
        <f t="shared" si="112"/>
        <v>Ho165</v>
      </c>
      <c r="L1365" s="3" t="e" cm="1">
        <f t="array" ref="L1365">SUM(($J1365*EXP(-$H1365*12*3600*_xlfn.SEQUENCE(L$1-1))))+$J1365</f>
        <v>#VALUE!</v>
      </c>
      <c r="M1365" s="3"/>
      <c r="N1365" s="3"/>
    </row>
    <row r="1366" spans="2:14" hidden="1" x14ac:dyDescent="0.2">
      <c r="B1366" s="3">
        <v>67166</v>
      </c>
      <c r="C1366" s="3">
        <v>0</v>
      </c>
      <c r="D1366">
        <v>1363</v>
      </c>
      <c r="E1366" t="str">
        <f>VLOOKUP(B1366,Nuclides!A:F,5,FALSE)</f>
        <v>Ho166</v>
      </c>
      <c r="F1366">
        <f>VLOOKUP(B1366,Nuclides!A:F,4,FALSE)</f>
        <v>96566.399999999994</v>
      </c>
      <c r="G1366" s="3" t="str">
        <f t="shared" si="108"/>
        <v>1.12d</v>
      </c>
      <c r="H1366" s="3">
        <f t="shared" si="109"/>
        <v>7.1779333242198666E-6</v>
      </c>
      <c r="I1366" s="3">
        <f t="shared" si="110"/>
        <v>0</v>
      </c>
      <c r="J1366" s="3">
        <f t="shared" si="111"/>
        <v>0</v>
      </c>
      <c r="K1366" s="3" t="str">
        <f t="shared" si="112"/>
        <v>Ho166</v>
      </c>
      <c r="L1366" s="3" cm="1">
        <f t="array" ref="L1366">SUM(($J1366*EXP(-$H1366*12*3600*_xlfn.SEQUENCE(L$1-1))))+$J1366</f>
        <v>0</v>
      </c>
      <c r="M1366" s="3"/>
      <c r="N1366" s="3"/>
    </row>
    <row r="1367" spans="2:14" hidden="1" x14ac:dyDescent="0.2">
      <c r="B1367" s="3">
        <v>67167</v>
      </c>
      <c r="C1367" s="3">
        <v>0</v>
      </c>
      <c r="D1367">
        <v>1364</v>
      </c>
      <c r="E1367" t="str">
        <f>VLOOKUP(B1367,Nuclides!A:F,5,FALSE)</f>
        <v>Ho167</v>
      </c>
      <c r="F1367">
        <f>VLOOKUP(B1367,Nuclides!A:F,4,FALSE)</f>
        <v>10810.8</v>
      </c>
      <c r="G1367" s="3" t="str">
        <f t="shared" si="108"/>
        <v>3h</v>
      </c>
      <c r="H1367" s="3">
        <f t="shared" si="109"/>
        <v>6.4116178317973256E-5</v>
      </c>
      <c r="I1367" s="3">
        <f t="shared" si="110"/>
        <v>0</v>
      </c>
      <c r="J1367" s="3">
        <f t="shared" si="111"/>
        <v>0</v>
      </c>
      <c r="K1367" s="3" t="str">
        <f t="shared" si="112"/>
        <v>Ho167</v>
      </c>
      <c r="L1367" s="3" cm="1">
        <f t="array" ref="L1367">SUM(($J1367*EXP(-$H1367*12*3600*_xlfn.SEQUENCE(L$1-1))))+$J1367</f>
        <v>0</v>
      </c>
      <c r="M1367" s="3"/>
      <c r="N1367" s="3"/>
    </row>
    <row r="1368" spans="2:14" hidden="1" x14ac:dyDescent="0.2">
      <c r="B1368" s="3">
        <v>67168</v>
      </c>
      <c r="C1368" s="3">
        <v>0</v>
      </c>
      <c r="D1368">
        <v>1365</v>
      </c>
      <c r="E1368" t="str">
        <f>VLOOKUP(B1368,Nuclides!A:F,5,FALSE)</f>
        <v>Ho168</v>
      </c>
      <c r="F1368">
        <f>VLOOKUP(B1368,Nuclides!A:F,4,FALSE)</f>
        <v>179.4</v>
      </c>
      <c r="G1368" s="3" t="str">
        <f t="shared" si="108"/>
        <v>2.99min</v>
      </c>
      <c r="H1368" s="3">
        <f t="shared" si="109"/>
        <v>3.8636966586396058E-3</v>
      </c>
      <c r="I1368" s="3">
        <f t="shared" si="110"/>
        <v>0</v>
      </c>
      <c r="J1368" s="3">
        <f t="shared" si="111"/>
        <v>0</v>
      </c>
      <c r="K1368" s="3" t="str">
        <f t="shared" si="112"/>
        <v>Ho168</v>
      </c>
      <c r="L1368" s="3" cm="1">
        <f t="array" ref="L1368">SUM(($J1368*EXP(-$H1368*12*3600*_xlfn.SEQUENCE(L$1-1))))+$J1368</f>
        <v>0</v>
      </c>
      <c r="M1368" s="3"/>
      <c r="N1368" s="3"/>
    </row>
    <row r="1369" spans="2:14" hidden="1" x14ac:dyDescent="0.2">
      <c r="B1369" s="3">
        <v>67169</v>
      </c>
      <c r="C1369" s="3">
        <v>0</v>
      </c>
      <c r="D1369">
        <v>1366</v>
      </c>
      <c r="E1369" t="str">
        <f>VLOOKUP(B1369,Nuclides!A:F,5,FALSE)</f>
        <v>Ho169</v>
      </c>
      <c r="F1369">
        <f>VLOOKUP(B1369,Nuclides!A:F,4,FALSE)</f>
        <v>283.2</v>
      </c>
      <c r="G1369" s="3" t="str">
        <f t="shared" si="108"/>
        <v>4.72min</v>
      </c>
      <c r="H1369" s="3">
        <f t="shared" si="109"/>
        <v>2.4475536036721235E-3</v>
      </c>
      <c r="I1369" s="3">
        <f t="shared" si="110"/>
        <v>0</v>
      </c>
      <c r="J1369" s="3">
        <f t="shared" si="111"/>
        <v>0</v>
      </c>
      <c r="K1369" s="3" t="str">
        <f t="shared" si="112"/>
        <v>Ho169</v>
      </c>
      <c r="L1369" s="3" cm="1">
        <f t="array" ref="L1369">SUM(($J1369*EXP(-$H1369*12*3600*_xlfn.SEQUENCE(L$1-1))))+$J1369</f>
        <v>0</v>
      </c>
      <c r="M1369" s="3"/>
      <c r="N1369" s="3"/>
    </row>
    <row r="1370" spans="2:14" hidden="1" x14ac:dyDescent="0.2">
      <c r="B1370" s="3">
        <v>67170</v>
      </c>
      <c r="C1370" s="3">
        <v>0</v>
      </c>
      <c r="D1370">
        <v>1367</v>
      </c>
      <c r="E1370" t="str">
        <f>VLOOKUP(B1370,Nuclides!A:F,5,FALSE)</f>
        <v>Ho170</v>
      </c>
      <c r="F1370">
        <f>VLOOKUP(B1370,Nuclides!A:F,4,FALSE)</f>
        <v>165.6</v>
      </c>
      <c r="G1370" s="3" t="str">
        <f t="shared" si="108"/>
        <v>2.76min</v>
      </c>
      <c r="H1370" s="3">
        <f t="shared" si="109"/>
        <v>4.1856713801929069E-3</v>
      </c>
      <c r="I1370" s="3">
        <f t="shared" si="110"/>
        <v>0</v>
      </c>
      <c r="J1370" s="3">
        <f t="shared" si="111"/>
        <v>0</v>
      </c>
      <c r="K1370" s="3" t="str">
        <f t="shared" si="112"/>
        <v>Ho170</v>
      </c>
      <c r="L1370" s="3" cm="1">
        <f t="array" ref="L1370">SUM(($J1370*EXP(-$H1370*12*3600*_xlfn.SEQUENCE(L$1-1))))+$J1370</f>
        <v>0</v>
      </c>
      <c r="M1370" s="3"/>
      <c r="N1370" s="3"/>
    </row>
    <row r="1371" spans="2:14" hidden="1" x14ac:dyDescent="0.2">
      <c r="B1371" s="3">
        <v>68147</v>
      </c>
      <c r="C1371" s="3">
        <v>0</v>
      </c>
      <c r="D1371">
        <v>1368</v>
      </c>
      <c r="E1371" t="str">
        <f>VLOOKUP(B1371,Nuclides!A:F,5,FALSE)</f>
        <v>Er147</v>
      </c>
      <c r="F1371">
        <f>VLOOKUP(B1371,Nuclides!A:F,4,FALSE)</f>
        <v>2.5</v>
      </c>
      <c r="G1371" s="3" t="str">
        <f t="shared" si="108"/>
        <v>2.5s</v>
      </c>
      <c r="H1371" s="3">
        <f t="shared" si="109"/>
        <v>0.2772588722239781</v>
      </c>
      <c r="I1371" s="3">
        <f t="shared" si="110"/>
        <v>0</v>
      </c>
      <c r="J1371" s="3">
        <f t="shared" si="111"/>
        <v>0</v>
      </c>
      <c r="K1371" s="3" t="str">
        <f t="shared" si="112"/>
        <v>Er147</v>
      </c>
      <c r="L1371" s="3" cm="1">
        <f t="array" ref="L1371">SUM(($J1371*EXP(-$H1371*12*3600*_xlfn.SEQUENCE(L$1-1))))+$J1371</f>
        <v>0</v>
      </c>
      <c r="M1371" s="3"/>
      <c r="N1371" s="3"/>
    </row>
    <row r="1372" spans="2:14" hidden="1" x14ac:dyDescent="0.2">
      <c r="B1372" s="3">
        <v>68148</v>
      </c>
      <c r="C1372" s="3">
        <v>0</v>
      </c>
      <c r="D1372">
        <v>1369</v>
      </c>
      <c r="E1372" t="str">
        <f>VLOOKUP(B1372,Nuclides!A:F,5,FALSE)</f>
        <v>Er148</v>
      </c>
      <c r="F1372">
        <f>VLOOKUP(B1372,Nuclides!A:F,4,FALSE)</f>
        <v>4.5999999999999996</v>
      </c>
      <c r="G1372" s="3" t="str">
        <f t="shared" si="108"/>
        <v>4.6s</v>
      </c>
      <c r="H1372" s="3">
        <f t="shared" si="109"/>
        <v>0.15068416968694465</v>
      </c>
      <c r="I1372" s="3">
        <f t="shared" si="110"/>
        <v>0</v>
      </c>
      <c r="J1372" s="3">
        <f t="shared" si="111"/>
        <v>0</v>
      </c>
      <c r="K1372" s="3" t="str">
        <f t="shared" si="112"/>
        <v>Er148</v>
      </c>
      <c r="L1372" s="3" cm="1">
        <f t="array" ref="L1372">SUM(($J1372*EXP(-$H1372*12*3600*_xlfn.SEQUENCE(L$1-1))))+$J1372</f>
        <v>0</v>
      </c>
      <c r="M1372" s="3"/>
      <c r="N1372" s="3"/>
    </row>
    <row r="1373" spans="2:14" hidden="1" x14ac:dyDescent="0.2">
      <c r="B1373" s="3">
        <v>68149</v>
      </c>
      <c r="C1373" s="3">
        <v>0</v>
      </c>
      <c r="D1373">
        <v>1370</v>
      </c>
      <c r="E1373" t="str">
        <f>VLOOKUP(B1373,Nuclides!A:F,5,FALSE)</f>
        <v>Er149</v>
      </c>
      <c r="F1373">
        <f>VLOOKUP(B1373,Nuclides!A:F,4,FALSE)</f>
        <v>4</v>
      </c>
      <c r="G1373" s="3" t="str">
        <f t="shared" si="108"/>
        <v>4s</v>
      </c>
      <c r="H1373" s="3">
        <f t="shared" si="109"/>
        <v>0.17328679513998632</v>
      </c>
      <c r="I1373" s="3">
        <f t="shared" si="110"/>
        <v>0</v>
      </c>
      <c r="J1373" s="3">
        <f t="shared" si="111"/>
        <v>0</v>
      </c>
      <c r="K1373" s="3" t="str">
        <f t="shared" si="112"/>
        <v>Er149</v>
      </c>
      <c r="L1373" s="3" cm="1">
        <f t="array" ref="L1373">SUM(($J1373*EXP(-$H1373*12*3600*_xlfn.SEQUENCE(L$1-1))))+$J1373</f>
        <v>0</v>
      </c>
      <c r="M1373" s="3"/>
      <c r="N1373" s="3"/>
    </row>
    <row r="1374" spans="2:14" hidden="1" x14ac:dyDescent="0.2">
      <c r="B1374" s="3">
        <v>68150</v>
      </c>
      <c r="C1374" s="3">
        <v>0</v>
      </c>
      <c r="D1374">
        <v>1371</v>
      </c>
      <c r="E1374" t="str">
        <f>VLOOKUP(B1374,Nuclides!A:F,5,FALSE)</f>
        <v>Er150</v>
      </c>
      <c r="F1374">
        <f>VLOOKUP(B1374,Nuclides!A:F,4,FALSE)</f>
        <v>18.5</v>
      </c>
      <c r="G1374" s="3" t="str">
        <f t="shared" si="108"/>
        <v>18.5s</v>
      </c>
      <c r="H1374" s="3">
        <f t="shared" si="109"/>
        <v>3.7467415165402446E-2</v>
      </c>
      <c r="I1374" s="3">
        <f t="shared" si="110"/>
        <v>0</v>
      </c>
      <c r="J1374" s="3">
        <f t="shared" si="111"/>
        <v>0</v>
      </c>
      <c r="K1374" s="3" t="str">
        <f t="shared" si="112"/>
        <v>Er150</v>
      </c>
      <c r="L1374" s="3" cm="1">
        <f t="array" ref="L1374">SUM(($J1374*EXP(-$H1374*12*3600*_xlfn.SEQUENCE(L$1-1))))+$J1374</f>
        <v>0</v>
      </c>
      <c r="M1374" s="3"/>
      <c r="N1374" s="3"/>
    </row>
    <row r="1375" spans="2:14" hidden="1" x14ac:dyDescent="0.2">
      <c r="B1375" s="3">
        <v>68151</v>
      </c>
      <c r="C1375" s="3">
        <v>0</v>
      </c>
      <c r="D1375">
        <v>1372</v>
      </c>
      <c r="E1375" t="str">
        <f>VLOOKUP(B1375,Nuclides!A:F,5,FALSE)</f>
        <v>Er151</v>
      </c>
      <c r="F1375">
        <f>VLOOKUP(B1375,Nuclides!A:F,4,FALSE)</f>
        <v>23.5</v>
      </c>
      <c r="G1375" s="3" t="str">
        <f t="shared" si="108"/>
        <v>23.5s</v>
      </c>
      <c r="H1375" s="3">
        <f t="shared" si="109"/>
        <v>2.9495624704678522E-2</v>
      </c>
      <c r="I1375" s="3">
        <f t="shared" si="110"/>
        <v>0</v>
      </c>
      <c r="J1375" s="3">
        <f t="shared" si="111"/>
        <v>0</v>
      </c>
      <c r="K1375" s="3" t="str">
        <f t="shared" si="112"/>
        <v>Er151</v>
      </c>
      <c r="L1375" s="3" cm="1">
        <f t="array" ref="L1375">SUM(($J1375*EXP(-$H1375*12*3600*_xlfn.SEQUENCE(L$1-1))))+$J1375</f>
        <v>0</v>
      </c>
      <c r="M1375" s="3"/>
      <c r="N1375" s="3"/>
    </row>
    <row r="1376" spans="2:14" hidden="1" x14ac:dyDescent="0.2">
      <c r="B1376" s="3">
        <v>68152</v>
      </c>
      <c r="C1376" s="3">
        <v>0</v>
      </c>
      <c r="D1376">
        <v>1373</v>
      </c>
      <c r="E1376" t="str">
        <f>VLOOKUP(B1376,Nuclides!A:F,5,FALSE)</f>
        <v>Er152</v>
      </c>
      <c r="F1376">
        <f>VLOOKUP(B1376,Nuclides!A:F,4,FALSE)</f>
        <v>10.3</v>
      </c>
      <c r="G1376" s="3" t="str">
        <f t="shared" si="108"/>
        <v>10.3s</v>
      </c>
      <c r="H1376" s="3">
        <f t="shared" si="109"/>
        <v>6.7295842772810213E-2</v>
      </c>
      <c r="I1376" s="3">
        <f t="shared" si="110"/>
        <v>0</v>
      </c>
      <c r="J1376" s="3">
        <f t="shared" si="111"/>
        <v>0</v>
      </c>
      <c r="K1376" s="3" t="str">
        <f t="shared" si="112"/>
        <v>Er152</v>
      </c>
      <c r="L1376" s="3" cm="1">
        <f t="array" ref="L1376">SUM(($J1376*EXP(-$H1376*12*3600*_xlfn.SEQUENCE(L$1-1))))+$J1376</f>
        <v>0</v>
      </c>
      <c r="M1376" s="3"/>
      <c r="N1376" s="3"/>
    </row>
    <row r="1377" spans="2:14" hidden="1" x14ac:dyDescent="0.2">
      <c r="B1377" s="3">
        <v>68153</v>
      </c>
      <c r="C1377" s="3">
        <v>0</v>
      </c>
      <c r="D1377">
        <v>1374</v>
      </c>
      <c r="E1377" t="str">
        <f>VLOOKUP(B1377,Nuclides!A:F,5,FALSE)</f>
        <v>Er153</v>
      </c>
      <c r="F1377">
        <f>VLOOKUP(B1377,Nuclides!A:F,4,FALSE)</f>
        <v>37.1</v>
      </c>
      <c r="G1377" s="3" t="str">
        <f t="shared" si="108"/>
        <v>37.1s</v>
      </c>
      <c r="H1377" s="3">
        <f t="shared" si="109"/>
        <v>1.8683212414014699E-2</v>
      </c>
      <c r="I1377" s="3">
        <f t="shared" si="110"/>
        <v>0</v>
      </c>
      <c r="J1377" s="3">
        <f t="shared" si="111"/>
        <v>0</v>
      </c>
      <c r="K1377" s="3" t="str">
        <f t="shared" si="112"/>
        <v>Er153</v>
      </c>
      <c r="L1377" s="3" cm="1">
        <f t="array" ref="L1377">SUM(($J1377*EXP(-$H1377*12*3600*_xlfn.SEQUENCE(L$1-1))))+$J1377</f>
        <v>0</v>
      </c>
      <c r="M1377" s="3"/>
      <c r="N1377" s="3"/>
    </row>
    <row r="1378" spans="2:14" hidden="1" x14ac:dyDescent="0.2">
      <c r="B1378" s="3">
        <v>68154</v>
      </c>
      <c r="C1378" s="3">
        <v>0</v>
      </c>
      <c r="D1378">
        <v>1375</v>
      </c>
      <c r="E1378" t="str">
        <f>VLOOKUP(B1378,Nuclides!A:F,5,FALSE)</f>
        <v>Er154</v>
      </c>
      <c r="F1378">
        <f>VLOOKUP(B1378,Nuclides!A:F,4,FALSE)</f>
        <v>223.8</v>
      </c>
      <c r="G1378" s="3" t="str">
        <f t="shared" si="108"/>
        <v>3.73min</v>
      </c>
      <c r="H1378" s="3">
        <f t="shared" si="109"/>
        <v>3.0971723885609708E-3</v>
      </c>
      <c r="I1378" s="3">
        <f t="shared" si="110"/>
        <v>0</v>
      </c>
      <c r="J1378" s="3">
        <f t="shared" si="111"/>
        <v>0</v>
      </c>
      <c r="K1378" s="3" t="str">
        <f t="shared" si="112"/>
        <v>Er154</v>
      </c>
      <c r="L1378" s="3" cm="1">
        <f t="array" ref="L1378">SUM(($J1378*EXP(-$H1378*12*3600*_xlfn.SEQUENCE(L$1-1))))+$J1378</f>
        <v>0</v>
      </c>
      <c r="M1378" s="3"/>
      <c r="N1378" s="3"/>
    </row>
    <row r="1379" spans="2:14" hidden="1" x14ac:dyDescent="0.2">
      <c r="B1379" s="3">
        <v>68155</v>
      </c>
      <c r="C1379" s="3">
        <v>0</v>
      </c>
      <c r="D1379">
        <v>1376</v>
      </c>
      <c r="E1379" t="str">
        <f>VLOOKUP(B1379,Nuclides!A:F,5,FALSE)</f>
        <v>Er155</v>
      </c>
      <c r="F1379">
        <f>VLOOKUP(B1379,Nuclides!A:F,4,FALSE)</f>
        <v>318</v>
      </c>
      <c r="G1379" s="3" t="str">
        <f t="shared" si="108"/>
        <v>5.3min</v>
      </c>
      <c r="H1379" s="3">
        <f t="shared" si="109"/>
        <v>2.1797081149683814E-3</v>
      </c>
      <c r="I1379" s="3">
        <f t="shared" si="110"/>
        <v>0</v>
      </c>
      <c r="J1379" s="3">
        <f t="shared" si="111"/>
        <v>0</v>
      </c>
      <c r="K1379" s="3" t="str">
        <f t="shared" si="112"/>
        <v>Er155</v>
      </c>
      <c r="L1379" s="3" cm="1">
        <f t="array" ref="L1379">SUM(($J1379*EXP(-$H1379*12*3600*_xlfn.SEQUENCE(L$1-1))))+$J1379</f>
        <v>0</v>
      </c>
      <c r="M1379" s="3"/>
      <c r="N1379" s="3"/>
    </row>
    <row r="1380" spans="2:14" hidden="1" x14ac:dyDescent="0.2">
      <c r="B1380" s="3">
        <v>68156</v>
      </c>
      <c r="C1380" s="3">
        <v>0</v>
      </c>
      <c r="D1380">
        <v>1377</v>
      </c>
      <c r="E1380" t="str">
        <f>VLOOKUP(B1380,Nuclides!A:F,5,FALSE)</f>
        <v>Er156</v>
      </c>
      <c r="F1380">
        <f>VLOOKUP(B1380,Nuclides!A:F,4,FALSE)</f>
        <v>1170</v>
      </c>
      <c r="G1380" s="3" t="str">
        <f t="shared" si="108"/>
        <v>19.5min</v>
      </c>
      <c r="H1380" s="3">
        <f t="shared" si="109"/>
        <v>5.9243348765807284E-4</v>
      </c>
      <c r="I1380" s="3">
        <f t="shared" si="110"/>
        <v>0</v>
      </c>
      <c r="J1380" s="3">
        <f t="shared" si="111"/>
        <v>0</v>
      </c>
      <c r="K1380" s="3" t="str">
        <f t="shared" si="112"/>
        <v>Er156</v>
      </c>
      <c r="L1380" s="3" cm="1">
        <f t="array" ref="L1380">SUM(($J1380*EXP(-$H1380*12*3600*_xlfn.SEQUENCE(L$1-1))))+$J1380</f>
        <v>0</v>
      </c>
      <c r="M1380" s="3"/>
      <c r="N1380" s="3"/>
    </row>
    <row r="1381" spans="2:14" hidden="1" x14ac:dyDescent="0.2">
      <c r="B1381" s="3">
        <v>68157</v>
      </c>
      <c r="C1381" s="3">
        <v>0</v>
      </c>
      <c r="D1381">
        <v>1378</v>
      </c>
      <c r="E1381" t="str">
        <f>VLOOKUP(B1381,Nuclides!A:F,5,FALSE)</f>
        <v>Er157</v>
      </c>
      <c r="F1381">
        <f>VLOOKUP(B1381,Nuclides!A:F,4,FALSE)</f>
        <v>1119</v>
      </c>
      <c r="G1381" s="3" t="str">
        <f t="shared" si="108"/>
        <v>18.65min</v>
      </c>
      <c r="H1381" s="3">
        <f t="shared" si="109"/>
        <v>6.1943447771219422E-4</v>
      </c>
      <c r="I1381" s="3">
        <f t="shared" si="110"/>
        <v>0</v>
      </c>
      <c r="J1381" s="3">
        <f t="shared" si="111"/>
        <v>0</v>
      </c>
      <c r="K1381" s="3" t="str">
        <f t="shared" si="112"/>
        <v>Er157</v>
      </c>
      <c r="L1381" s="3" cm="1">
        <f t="array" ref="L1381">SUM(($J1381*EXP(-$H1381*12*3600*_xlfn.SEQUENCE(L$1-1))))+$J1381</f>
        <v>0</v>
      </c>
      <c r="M1381" s="3"/>
      <c r="N1381" s="3"/>
    </row>
    <row r="1382" spans="2:14" hidden="1" x14ac:dyDescent="0.2">
      <c r="B1382" s="3">
        <v>68158</v>
      </c>
      <c r="C1382" s="3">
        <v>0</v>
      </c>
      <c r="D1382">
        <v>1379</v>
      </c>
      <c r="E1382" t="str">
        <f>VLOOKUP(B1382,Nuclides!A:F,5,FALSE)</f>
        <v>Er158</v>
      </c>
      <c r="F1382">
        <f>VLOOKUP(B1382,Nuclides!A:F,4,FALSE)</f>
        <v>8244</v>
      </c>
      <c r="G1382" s="3" t="str">
        <f t="shared" si="108"/>
        <v>2.29h</v>
      </c>
      <c r="H1382" s="3">
        <f t="shared" si="109"/>
        <v>8.4078988423088945E-5</v>
      </c>
      <c r="I1382" s="3">
        <f t="shared" si="110"/>
        <v>0</v>
      </c>
      <c r="J1382" s="3">
        <f t="shared" si="111"/>
        <v>0</v>
      </c>
      <c r="K1382" s="3" t="str">
        <f t="shared" si="112"/>
        <v>Er158</v>
      </c>
      <c r="L1382" s="3" cm="1">
        <f t="array" ref="L1382">SUM(($J1382*EXP(-$H1382*12*3600*_xlfn.SEQUENCE(L$1-1))))+$J1382</f>
        <v>0</v>
      </c>
      <c r="M1382" s="3"/>
      <c r="N1382" s="3"/>
    </row>
    <row r="1383" spans="2:14" hidden="1" x14ac:dyDescent="0.2">
      <c r="B1383" s="3">
        <v>68159</v>
      </c>
      <c r="C1383" s="3">
        <v>0</v>
      </c>
      <c r="D1383">
        <v>1380</v>
      </c>
      <c r="E1383" t="str">
        <f>VLOOKUP(B1383,Nuclides!A:F,5,FALSE)</f>
        <v>Er159</v>
      </c>
      <c r="F1383">
        <f>VLOOKUP(B1383,Nuclides!A:F,4,FALSE)</f>
        <v>2160</v>
      </c>
      <c r="G1383" s="3" t="str">
        <f t="shared" si="108"/>
        <v>36min</v>
      </c>
      <c r="H1383" s="3">
        <f t="shared" si="109"/>
        <v>3.2090147248145615E-4</v>
      </c>
      <c r="I1383" s="3">
        <f t="shared" si="110"/>
        <v>0</v>
      </c>
      <c r="J1383" s="3">
        <f t="shared" si="111"/>
        <v>0</v>
      </c>
      <c r="K1383" s="3" t="str">
        <f t="shared" si="112"/>
        <v>Er159</v>
      </c>
      <c r="L1383" s="3" cm="1">
        <f t="array" ref="L1383">SUM(($J1383*EXP(-$H1383*12*3600*_xlfn.SEQUENCE(L$1-1))))+$J1383</f>
        <v>0</v>
      </c>
      <c r="M1383" s="3"/>
      <c r="N1383" s="3"/>
    </row>
    <row r="1384" spans="2:14" hidden="1" x14ac:dyDescent="0.2">
      <c r="B1384" s="3">
        <v>68160</v>
      </c>
      <c r="C1384" s="3">
        <v>0</v>
      </c>
      <c r="D1384">
        <v>1381</v>
      </c>
      <c r="E1384" t="str">
        <f>VLOOKUP(B1384,Nuclides!A:F,5,FALSE)</f>
        <v>Er160</v>
      </c>
      <c r="F1384">
        <f>VLOOKUP(B1384,Nuclides!A:F,4,FALSE)</f>
        <v>102888</v>
      </c>
      <c r="G1384" s="3" t="str">
        <f t="shared" si="108"/>
        <v>1.19d</v>
      </c>
      <c r="H1384" s="3">
        <f t="shared" si="109"/>
        <v>6.7369098491558323E-6</v>
      </c>
      <c r="I1384" s="3">
        <f t="shared" si="110"/>
        <v>0</v>
      </c>
      <c r="J1384" s="3">
        <f t="shared" si="111"/>
        <v>0</v>
      </c>
      <c r="K1384" s="3" t="str">
        <f t="shared" si="112"/>
        <v>Er160</v>
      </c>
      <c r="L1384" s="3" cm="1">
        <f t="array" ref="L1384">SUM(($J1384*EXP(-$H1384*12*3600*_xlfn.SEQUENCE(L$1-1))))+$J1384</f>
        <v>0</v>
      </c>
      <c r="M1384" s="3"/>
      <c r="N1384" s="3"/>
    </row>
    <row r="1385" spans="2:14" hidden="1" x14ac:dyDescent="0.2">
      <c r="B1385" s="3">
        <v>68161</v>
      </c>
      <c r="C1385" s="3">
        <v>0</v>
      </c>
      <c r="D1385">
        <v>1382</v>
      </c>
      <c r="E1385" t="str">
        <f>VLOOKUP(B1385,Nuclides!A:F,5,FALSE)</f>
        <v>Er161</v>
      </c>
      <c r="F1385">
        <f>VLOOKUP(B1385,Nuclides!A:F,4,FALSE)</f>
        <v>11556</v>
      </c>
      <c r="G1385" s="3" t="str">
        <f t="shared" si="108"/>
        <v>3.21h</v>
      </c>
      <c r="H1385" s="3">
        <f t="shared" si="109"/>
        <v>5.9981583641393672E-5</v>
      </c>
      <c r="I1385" s="3">
        <f t="shared" si="110"/>
        <v>0</v>
      </c>
      <c r="J1385" s="3">
        <f t="shared" si="111"/>
        <v>0</v>
      </c>
      <c r="K1385" s="3" t="str">
        <f t="shared" si="112"/>
        <v>Er161</v>
      </c>
      <c r="L1385" s="3" cm="1">
        <f t="array" ref="L1385">SUM(($J1385*EXP(-$H1385*12*3600*_xlfn.SEQUENCE(L$1-1))))+$J1385</f>
        <v>0</v>
      </c>
      <c r="M1385" s="3"/>
      <c r="N1385" s="3"/>
    </row>
    <row r="1386" spans="2:14" hidden="1" x14ac:dyDescent="0.2">
      <c r="B1386" s="3">
        <v>68162</v>
      </c>
      <c r="C1386" s="3">
        <v>0</v>
      </c>
      <c r="D1386">
        <v>1383</v>
      </c>
      <c r="E1386" t="str">
        <f>VLOOKUP(B1386,Nuclides!A:F,5,FALSE)</f>
        <v>Er162</v>
      </c>
      <c r="F1386" t="str">
        <f>VLOOKUP(B1386,Nuclides!A:F,4,FALSE)</f>
        <v>STABLE</v>
      </c>
      <c r="G1386" s="3" t="str">
        <f t="shared" si="108"/>
        <v>STABLE</v>
      </c>
      <c r="H1386" s="3" t="e">
        <f t="shared" si="109"/>
        <v>#VALUE!</v>
      </c>
      <c r="I1386" s="3" t="e">
        <f t="shared" si="110"/>
        <v>#VALUE!</v>
      </c>
      <c r="J1386" s="3" t="e">
        <f t="shared" si="111"/>
        <v>#VALUE!</v>
      </c>
      <c r="K1386" s="3" t="str">
        <f t="shared" si="112"/>
        <v>Er162</v>
      </c>
      <c r="L1386" s="3" t="e" cm="1">
        <f t="array" ref="L1386">SUM(($J1386*EXP(-$H1386*12*3600*_xlfn.SEQUENCE(L$1-1))))+$J1386</f>
        <v>#VALUE!</v>
      </c>
      <c r="M1386" s="3"/>
      <c r="N1386" s="3"/>
    </row>
    <row r="1387" spans="2:14" hidden="1" x14ac:dyDescent="0.2">
      <c r="B1387" s="3">
        <v>68163</v>
      </c>
      <c r="C1387" s="3">
        <v>0</v>
      </c>
      <c r="D1387">
        <v>1384</v>
      </c>
      <c r="E1387" t="str">
        <f>VLOOKUP(B1387,Nuclides!A:F,5,FALSE)</f>
        <v>Er163</v>
      </c>
      <c r="F1387">
        <f>VLOOKUP(B1387,Nuclides!A:F,4,FALSE)</f>
        <v>4500</v>
      </c>
      <c r="G1387" s="3" t="str">
        <f t="shared" si="108"/>
        <v>1.25h</v>
      </c>
      <c r="H1387" s="3">
        <f t="shared" si="109"/>
        <v>1.5403270679109895E-4</v>
      </c>
      <c r="I1387" s="3">
        <f t="shared" si="110"/>
        <v>0</v>
      </c>
      <c r="J1387" s="3">
        <f t="shared" si="111"/>
        <v>0</v>
      </c>
      <c r="K1387" s="3" t="str">
        <f t="shared" si="112"/>
        <v>Er163</v>
      </c>
      <c r="L1387" s="3" cm="1">
        <f t="array" ref="L1387">SUM(($J1387*EXP(-$H1387*12*3600*_xlfn.SEQUENCE(L$1-1))))+$J1387</f>
        <v>0</v>
      </c>
      <c r="M1387" s="3"/>
      <c r="N1387" s="3"/>
    </row>
    <row r="1388" spans="2:14" hidden="1" x14ac:dyDescent="0.2">
      <c r="B1388" s="3">
        <v>68164</v>
      </c>
      <c r="C1388" s="3">
        <v>0</v>
      </c>
      <c r="D1388">
        <v>1385</v>
      </c>
      <c r="E1388" t="str">
        <f>VLOOKUP(B1388,Nuclides!A:F,5,FALSE)</f>
        <v>Er164</v>
      </c>
      <c r="F1388" t="str">
        <f>VLOOKUP(B1388,Nuclides!A:F,4,FALSE)</f>
        <v>STABLE</v>
      </c>
      <c r="G1388" s="3" t="str">
        <f t="shared" si="108"/>
        <v>STABLE</v>
      </c>
      <c r="H1388" s="3" t="e">
        <f t="shared" si="109"/>
        <v>#VALUE!</v>
      </c>
      <c r="I1388" s="3" t="e">
        <f t="shared" si="110"/>
        <v>#VALUE!</v>
      </c>
      <c r="J1388" s="3" t="e">
        <f t="shared" si="111"/>
        <v>#VALUE!</v>
      </c>
      <c r="K1388" s="3" t="str">
        <f t="shared" si="112"/>
        <v>Er164</v>
      </c>
      <c r="L1388" s="3" t="e" cm="1">
        <f t="array" ref="L1388">SUM(($J1388*EXP(-$H1388*12*3600*_xlfn.SEQUENCE(L$1-1))))+$J1388</f>
        <v>#VALUE!</v>
      </c>
      <c r="M1388" s="3"/>
      <c r="N1388" s="3"/>
    </row>
    <row r="1389" spans="2:14" hidden="1" x14ac:dyDescent="0.2">
      <c r="B1389" s="3">
        <v>68165</v>
      </c>
      <c r="C1389" s="3">
        <v>0</v>
      </c>
      <c r="D1389">
        <v>1386</v>
      </c>
      <c r="E1389" t="str">
        <f>VLOOKUP(B1389,Nuclides!A:F,5,FALSE)</f>
        <v>Er165</v>
      </c>
      <c r="F1389">
        <f>VLOOKUP(B1389,Nuclides!A:F,4,FALSE)</f>
        <v>37296</v>
      </c>
      <c r="G1389" s="3" t="str">
        <f t="shared" si="108"/>
        <v>10.36h</v>
      </c>
      <c r="H1389" s="3">
        <f t="shared" si="109"/>
        <v>1.8585027363790896E-5</v>
      </c>
      <c r="I1389" s="3">
        <f t="shared" si="110"/>
        <v>0</v>
      </c>
      <c r="J1389" s="3">
        <f t="shared" si="111"/>
        <v>0</v>
      </c>
      <c r="K1389" s="3" t="str">
        <f t="shared" si="112"/>
        <v>Er165</v>
      </c>
      <c r="L1389" s="3" cm="1">
        <f t="array" ref="L1389">SUM(($J1389*EXP(-$H1389*12*3600*_xlfn.SEQUENCE(L$1-1))))+$J1389</f>
        <v>0</v>
      </c>
      <c r="M1389" s="3"/>
      <c r="N1389" s="3"/>
    </row>
    <row r="1390" spans="2:14" hidden="1" x14ac:dyDescent="0.2">
      <c r="B1390" s="3">
        <v>68166</v>
      </c>
      <c r="C1390" s="3">
        <v>0</v>
      </c>
      <c r="D1390">
        <v>1387</v>
      </c>
      <c r="E1390" t="str">
        <f>VLOOKUP(B1390,Nuclides!A:F,5,FALSE)</f>
        <v>Er166</v>
      </c>
      <c r="F1390" t="str">
        <f>VLOOKUP(B1390,Nuclides!A:F,4,FALSE)</f>
        <v>STABLE</v>
      </c>
      <c r="G1390" s="3" t="str">
        <f t="shared" si="108"/>
        <v>STABLE</v>
      </c>
      <c r="H1390" s="3" t="e">
        <f t="shared" si="109"/>
        <v>#VALUE!</v>
      </c>
      <c r="I1390" s="3" t="e">
        <f t="shared" si="110"/>
        <v>#VALUE!</v>
      </c>
      <c r="J1390" s="3" t="e">
        <f t="shared" si="111"/>
        <v>#VALUE!</v>
      </c>
      <c r="K1390" s="3" t="str">
        <f t="shared" si="112"/>
        <v>Er166</v>
      </c>
      <c r="L1390" s="3" t="e" cm="1">
        <f t="array" ref="L1390">SUM(($J1390*EXP(-$H1390*12*3600*_xlfn.SEQUENCE(L$1-1))))+$J1390</f>
        <v>#VALUE!</v>
      </c>
      <c r="M1390" s="3"/>
      <c r="N1390" s="3"/>
    </row>
    <row r="1391" spans="2:14" hidden="1" x14ac:dyDescent="0.2">
      <c r="B1391" s="3">
        <v>68167</v>
      </c>
      <c r="C1391" s="3">
        <v>0</v>
      </c>
      <c r="D1391">
        <v>1388</v>
      </c>
      <c r="E1391" t="str">
        <f>VLOOKUP(B1391,Nuclides!A:F,5,FALSE)</f>
        <v>Er167</v>
      </c>
      <c r="F1391" t="str">
        <f>VLOOKUP(B1391,Nuclides!A:F,4,FALSE)</f>
        <v>STABLE</v>
      </c>
      <c r="G1391" s="3" t="str">
        <f t="shared" si="108"/>
        <v>STABLE</v>
      </c>
      <c r="H1391" s="3" t="e">
        <f t="shared" si="109"/>
        <v>#VALUE!</v>
      </c>
      <c r="I1391" s="3" t="e">
        <f t="shared" si="110"/>
        <v>#VALUE!</v>
      </c>
      <c r="J1391" s="3" t="e">
        <f t="shared" si="111"/>
        <v>#VALUE!</v>
      </c>
      <c r="K1391" s="3" t="str">
        <f t="shared" si="112"/>
        <v>Er167</v>
      </c>
      <c r="L1391" s="3" t="e" cm="1">
        <f t="array" ref="L1391">SUM(($J1391*EXP(-$H1391*12*3600*_xlfn.SEQUENCE(L$1-1))))+$J1391</f>
        <v>#VALUE!</v>
      </c>
      <c r="M1391" s="3"/>
      <c r="N1391" s="3"/>
    </row>
    <row r="1392" spans="2:14" hidden="1" x14ac:dyDescent="0.2">
      <c r="B1392" s="3">
        <v>68168</v>
      </c>
      <c r="C1392" s="3">
        <v>0</v>
      </c>
      <c r="D1392">
        <v>1389</v>
      </c>
      <c r="E1392" t="str">
        <f>VLOOKUP(B1392,Nuclides!A:F,5,FALSE)</f>
        <v>Er168</v>
      </c>
      <c r="F1392" t="str">
        <f>VLOOKUP(B1392,Nuclides!A:F,4,FALSE)</f>
        <v>STABLE</v>
      </c>
      <c r="G1392" s="3" t="str">
        <f t="shared" si="108"/>
        <v>STABLE</v>
      </c>
      <c r="H1392" s="3" t="e">
        <f t="shared" si="109"/>
        <v>#VALUE!</v>
      </c>
      <c r="I1392" s="3" t="e">
        <f t="shared" si="110"/>
        <v>#VALUE!</v>
      </c>
      <c r="J1392" s="3" t="e">
        <f t="shared" si="111"/>
        <v>#VALUE!</v>
      </c>
      <c r="K1392" s="3" t="str">
        <f t="shared" si="112"/>
        <v>Er168</v>
      </c>
      <c r="L1392" s="3" t="e" cm="1">
        <f t="array" ref="L1392">SUM(($J1392*EXP(-$H1392*12*3600*_xlfn.SEQUENCE(L$1-1))))+$J1392</f>
        <v>#VALUE!</v>
      </c>
      <c r="M1392" s="3"/>
      <c r="N1392" s="3"/>
    </row>
    <row r="1393" spans="2:14" hidden="1" x14ac:dyDescent="0.2">
      <c r="B1393" s="3">
        <v>68169</v>
      </c>
      <c r="C1393" s="3">
        <v>0</v>
      </c>
      <c r="D1393">
        <v>1390</v>
      </c>
      <c r="E1393" t="str">
        <f>VLOOKUP(B1393,Nuclides!A:F,5,FALSE)</f>
        <v>Er169</v>
      </c>
      <c r="F1393">
        <f>VLOOKUP(B1393,Nuclides!A:F,4,FALSE)</f>
        <v>811468.799999999</v>
      </c>
      <c r="G1393" s="3" t="str">
        <f t="shared" si="108"/>
        <v>9.39d</v>
      </c>
      <c r="H1393" s="3">
        <f t="shared" si="109"/>
        <v>8.5418833177559772E-7</v>
      </c>
      <c r="I1393" s="3">
        <f t="shared" si="110"/>
        <v>0</v>
      </c>
      <c r="J1393" s="3">
        <f t="shared" si="111"/>
        <v>0</v>
      </c>
      <c r="K1393" s="3" t="str">
        <f t="shared" si="112"/>
        <v>Er169</v>
      </c>
      <c r="L1393" s="3" cm="1">
        <f t="array" ref="L1393">SUM(($J1393*EXP(-$H1393*12*3600*_xlfn.SEQUENCE(L$1-1))))+$J1393</f>
        <v>0</v>
      </c>
      <c r="M1393" s="3"/>
      <c r="N1393" s="3"/>
    </row>
    <row r="1394" spans="2:14" hidden="1" x14ac:dyDescent="0.2">
      <c r="B1394" s="3">
        <v>68170</v>
      </c>
      <c r="C1394" s="3">
        <v>0</v>
      </c>
      <c r="D1394">
        <v>1391</v>
      </c>
      <c r="E1394" t="str">
        <f>VLOOKUP(B1394,Nuclides!A:F,5,FALSE)</f>
        <v>Er170</v>
      </c>
      <c r="F1394" t="str">
        <f>VLOOKUP(B1394,Nuclides!A:F,4,FALSE)</f>
        <v>STABLE</v>
      </c>
      <c r="G1394" s="3" t="str">
        <f t="shared" si="108"/>
        <v>STABLE</v>
      </c>
      <c r="H1394" s="3" t="e">
        <f t="shared" si="109"/>
        <v>#VALUE!</v>
      </c>
      <c r="I1394" s="3" t="e">
        <f t="shared" si="110"/>
        <v>#VALUE!</v>
      </c>
      <c r="J1394" s="3" t="e">
        <f t="shared" si="111"/>
        <v>#VALUE!</v>
      </c>
      <c r="K1394" s="3" t="str">
        <f t="shared" si="112"/>
        <v>Er170</v>
      </c>
      <c r="L1394" s="3" t="e" cm="1">
        <f t="array" ref="L1394">SUM(($J1394*EXP(-$H1394*12*3600*_xlfn.SEQUENCE(L$1-1))))+$J1394</f>
        <v>#VALUE!</v>
      </c>
      <c r="M1394" s="3"/>
      <c r="N1394" s="3"/>
    </row>
    <row r="1395" spans="2:14" hidden="1" x14ac:dyDescent="0.2">
      <c r="B1395" s="3">
        <v>68171</v>
      </c>
      <c r="C1395" s="3">
        <v>0</v>
      </c>
      <c r="D1395">
        <v>1392</v>
      </c>
      <c r="E1395" t="str">
        <f>VLOOKUP(B1395,Nuclides!A:F,5,FALSE)</f>
        <v>Er171</v>
      </c>
      <c r="F1395">
        <f>VLOOKUP(B1395,Nuclides!A:F,4,FALSE)</f>
        <v>27057.599999999999</v>
      </c>
      <c r="G1395" s="3" t="str">
        <f t="shared" si="108"/>
        <v>7.52h</v>
      </c>
      <c r="H1395" s="3">
        <f t="shared" si="109"/>
        <v>2.5617467201819281E-5</v>
      </c>
      <c r="I1395" s="3">
        <f t="shared" si="110"/>
        <v>0</v>
      </c>
      <c r="J1395" s="3">
        <f t="shared" si="111"/>
        <v>0</v>
      </c>
      <c r="K1395" s="3" t="str">
        <f t="shared" si="112"/>
        <v>Er171</v>
      </c>
      <c r="L1395" s="3" cm="1">
        <f t="array" ref="L1395">SUM(($J1395*EXP(-$H1395*12*3600*_xlfn.SEQUENCE(L$1-1))))+$J1395</f>
        <v>0</v>
      </c>
      <c r="M1395" s="3"/>
      <c r="N1395" s="3"/>
    </row>
    <row r="1396" spans="2:14" hidden="1" x14ac:dyDescent="0.2">
      <c r="B1396" s="3">
        <v>68172</v>
      </c>
      <c r="C1396" s="3">
        <v>0</v>
      </c>
      <c r="D1396">
        <v>1393</v>
      </c>
      <c r="E1396" t="str">
        <f>VLOOKUP(B1396,Nuclides!A:F,5,FALSE)</f>
        <v>Er172</v>
      </c>
      <c r="F1396">
        <f>VLOOKUP(B1396,Nuclides!A:F,4,FALSE)</f>
        <v>177480</v>
      </c>
      <c r="G1396" s="3" t="str">
        <f t="shared" si="108"/>
        <v>2.05d</v>
      </c>
      <c r="H1396" s="3">
        <f t="shared" si="109"/>
        <v>3.9054945940948014E-6</v>
      </c>
      <c r="I1396" s="3">
        <f t="shared" si="110"/>
        <v>0</v>
      </c>
      <c r="J1396" s="3">
        <f t="shared" si="111"/>
        <v>0</v>
      </c>
      <c r="K1396" s="3" t="str">
        <f t="shared" si="112"/>
        <v>Er172</v>
      </c>
      <c r="L1396" s="3" cm="1">
        <f t="array" ref="L1396">SUM(($J1396*EXP(-$H1396*12*3600*_xlfn.SEQUENCE(L$1-1))))+$J1396</f>
        <v>0</v>
      </c>
      <c r="M1396" s="3"/>
      <c r="N1396" s="3"/>
    </row>
    <row r="1397" spans="2:14" hidden="1" x14ac:dyDescent="0.2">
      <c r="B1397" s="3">
        <v>68173</v>
      </c>
      <c r="C1397" s="3">
        <v>0</v>
      </c>
      <c r="D1397">
        <v>1394</v>
      </c>
      <c r="E1397" t="str">
        <f>VLOOKUP(B1397,Nuclides!A:F,5,FALSE)</f>
        <v>Er173</v>
      </c>
      <c r="F1397">
        <f>VLOOKUP(B1397,Nuclides!A:F,4,FALSE)</f>
        <v>84</v>
      </c>
      <c r="G1397" s="3" t="str">
        <f t="shared" si="108"/>
        <v>1.4min</v>
      </c>
      <c r="H1397" s="3">
        <f t="shared" si="109"/>
        <v>8.2517521495231588E-3</v>
      </c>
      <c r="I1397" s="3">
        <f t="shared" si="110"/>
        <v>0</v>
      </c>
      <c r="J1397" s="3">
        <f t="shared" si="111"/>
        <v>0</v>
      </c>
      <c r="K1397" s="3" t="str">
        <f t="shared" si="112"/>
        <v>Er173</v>
      </c>
      <c r="L1397" s="3" cm="1">
        <f t="array" ref="L1397">SUM(($J1397*EXP(-$H1397*12*3600*_xlfn.SEQUENCE(L$1-1))))+$J1397</f>
        <v>0</v>
      </c>
      <c r="M1397" s="3"/>
      <c r="N1397" s="3"/>
    </row>
    <row r="1398" spans="2:14" hidden="1" x14ac:dyDescent="0.2">
      <c r="B1398" s="3">
        <v>69151</v>
      </c>
      <c r="C1398" s="3">
        <v>0</v>
      </c>
      <c r="D1398">
        <v>1395</v>
      </c>
      <c r="E1398" t="str">
        <f>VLOOKUP(B1398,Nuclides!A:F,5,FALSE)</f>
        <v>Tm151</v>
      </c>
      <c r="F1398">
        <f>VLOOKUP(B1398,Nuclides!A:F,4,FALSE)</f>
        <v>4.17</v>
      </c>
      <c r="G1398" s="3" t="str">
        <f t="shared" si="108"/>
        <v>4.17s</v>
      </c>
      <c r="H1398" s="3">
        <f t="shared" si="109"/>
        <v>0.16622234545802045</v>
      </c>
      <c r="I1398" s="3">
        <f t="shared" si="110"/>
        <v>0</v>
      </c>
      <c r="J1398" s="3">
        <f t="shared" si="111"/>
        <v>0</v>
      </c>
      <c r="K1398" s="3" t="str">
        <f t="shared" si="112"/>
        <v>Tm151</v>
      </c>
      <c r="L1398" s="3" cm="1">
        <f t="array" ref="L1398">SUM(($J1398*EXP(-$H1398*12*3600*_xlfn.SEQUENCE(L$1-1))))+$J1398</f>
        <v>0</v>
      </c>
      <c r="M1398" s="3"/>
      <c r="N1398" s="3"/>
    </row>
    <row r="1399" spans="2:14" hidden="1" x14ac:dyDescent="0.2">
      <c r="B1399" s="3">
        <v>69152</v>
      </c>
      <c r="C1399" s="3">
        <v>0</v>
      </c>
      <c r="D1399">
        <v>1396</v>
      </c>
      <c r="E1399" t="str">
        <f>VLOOKUP(B1399,Nuclides!A:F,5,FALSE)</f>
        <v>Tm152</v>
      </c>
      <c r="F1399">
        <f>VLOOKUP(B1399,Nuclides!A:F,4,FALSE)</f>
        <v>8</v>
      </c>
      <c r="G1399" s="3" t="str">
        <f t="shared" si="108"/>
        <v>8s</v>
      </c>
      <c r="H1399" s="3">
        <f t="shared" si="109"/>
        <v>8.6643397569993161E-2</v>
      </c>
      <c r="I1399" s="3">
        <f t="shared" si="110"/>
        <v>0</v>
      </c>
      <c r="J1399" s="3">
        <f t="shared" si="111"/>
        <v>0</v>
      </c>
      <c r="K1399" s="3" t="str">
        <f t="shared" si="112"/>
        <v>Tm152</v>
      </c>
      <c r="L1399" s="3" cm="1">
        <f t="array" ref="L1399">SUM(($J1399*EXP(-$H1399*12*3600*_xlfn.SEQUENCE(L$1-1))))+$J1399</f>
        <v>0</v>
      </c>
      <c r="M1399" s="3"/>
      <c r="N1399" s="3"/>
    </row>
    <row r="1400" spans="2:14" hidden="1" x14ac:dyDescent="0.2">
      <c r="B1400" s="3">
        <v>69153</v>
      </c>
      <c r="C1400" s="3">
        <v>0</v>
      </c>
      <c r="D1400">
        <v>1397</v>
      </c>
      <c r="E1400" t="str">
        <f>VLOOKUP(B1400,Nuclides!A:F,5,FALSE)</f>
        <v>Tm153</v>
      </c>
      <c r="F1400">
        <f>VLOOKUP(B1400,Nuclides!A:F,4,FALSE)</f>
        <v>1.48</v>
      </c>
      <c r="G1400" s="3" t="str">
        <f t="shared" si="108"/>
        <v>1.48s</v>
      </c>
      <c r="H1400" s="3">
        <f t="shared" si="109"/>
        <v>0.46834268956753061</v>
      </c>
      <c r="I1400" s="3">
        <f t="shared" si="110"/>
        <v>0</v>
      </c>
      <c r="J1400" s="3">
        <f t="shared" si="111"/>
        <v>0</v>
      </c>
      <c r="K1400" s="3" t="str">
        <f t="shared" si="112"/>
        <v>Tm153</v>
      </c>
      <c r="L1400" s="3" cm="1">
        <f t="array" ref="L1400">SUM(($J1400*EXP(-$H1400*12*3600*_xlfn.SEQUENCE(L$1-1))))+$J1400</f>
        <v>0</v>
      </c>
      <c r="M1400" s="3"/>
      <c r="N1400" s="3"/>
    </row>
    <row r="1401" spans="2:14" hidden="1" x14ac:dyDescent="0.2">
      <c r="B1401" s="3">
        <v>69154</v>
      </c>
      <c r="C1401" s="3">
        <v>0</v>
      </c>
      <c r="D1401">
        <v>1398</v>
      </c>
      <c r="E1401" t="str">
        <f>VLOOKUP(B1401,Nuclides!A:F,5,FALSE)</f>
        <v>Tm154</v>
      </c>
      <c r="F1401">
        <f>VLOOKUP(B1401,Nuclides!A:F,4,FALSE)</f>
        <v>8.1</v>
      </c>
      <c r="G1401" s="3" t="str">
        <f t="shared" si="108"/>
        <v>8.1s</v>
      </c>
      <c r="H1401" s="3">
        <f t="shared" si="109"/>
        <v>8.5573725995054972E-2</v>
      </c>
      <c r="I1401" s="3">
        <f t="shared" si="110"/>
        <v>0</v>
      </c>
      <c r="J1401" s="3">
        <f t="shared" si="111"/>
        <v>0</v>
      </c>
      <c r="K1401" s="3" t="str">
        <f t="shared" si="112"/>
        <v>Tm154</v>
      </c>
      <c r="L1401" s="3" cm="1">
        <f t="array" ref="L1401">SUM(($J1401*EXP(-$H1401*12*3600*_xlfn.SEQUENCE(L$1-1))))+$J1401</f>
        <v>0</v>
      </c>
      <c r="M1401" s="3"/>
      <c r="N1401" s="3"/>
    </row>
    <row r="1402" spans="2:14" hidden="1" x14ac:dyDescent="0.2">
      <c r="B1402" s="3">
        <v>69155</v>
      </c>
      <c r="C1402" s="3">
        <v>0</v>
      </c>
      <c r="D1402">
        <v>1399</v>
      </c>
      <c r="E1402" t="str">
        <f>VLOOKUP(B1402,Nuclides!A:F,5,FALSE)</f>
        <v>Tm155</v>
      </c>
      <c r="F1402">
        <f>VLOOKUP(B1402,Nuclides!A:F,4,FALSE)</f>
        <v>21.6</v>
      </c>
      <c r="G1402" s="3" t="str">
        <f t="shared" si="108"/>
        <v>21.6s</v>
      </c>
      <c r="H1402" s="3">
        <f t="shared" si="109"/>
        <v>3.2090147248145615E-2</v>
      </c>
      <c r="I1402" s="3">
        <f t="shared" si="110"/>
        <v>0</v>
      </c>
      <c r="J1402" s="3">
        <f t="shared" si="111"/>
        <v>0</v>
      </c>
      <c r="K1402" s="3" t="str">
        <f t="shared" si="112"/>
        <v>Tm155</v>
      </c>
      <c r="L1402" s="3" cm="1">
        <f t="array" ref="L1402">SUM(($J1402*EXP(-$H1402*12*3600*_xlfn.SEQUENCE(L$1-1))))+$J1402</f>
        <v>0</v>
      </c>
      <c r="M1402" s="3"/>
      <c r="N1402" s="3"/>
    </row>
    <row r="1403" spans="2:14" hidden="1" x14ac:dyDescent="0.2">
      <c r="B1403" s="3">
        <v>69156</v>
      </c>
      <c r="C1403" s="3">
        <v>0</v>
      </c>
      <c r="D1403">
        <v>1400</v>
      </c>
      <c r="E1403" t="str">
        <f>VLOOKUP(B1403,Nuclides!A:F,5,FALSE)</f>
        <v>Tm156</v>
      </c>
      <c r="F1403">
        <f>VLOOKUP(B1403,Nuclides!A:F,4,FALSE)</f>
        <v>83.8</v>
      </c>
      <c r="G1403" s="3" t="str">
        <f t="shared" si="108"/>
        <v>1.4min</v>
      </c>
      <c r="H1403" s="3">
        <f t="shared" si="109"/>
        <v>8.2714460687344313E-3</v>
      </c>
      <c r="I1403" s="3">
        <f t="shared" si="110"/>
        <v>0</v>
      </c>
      <c r="J1403" s="3">
        <f t="shared" si="111"/>
        <v>0</v>
      </c>
      <c r="K1403" s="3" t="str">
        <f t="shared" si="112"/>
        <v>Tm156</v>
      </c>
      <c r="L1403" s="3" cm="1">
        <f t="array" ref="L1403">SUM(($J1403*EXP(-$H1403*12*3600*_xlfn.SEQUENCE(L$1-1))))+$J1403</f>
        <v>0</v>
      </c>
      <c r="M1403" s="3"/>
      <c r="N1403" s="3"/>
    </row>
    <row r="1404" spans="2:14" hidden="1" x14ac:dyDescent="0.2">
      <c r="B1404" s="3">
        <v>69157</v>
      </c>
      <c r="C1404" s="3">
        <v>0</v>
      </c>
      <c r="D1404">
        <v>1401</v>
      </c>
      <c r="E1404" t="str">
        <f>VLOOKUP(B1404,Nuclides!A:F,5,FALSE)</f>
        <v>Tm157</v>
      </c>
      <c r="F1404">
        <f>VLOOKUP(B1404,Nuclides!A:F,4,FALSE)</f>
        <v>217.79999999999899</v>
      </c>
      <c r="G1404" s="3" t="str">
        <f t="shared" si="108"/>
        <v>3.63min</v>
      </c>
      <c r="H1404" s="3">
        <f t="shared" si="109"/>
        <v>3.1824939419648692E-3</v>
      </c>
      <c r="I1404" s="3">
        <f t="shared" si="110"/>
        <v>0</v>
      </c>
      <c r="J1404" s="3">
        <f t="shared" si="111"/>
        <v>0</v>
      </c>
      <c r="K1404" s="3" t="str">
        <f t="shared" si="112"/>
        <v>Tm157</v>
      </c>
      <c r="L1404" s="3" cm="1">
        <f t="array" ref="L1404">SUM(($J1404*EXP(-$H1404*12*3600*_xlfn.SEQUENCE(L$1-1))))+$J1404</f>
        <v>0</v>
      </c>
      <c r="M1404" s="3"/>
      <c r="N1404" s="3"/>
    </row>
    <row r="1405" spans="2:14" hidden="1" x14ac:dyDescent="0.2">
      <c r="B1405" s="3">
        <v>69158</v>
      </c>
      <c r="C1405" s="3">
        <v>0</v>
      </c>
      <c r="D1405">
        <v>1402</v>
      </c>
      <c r="E1405" t="str">
        <f>VLOOKUP(B1405,Nuclides!A:F,5,FALSE)</f>
        <v>Tm158</v>
      </c>
      <c r="F1405">
        <f>VLOOKUP(B1405,Nuclides!A:F,4,FALSE)</f>
        <v>238.8</v>
      </c>
      <c r="G1405" s="3" t="str">
        <f t="shared" si="108"/>
        <v>3.98min</v>
      </c>
      <c r="H1405" s="3">
        <f t="shared" si="109"/>
        <v>2.9026263842543772E-3</v>
      </c>
      <c r="I1405" s="3">
        <f t="shared" si="110"/>
        <v>0</v>
      </c>
      <c r="J1405" s="3">
        <f t="shared" si="111"/>
        <v>0</v>
      </c>
      <c r="K1405" s="3" t="str">
        <f t="shared" si="112"/>
        <v>Tm158</v>
      </c>
      <c r="L1405" s="3" cm="1">
        <f t="array" ref="L1405">SUM(($J1405*EXP(-$H1405*12*3600*_xlfn.SEQUENCE(L$1-1))))+$J1405</f>
        <v>0</v>
      </c>
      <c r="M1405" s="3"/>
      <c r="N1405" s="3"/>
    </row>
    <row r="1406" spans="2:14" hidden="1" x14ac:dyDescent="0.2">
      <c r="B1406" s="3">
        <v>69159</v>
      </c>
      <c r="C1406" s="3">
        <v>0</v>
      </c>
      <c r="D1406">
        <v>1403</v>
      </c>
      <c r="E1406" t="str">
        <f>VLOOKUP(B1406,Nuclides!A:F,5,FALSE)</f>
        <v>Tm159</v>
      </c>
      <c r="F1406">
        <f>VLOOKUP(B1406,Nuclides!A:F,4,FALSE)</f>
        <v>547.79999999999995</v>
      </c>
      <c r="G1406" s="3" t="str">
        <f t="shared" si="108"/>
        <v>9.13min</v>
      </c>
      <c r="H1406" s="3">
        <f t="shared" si="109"/>
        <v>1.2653289166848218E-3</v>
      </c>
      <c r="I1406" s="3">
        <f t="shared" si="110"/>
        <v>0</v>
      </c>
      <c r="J1406" s="3">
        <f t="shared" si="111"/>
        <v>0</v>
      </c>
      <c r="K1406" s="3" t="str">
        <f t="shared" si="112"/>
        <v>Tm159</v>
      </c>
      <c r="L1406" s="3" cm="1">
        <f t="array" ref="L1406">SUM(($J1406*EXP(-$H1406*12*3600*_xlfn.SEQUENCE(L$1-1))))+$J1406</f>
        <v>0</v>
      </c>
      <c r="M1406" s="3"/>
      <c r="N1406" s="3"/>
    </row>
    <row r="1407" spans="2:14" hidden="1" x14ac:dyDescent="0.2">
      <c r="B1407" s="3">
        <v>69160</v>
      </c>
      <c r="C1407" s="3">
        <v>0</v>
      </c>
      <c r="D1407">
        <v>1404</v>
      </c>
      <c r="E1407" t="str">
        <f>VLOOKUP(B1407,Nuclides!A:F,5,FALSE)</f>
        <v>Tm160</v>
      </c>
      <c r="F1407">
        <f>VLOOKUP(B1407,Nuclides!A:F,4,FALSE)</f>
        <v>564</v>
      </c>
      <c r="G1407" s="3" t="str">
        <f t="shared" si="108"/>
        <v>9.4min</v>
      </c>
      <c r="H1407" s="3">
        <f t="shared" si="109"/>
        <v>1.2289843626949386E-3</v>
      </c>
      <c r="I1407" s="3">
        <f t="shared" si="110"/>
        <v>0</v>
      </c>
      <c r="J1407" s="3">
        <f t="shared" si="111"/>
        <v>0</v>
      </c>
      <c r="K1407" s="3" t="str">
        <f t="shared" si="112"/>
        <v>Tm160</v>
      </c>
      <c r="L1407" s="3" cm="1">
        <f t="array" ref="L1407">SUM(($J1407*EXP(-$H1407*12*3600*_xlfn.SEQUENCE(L$1-1))))+$J1407</f>
        <v>0</v>
      </c>
      <c r="M1407" s="3"/>
      <c r="N1407" s="3"/>
    </row>
    <row r="1408" spans="2:14" hidden="1" x14ac:dyDescent="0.2">
      <c r="B1408" s="3">
        <v>69161</v>
      </c>
      <c r="C1408" s="3">
        <v>0</v>
      </c>
      <c r="D1408">
        <v>1405</v>
      </c>
      <c r="E1408" t="str">
        <f>VLOOKUP(B1408,Nuclides!A:F,5,FALSE)</f>
        <v>Tm161</v>
      </c>
      <c r="F1408">
        <f>VLOOKUP(B1408,Nuclides!A:F,4,FALSE)</f>
        <v>1812</v>
      </c>
      <c r="G1408" s="3" t="str">
        <f t="shared" si="108"/>
        <v>30.2min</v>
      </c>
      <c r="H1408" s="3">
        <f t="shared" si="109"/>
        <v>3.825315566004113E-4</v>
      </c>
      <c r="I1408" s="3">
        <f t="shared" si="110"/>
        <v>0</v>
      </c>
      <c r="J1408" s="3">
        <f t="shared" si="111"/>
        <v>0</v>
      </c>
      <c r="K1408" s="3" t="str">
        <f t="shared" si="112"/>
        <v>Tm161</v>
      </c>
      <c r="L1408" s="3" cm="1">
        <f t="array" ref="L1408">SUM(($J1408*EXP(-$H1408*12*3600*_xlfn.SEQUENCE(L$1-1))))+$J1408</f>
        <v>0</v>
      </c>
      <c r="M1408" s="3"/>
      <c r="N1408" s="3"/>
    </row>
    <row r="1409" spans="2:14" hidden="1" x14ac:dyDescent="0.2">
      <c r="B1409" s="3">
        <v>69162</v>
      </c>
      <c r="C1409" s="3">
        <v>0</v>
      </c>
      <c r="D1409">
        <v>1406</v>
      </c>
      <c r="E1409" t="str">
        <f>VLOOKUP(B1409,Nuclides!A:F,5,FALSE)</f>
        <v>Tm162</v>
      </c>
      <c r="F1409">
        <f>VLOOKUP(B1409,Nuclides!A:F,4,FALSE)</f>
        <v>1302</v>
      </c>
      <c r="G1409" s="3" t="str">
        <f t="shared" si="108"/>
        <v>21.7min</v>
      </c>
      <c r="H1409" s="3">
        <f t="shared" si="109"/>
        <v>5.3237110642084893E-4</v>
      </c>
      <c r="I1409" s="3">
        <f t="shared" si="110"/>
        <v>0</v>
      </c>
      <c r="J1409" s="3">
        <f t="shared" si="111"/>
        <v>0</v>
      </c>
      <c r="K1409" s="3" t="str">
        <f t="shared" si="112"/>
        <v>Tm162</v>
      </c>
      <c r="L1409" s="3" cm="1">
        <f t="array" ref="L1409">SUM(($J1409*EXP(-$H1409*12*3600*_xlfn.SEQUENCE(L$1-1))))+$J1409</f>
        <v>0</v>
      </c>
      <c r="M1409" s="3"/>
      <c r="N1409" s="3"/>
    </row>
    <row r="1410" spans="2:14" hidden="1" x14ac:dyDescent="0.2">
      <c r="B1410" s="3">
        <v>69163</v>
      </c>
      <c r="C1410" s="3">
        <v>0</v>
      </c>
      <c r="D1410">
        <v>1407</v>
      </c>
      <c r="E1410" t="str">
        <f>VLOOKUP(B1410,Nuclides!A:F,5,FALSE)</f>
        <v>Tm163</v>
      </c>
      <c r="F1410">
        <f>VLOOKUP(B1410,Nuclides!A:F,4,FALSE)</f>
        <v>6516</v>
      </c>
      <c r="G1410" s="3" t="str">
        <f t="shared" si="108"/>
        <v>1.81h</v>
      </c>
      <c r="H1410" s="3">
        <f t="shared" si="109"/>
        <v>1.0637617872313464E-4</v>
      </c>
      <c r="I1410" s="3">
        <f t="shared" si="110"/>
        <v>0</v>
      </c>
      <c r="J1410" s="3">
        <f t="shared" si="111"/>
        <v>0</v>
      </c>
      <c r="K1410" s="3" t="str">
        <f t="shared" si="112"/>
        <v>Tm163</v>
      </c>
      <c r="L1410" s="3" cm="1">
        <f t="array" ref="L1410">SUM(($J1410*EXP(-$H1410*12*3600*_xlfn.SEQUENCE(L$1-1))))+$J1410</f>
        <v>0</v>
      </c>
      <c r="M1410" s="3"/>
      <c r="N1410" s="3"/>
    </row>
    <row r="1411" spans="2:14" hidden="1" x14ac:dyDescent="0.2">
      <c r="B1411" s="3">
        <v>69164</v>
      </c>
      <c r="C1411" s="3">
        <v>0</v>
      </c>
      <c r="D1411">
        <v>1408</v>
      </c>
      <c r="E1411" t="str">
        <f>VLOOKUP(B1411,Nuclides!A:F,5,FALSE)</f>
        <v>Tm164</v>
      </c>
      <c r="F1411">
        <f>VLOOKUP(B1411,Nuclides!A:F,4,FALSE)</f>
        <v>120</v>
      </c>
      <c r="G1411" s="3" t="str">
        <f t="shared" si="108"/>
        <v>2min</v>
      </c>
      <c r="H1411" s="3">
        <f t="shared" si="109"/>
        <v>5.7762265046662105E-3</v>
      </c>
      <c r="I1411" s="3">
        <f t="shared" si="110"/>
        <v>0</v>
      </c>
      <c r="J1411" s="3">
        <f t="shared" si="111"/>
        <v>0</v>
      </c>
      <c r="K1411" s="3" t="str">
        <f t="shared" si="112"/>
        <v>Tm164</v>
      </c>
      <c r="L1411" s="3" cm="1">
        <f t="array" ref="L1411">SUM(($J1411*EXP(-$H1411*12*3600*_xlfn.SEQUENCE(L$1-1))))+$J1411</f>
        <v>0</v>
      </c>
      <c r="M1411" s="3"/>
      <c r="N1411" s="3"/>
    </row>
    <row r="1412" spans="2:14" hidden="1" x14ac:dyDescent="0.2">
      <c r="B1412" s="3">
        <v>69165</v>
      </c>
      <c r="C1412" s="3">
        <v>0</v>
      </c>
      <c r="D1412">
        <v>1409</v>
      </c>
      <c r="E1412" t="str">
        <f>VLOOKUP(B1412,Nuclides!A:F,5,FALSE)</f>
        <v>Tm165</v>
      </c>
      <c r="F1412">
        <f>VLOOKUP(B1412,Nuclides!A:F,4,FALSE)</f>
        <v>108216</v>
      </c>
      <c r="G1412" s="3" t="str">
        <f t="shared" ref="G1412:G1475" si="113">IF(F1412="STABLE", "STABLE", IF(F1412&lt;60, F1412&amp;"s", IF(F1412&lt;3600, ROUND(F1412/60,2)&amp;"min", IF(F1412&lt;86400, ROUND(F1412/3600,2)&amp;"h", IF(F1412&lt;31536000, ROUND(F1412/86400,2)&amp;"d", ROUND(F1412/31536000,2)&amp;"y")))))</f>
        <v>1.25d</v>
      </c>
      <c r="H1412" s="3">
        <f t="shared" ref="H1412:H1475" si="114">LN(2)/F1412</f>
        <v>6.4052190116059112E-6</v>
      </c>
      <c r="I1412" s="3">
        <f t="shared" ref="I1412:I1475" si="115">100*6240000000000*C1412*(1-EXP(-H1412*2*3600))</f>
        <v>0</v>
      </c>
      <c r="J1412" s="3">
        <f t="shared" ref="J1412:J1475" si="116">I1412*EXP(-H1412*10*3600)</f>
        <v>0</v>
      </c>
      <c r="K1412" s="3" t="str">
        <f t="shared" ref="K1412:K1475" si="117">E1412</f>
        <v>Tm165</v>
      </c>
      <c r="L1412" s="3" cm="1">
        <f t="array" ref="L1412">SUM(($J1412*EXP(-$H1412*12*3600*_xlfn.SEQUENCE(L$1-1))))+$J1412</f>
        <v>0</v>
      </c>
      <c r="M1412" s="3"/>
      <c r="N1412" s="3"/>
    </row>
    <row r="1413" spans="2:14" hidden="1" x14ac:dyDescent="0.2">
      <c r="B1413" s="3">
        <v>69166</v>
      </c>
      <c r="C1413" s="3">
        <v>0</v>
      </c>
      <c r="D1413">
        <v>1410</v>
      </c>
      <c r="E1413" t="str">
        <f>VLOOKUP(B1413,Nuclides!A:F,5,FALSE)</f>
        <v>Tm166</v>
      </c>
      <c r="F1413">
        <f>VLOOKUP(B1413,Nuclides!A:F,4,FALSE)</f>
        <v>27720</v>
      </c>
      <c r="G1413" s="3" t="str">
        <f t="shared" si="113"/>
        <v>7.7h</v>
      </c>
      <c r="H1413" s="3">
        <f t="shared" si="114"/>
        <v>2.5005309544009571E-5</v>
      </c>
      <c r="I1413" s="3">
        <f t="shared" si="115"/>
        <v>0</v>
      </c>
      <c r="J1413" s="3">
        <f t="shared" si="116"/>
        <v>0</v>
      </c>
      <c r="K1413" s="3" t="str">
        <f t="shared" si="117"/>
        <v>Tm166</v>
      </c>
      <c r="L1413" s="3" cm="1">
        <f t="array" ref="L1413">SUM(($J1413*EXP(-$H1413*12*3600*_xlfn.SEQUENCE(L$1-1))))+$J1413</f>
        <v>0</v>
      </c>
      <c r="M1413" s="3"/>
      <c r="N1413" s="3"/>
    </row>
    <row r="1414" spans="2:14" hidden="1" x14ac:dyDescent="0.2">
      <c r="B1414" s="3">
        <v>69167</v>
      </c>
      <c r="C1414" s="3">
        <v>0</v>
      </c>
      <c r="D1414">
        <v>1411</v>
      </c>
      <c r="E1414" t="str">
        <f>VLOOKUP(B1414,Nuclides!A:F,5,FALSE)</f>
        <v>Tm167</v>
      </c>
      <c r="F1414">
        <f>VLOOKUP(B1414,Nuclides!A:F,4,FALSE)</f>
        <v>799200</v>
      </c>
      <c r="G1414" s="3" t="str">
        <f t="shared" si="113"/>
        <v>9.25d</v>
      </c>
      <c r="H1414" s="3">
        <f t="shared" si="114"/>
        <v>8.6730127697690852E-7</v>
      </c>
      <c r="I1414" s="3">
        <f t="shared" si="115"/>
        <v>0</v>
      </c>
      <c r="J1414" s="3">
        <f t="shared" si="116"/>
        <v>0</v>
      </c>
      <c r="K1414" s="3" t="str">
        <f t="shared" si="117"/>
        <v>Tm167</v>
      </c>
      <c r="L1414" s="3" cm="1">
        <f t="array" ref="L1414">SUM(($J1414*EXP(-$H1414*12*3600*_xlfn.SEQUENCE(L$1-1))))+$J1414</f>
        <v>0</v>
      </c>
      <c r="M1414" s="3"/>
      <c r="N1414" s="3"/>
    </row>
    <row r="1415" spans="2:14" hidden="1" x14ac:dyDescent="0.2">
      <c r="B1415" s="3">
        <v>69168</v>
      </c>
      <c r="C1415" s="3">
        <v>0</v>
      </c>
      <c r="D1415">
        <v>1412</v>
      </c>
      <c r="E1415" t="str">
        <f>VLOOKUP(B1415,Nuclides!A:F,5,FALSE)</f>
        <v>Tm168</v>
      </c>
      <c r="F1415">
        <f>VLOOKUP(B1415,Nuclides!A:F,4,FALSE)</f>
        <v>8043839.9999999898</v>
      </c>
      <c r="G1415" s="3" t="str">
        <f t="shared" si="113"/>
        <v>93.1d</v>
      </c>
      <c r="H1415" s="3">
        <f t="shared" si="114"/>
        <v>8.6171179506298749E-8</v>
      </c>
      <c r="I1415" s="3">
        <f t="shared" si="115"/>
        <v>0</v>
      </c>
      <c r="J1415" s="3">
        <f t="shared" si="116"/>
        <v>0</v>
      </c>
      <c r="K1415" s="3" t="str">
        <f t="shared" si="117"/>
        <v>Tm168</v>
      </c>
      <c r="L1415" s="3" cm="1">
        <f t="array" ref="L1415">SUM(($J1415*EXP(-$H1415*12*3600*_xlfn.SEQUENCE(L$1-1))))+$J1415</f>
        <v>0</v>
      </c>
      <c r="M1415" s="3"/>
      <c r="N1415" s="3"/>
    </row>
    <row r="1416" spans="2:14" hidden="1" x14ac:dyDescent="0.2">
      <c r="B1416" s="3">
        <v>69169</v>
      </c>
      <c r="C1416" s="3">
        <v>0</v>
      </c>
      <c r="D1416">
        <v>1413</v>
      </c>
      <c r="E1416" t="str">
        <f>VLOOKUP(B1416,Nuclides!A:F,5,FALSE)</f>
        <v>Tm169</v>
      </c>
      <c r="F1416" t="str">
        <f>VLOOKUP(B1416,Nuclides!A:F,4,FALSE)</f>
        <v>STABLE</v>
      </c>
      <c r="G1416" s="3" t="str">
        <f t="shared" si="113"/>
        <v>STABLE</v>
      </c>
      <c r="H1416" s="3" t="e">
        <f t="shared" si="114"/>
        <v>#VALUE!</v>
      </c>
      <c r="I1416" s="3" t="e">
        <f t="shared" si="115"/>
        <v>#VALUE!</v>
      </c>
      <c r="J1416" s="3" t="e">
        <f t="shared" si="116"/>
        <v>#VALUE!</v>
      </c>
      <c r="K1416" s="3" t="str">
        <f t="shared" si="117"/>
        <v>Tm169</v>
      </c>
      <c r="L1416" s="3" t="e" cm="1">
        <f t="array" ref="L1416">SUM(($J1416*EXP(-$H1416*12*3600*_xlfn.SEQUENCE(L$1-1))))+$J1416</f>
        <v>#VALUE!</v>
      </c>
      <c r="M1416" s="3"/>
      <c r="N1416" s="3"/>
    </row>
    <row r="1417" spans="2:14" hidden="1" x14ac:dyDescent="0.2">
      <c r="B1417" s="3">
        <v>69170</v>
      </c>
      <c r="C1417" s="3">
        <v>0</v>
      </c>
      <c r="D1417">
        <v>1414</v>
      </c>
      <c r="E1417" t="str">
        <f>VLOOKUP(B1417,Nuclides!A:F,5,FALSE)</f>
        <v>Tm170</v>
      </c>
      <c r="F1417">
        <f>VLOOKUP(B1417,Nuclides!A:F,4,FALSE)</f>
        <v>11111040</v>
      </c>
      <c r="G1417" s="3" t="str">
        <f t="shared" si="113"/>
        <v>128.6d</v>
      </c>
      <c r="H1417" s="3">
        <f t="shared" si="114"/>
        <v>6.2383645505726309E-8</v>
      </c>
      <c r="I1417" s="3">
        <f t="shared" si="115"/>
        <v>0</v>
      </c>
      <c r="J1417" s="3">
        <f t="shared" si="116"/>
        <v>0</v>
      </c>
      <c r="K1417" s="3" t="str">
        <f t="shared" si="117"/>
        <v>Tm170</v>
      </c>
      <c r="L1417" s="3" cm="1">
        <f t="array" ref="L1417">SUM(($J1417*EXP(-$H1417*12*3600*_xlfn.SEQUENCE(L$1-1))))+$J1417</f>
        <v>0</v>
      </c>
      <c r="M1417" s="3"/>
      <c r="N1417" s="3"/>
    </row>
    <row r="1418" spans="2:14" hidden="1" x14ac:dyDescent="0.2">
      <c r="B1418" s="3">
        <v>69171</v>
      </c>
      <c r="C1418" s="3">
        <v>0</v>
      </c>
      <c r="D1418">
        <v>1415</v>
      </c>
      <c r="E1418" t="str">
        <f>VLOOKUP(B1418,Nuclides!A:F,5,FALSE)</f>
        <v>Tm171</v>
      </c>
      <c r="F1418">
        <f>VLOOKUP(B1418,Nuclides!A:F,4,FALSE)</f>
        <v>60590592</v>
      </c>
      <c r="G1418" s="3" t="str">
        <f t="shared" si="113"/>
        <v>1.92y</v>
      </c>
      <c r="H1418" s="3">
        <f t="shared" si="114"/>
        <v>1.1439848294599025E-8</v>
      </c>
      <c r="I1418" s="3">
        <f t="shared" si="115"/>
        <v>0</v>
      </c>
      <c r="J1418" s="3">
        <f t="shared" si="116"/>
        <v>0</v>
      </c>
      <c r="K1418" s="3" t="str">
        <f t="shared" si="117"/>
        <v>Tm171</v>
      </c>
      <c r="L1418" s="3" cm="1">
        <f t="array" ref="L1418">SUM(($J1418*EXP(-$H1418*12*3600*_xlfn.SEQUENCE(L$1-1))))+$J1418</f>
        <v>0</v>
      </c>
      <c r="M1418" s="3"/>
      <c r="N1418" s="3"/>
    </row>
    <row r="1419" spans="2:14" hidden="1" x14ac:dyDescent="0.2">
      <c r="B1419" s="3">
        <v>69172</v>
      </c>
      <c r="C1419" s="3">
        <v>0</v>
      </c>
      <c r="D1419">
        <v>1416</v>
      </c>
      <c r="E1419" t="str">
        <f>VLOOKUP(B1419,Nuclides!A:F,5,FALSE)</f>
        <v>Tm172</v>
      </c>
      <c r="F1419">
        <f>VLOOKUP(B1419,Nuclides!A:F,4,FALSE)</f>
        <v>228960</v>
      </c>
      <c r="G1419" s="3" t="str">
        <f t="shared" si="113"/>
        <v>2.65d</v>
      </c>
      <c r="H1419" s="3">
        <f t="shared" si="114"/>
        <v>3.0273723819005295E-6</v>
      </c>
      <c r="I1419" s="3">
        <f t="shared" si="115"/>
        <v>0</v>
      </c>
      <c r="J1419" s="3">
        <f t="shared" si="116"/>
        <v>0</v>
      </c>
      <c r="K1419" s="3" t="str">
        <f t="shared" si="117"/>
        <v>Tm172</v>
      </c>
      <c r="L1419" s="3" cm="1">
        <f t="array" ref="L1419">SUM(($J1419*EXP(-$H1419*12*3600*_xlfn.SEQUENCE(L$1-1))))+$J1419</f>
        <v>0</v>
      </c>
      <c r="M1419" s="3"/>
      <c r="N1419" s="3"/>
    </row>
    <row r="1420" spans="2:14" hidden="1" x14ac:dyDescent="0.2">
      <c r="B1420" s="3">
        <v>69173</v>
      </c>
      <c r="C1420" s="3">
        <v>0</v>
      </c>
      <c r="D1420">
        <v>1417</v>
      </c>
      <c r="E1420" t="str">
        <f>VLOOKUP(B1420,Nuclides!A:F,5,FALSE)</f>
        <v>Tm173</v>
      </c>
      <c r="F1420">
        <f>VLOOKUP(B1420,Nuclides!A:F,4,FALSE)</f>
        <v>29664</v>
      </c>
      <c r="G1420" s="3" t="str">
        <f t="shared" si="113"/>
        <v>8.24h</v>
      </c>
      <c r="H1420" s="3">
        <f t="shared" si="114"/>
        <v>2.3366612073892437E-5</v>
      </c>
      <c r="I1420" s="3">
        <f t="shared" si="115"/>
        <v>0</v>
      </c>
      <c r="J1420" s="3">
        <f t="shared" si="116"/>
        <v>0</v>
      </c>
      <c r="K1420" s="3" t="str">
        <f t="shared" si="117"/>
        <v>Tm173</v>
      </c>
      <c r="L1420" s="3" cm="1">
        <f t="array" ref="L1420">SUM(($J1420*EXP(-$H1420*12*3600*_xlfn.SEQUENCE(L$1-1))))+$J1420</f>
        <v>0</v>
      </c>
      <c r="M1420" s="3"/>
      <c r="N1420" s="3"/>
    </row>
    <row r="1421" spans="2:14" hidden="1" x14ac:dyDescent="0.2">
      <c r="B1421" s="3">
        <v>69174</v>
      </c>
      <c r="C1421" s="3">
        <v>0</v>
      </c>
      <c r="D1421">
        <v>1418</v>
      </c>
      <c r="E1421" t="str">
        <f>VLOOKUP(B1421,Nuclides!A:F,5,FALSE)</f>
        <v>Tm174</v>
      </c>
      <c r="F1421">
        <f>VLOOKUP(B1421,Nuclides!A:F,4,FALSE)</f>
        <v>324</v>
      </c>
      <c r="G1421" s="3" t="str">
        <f t="shared" si="113"/>
        <v>5.4min</v>
      </c>
      <c r="H1421" s="3">
        <f t="shared" si="114"/>
        <v>2.1393431498763745E-3</v>
      </c>
      <c r="I1421" s="3">
        <f t="shared" si="115"/>
        <v>0</v>
      </c>
      <c r="J1421" s="3">
        <f t="shared" si="116"/>
        <v>0</v>
      </c>
      <c r="K1421" s="3" t="str">
        <f t="shared" si="117"/>
        <v>Tm174</v>
      </c>
      <c r="L1421" s="3" cm="1">
        <f t="array" ref="L1421">SUM(($J1421*EXP(-$H1421*12*3600*_xlfn.SEQUENCE(L$1-1))))+$J1421</f>
        <v>0</v>
      </c>
      <c r="M1421" s="3"/>
      <c r="N1421" s="3"/>
    </row>
    <row r="1422" spans="2:14" hidden="1" x14ac:dyDescent="0.2">
      <c r="B1422" s="3">
        <v>69175</v>
      </c>
      <c r="C1422" s="3">
        <v>0</v>
      </c>
      <c r="D1422">
        <v>1419</v>
      </c>
      <c r="E1422" t="str">
        <f>VLOOKUP(B1422,Nuclides!A:F,5,FALSE)</f>
        <v>Tm175</v>
      </c>
      <c r="F1422">
        <f>VLOOKUP(B1422,Nuclides!A:F,4,FALSE)</f>
        <v>912</v>
      </c>
      <c r="G1422" s="3" t="str">
        <f t="shared" si="113"/>
        <v>15.2min</v>
      </c>
      <c r="H1422" s="3">
        <f t="shared" si="114"/>
        <v>7.6002980324555401E-4</v>
      </c>
      <c r="I1422" s="3">
        <f t="shared" si="115"/>
        <v>0</v>
      </c>
      <c r="J1422" s="3">
        <f t="shared" si="116"/>
        <v>0</v>
      </c>
      <c r="K1422" s="3" t="str">
        <f t="shared" si="117"/>
        <v>Tm175</v>
      </c>
      <c r="L1422" s="3" cm="1">
        <f t="array" ref="L1422">SUM(($J1422*EXP(-$H1422*12*3600*_xlfn.SEQUENCE(L$1-1))))+$J1422</f>
        <v>0</v>
      </c>
      <c r="M1422" s="3"/>
      <c r="N1422" s="3"/>
    </row>
    <row r="1423" spans="2:14" hidden="1" x14ac:dyDescent="0.2">
      <c r="B1423" s="3">
        <v>69176</v>
      </c>
      <c r="C1423" s="3">
        <v>0</v>
      </c>
      <c r="D1423">
        <v>1420</v>
      </c>
      <c r="E1423" t="str">
        <f>VLOOKUP(B1423,Nuclides!A:F,5,FALSE)</f>
        <v>Tm176</v>
      </c>
      <c r="F1423">
        <f>VLOOKUP(B1423,Nuclides!A:F,4,FALSE)</f>
        <v>114</v>
      </c>
      <c r="G1423" s="3" t="str">
        <f t="shared" si="113"/>
        <v>1.9min</v>
      </c>
      <c r="H1423" s="3">
        <f t="shared" si="114"/>
        <v>6.0802384259644321E-3</v>
      </c>
      <c r="I1423" s="3">
        <f t="shared" si="115"/>
        <v>0</v>
      </c>
      <c r="J1423" s="3">
        <f t="shared" si="116"/>
        <v>0</v>
      </c>
      <c r="K1423" s="3" t="str">
        <f t="shared" si="117"/>
        <v>Tm176</v>
      </c>
      <c r="L1423" s="3" cm="1">
        <f t="array" ref="L1423">SUM(($J1423*EXP(-$H1423*12*3600*_xlfn.SEQUENCE(L$1-1))))+$J1423</f>
        <v>0</v>
      </c>
      <c r="M1423" s="3"/>
      <c r="N1423" s="3"/>
    </row>
    <row r="1424" spans="2:14" hidden="1" x14ac:dyDescent="0.2">
      <c r="B1424" s="3">
        <v>70153</v>
      </c>
      <c r="C1424" s="3">
        <v>0</v>
      </c>
      <c r="D1424">
        <v>1421</v>
      </c>
      <c r="E1424" t="str">
        <f>VLOOKUP(B1424,Nuclides!A:F,5,FALSE)</f>
        <v>Yb153</v>
      </c>
      <c r="F1424">
        <f>VLOOKUP(B1424,Nuclides!A:F,4,FALSE)</f>
        <v>4.2</v>
      </c>
      <c r="G1424" s="3" t="str">
        <f t="shared" si="113"/>
        <v>4.2s</v>
      </c>
      <c r="H1424" s="3">
        <f t="shared" si="114"/>
        <v>0.16503504299046315</v>
      </c>
      <c r="I1424" s="3">
        <f t="shared" si="115"/>
        <v>0</v>
      </c>
      <c r="J1424" s="3">
        <f t="shared" si="116"/>
        <v>0</v>
      </c>
      <c r="K1424" s="3" t="str">
        <f t="shared" si="117"/>
        <v>Yb153</v>
      </c>
      <c r="L1424" s="3" cm="1">
        <f t="array" ref="L1424">SUM(($J1424*EXP(-$H1424*12*3600*_xlfn.SEQUENCE(L$1-1))))+$J1424</f>
        <v>0</v>
      </c>
      <c r="M1424" s="3"/>
      <c r="N1424" s="3"/>
    </row>
    <row r="1425" spans="2:14" hidden="1" x14ac:dyDescent="0.2">
      <c r="B1425" s="3">
        <v>70154</v>
      </c>
      <c r="C1425" s="3">
        <v>0</v>
      </c>
      <c r="D1425">
        <v>1422</v>
      </c>
      <c r="E1425" t="str">
        <f>VLOOKUP(B1425,Nuclides!A:F,5,FALSE)</f>
        <v>Yb154</v>
      </c>
      <c r="F1425">
        <f>VLOOKUP(B1425,Nuclides!A:F,4,FALSE)</f>
        <v>0.40899999999999997</v>
      </c>
      <c r="G1425" s="3" t="str">
        <f t="shared" si="113"/>
        <v>0.409s</v>
      </c>
      <c r="H1425" s="3">
        <f t="shared" si="114"/>
        <v>1.6947363827871524</v>
      </c>
      <c r="I1425" s="3">
        <f t="shared" si="115"/>
        <v>0</v>
      </c>
      <c r="J1425" s="3">
        <f t="shared" si="116"/>
        <v>0</v>
      </c>
      <c r="K1425" s="3" t="str">
        <f t="shared" si="117"/>
        <v>Yb154</v>
      </c>
      <c r="L1425" s="3" cm="1">
        <f t="array" ref="L1425">SUM(($J1425*EXP(-$H1425*12*3600*_xlfn.SEQUENCE(L$1-1))))+$J1425</f>
        <v>0</v>
      </c>
      <c r="M1425" s="3"/>
      <c r="N1425" s="3"/>
    </row>
    <row r="1426" spans="2:14" hidden="1" x14ac:dyDescent="0.2">
      <c r="B1426" s="3">
        <v>70155</v>
      </c>
      <c r="C1426" s="3">
        <v>0</v>
      </c>
      <c r="D1426">
        <v>1423</v>
      </c>
      <c r="E1426" t="str">
        <f>VLOOKUP(B1426,Nuclides!A:F,5,FALSE)</f>
        <v>Yb155</v>
      </c>
      <c r="F1426">
        <f>VLOOKUP(B1426,Nuclides!A:F,4,FALSE)</f>
        <v>1.7929999999999999</v>
      </c>
      <c r="G1426" s="3" t="str">
        <f t="shared" si="113"/>
        <v>1.793s</v>
      </c>
      <c r="H1426" s="3">
        <f t="shared" si="114"/>
        <v>0.38658515368652835</v>
      </c>
      <c r="I1426" s="3">
        <f t="shared" si="115"/>
        <v>0</v>
      </c>
      <c r="J1426" s="3">
        <f t="shared" si="116"/>
        <v>0</v>
      </c>
      <c r="K1426" s="3" t="str">
        <f t="shared" si="117"/>
        <v>Yb155</v>
      </c>
      <c r="L1426" s="3" cm="1">
        <f t="array" ref="L1426">SUM(($J1426*EXP(-$H1426*12*3600*_xlfn.SEQUENCE(L$1-1))))+$J1426</f>
        <v>0</v>
      </c>
      <c r="M1426" s="3"/>
      <c r="N1426" s="3"/>
    </row>
    <row r="1427" spans="2:14" hidden="1" x14ac:dyDescent="0.2">
      <c r="B1427" s="3">
        <v>70156</v>
      </c>
      <c r="C1427" s="3">
        <v>0</v>
      </c>
      <c r="D1427">
        <v>1424</v>
      </c>
      <c r="E1427" t="str">
        <f>VLOOKUP(B1427,Nuclides!A:F,5,FALSE)</f>
        <v>Yb156</v>
      </c>
      <c r="F1427">
        <f>VLOOKUP(B1427,Nuclides!A:F,4,FALSE)</f>
        <v>26.1</v>
      </c>
      <c r="G1427" s="3" t="str">
        <f t="shared" si="113"/>
        <v>26.1s</v>
      </c>
      <c r="H1427" s="3">
        <f t="shared" si="114"/>
        <v>2.6557363239844645E-2</v>
      </c>
      <c r="I1427" s="3">
        <f t="shared" si="115"/>
        <v>0</v>
      </c>
      <c r="J1427" s="3">
        <f t="shared" si="116"/>
        <v>0</v>
      </c>
      <c r="K1427" s="3" t="str">
        <f t="shared" si="117"/>
        <v>Yb156</v>
      </c>
      <c r="L1427" s="3" cm="1">
        <f t="array" ref="L1427">SUM(($J1427*EXP(-$H1427*12*3600*_xlfn.SEQUENCE(L$1-1))))+$J1427</f>
        <v>0</v>
      </c>
      <c r="M1427" s="3"/>
      <c r="N1427" s="3"/>
    </row>
    <row r="1428" spans="2:14" hidden="1" x14ac:dyDescent="0.2">
      <c r="B1428" s="3">
        <v>70157</v>
      </c>
      <c r="C1428" s="3">
        <v>0</v>
      </c>
      <c r="D1428">
        <v>1425</v>
      </c>
      <c r="E1428" t="str">
        <f>VLOOKUP(B1428,Nuclides!A:F,5,FALSE)</f>
        <v>Yb157</v>
      </c>
      <c r="F1428">
        <f>VLOOKUP(B1428,Nuclides!A:F,4,FALSE)</f>
        <v>38.6</v>
      </c>
      <c r="G1428" s="3" t="str">
        <f t="shared" si="113"/>
        <v>38.6s</v>
      </c>
      <c r="H1428" s="3">
        <f t="shared" si="114"/>
        <v>1.7957180843521898E-2</v>
      </c>
      <c r="I1428" s="3">
        <f t="shared" si="115"/>
        <v>0</v>
      </c>
      <c r="J1428" s="3">
        <f t="shared" si="116"/>
        <v>0</v>
      </c>
      <c r="K1428" s="3" t="str">
        <f t="shared" si="117"/>
        <v>Yb157</v>
      </c>
      <c r="L1428" s="3" cm="1">
        <f t="array" ref="L1428">SUM(($J1428*EXP(-$H1428*12*3600*_xlfn.SEQUENCE(L$1-1))))+$J1428</f>
        <v>0</v>
      </c>
      <c r="M1428" s="3"/>
      <c r="N1428" s="3"/>
    </row>
    <row r="1429" spans="2:14" hidden="1" x14ac:dyDescent="0.2">
      <c r="B1429" s="3">
        <v>70158</v>
      </c>
      <c r="C1429" s="3">
        <v>0</v>
      </c>
      <c r="D1429">
        <v>1426</v>
      </c>
      <c r="E1429" t="str">
        <f>VLOOKUP(B1429,Nuclides!A:F,5,FALSE)</f>
        <v>Yb158</v>
      </c>
      <c r="F1429">
        <f>VLOOKUP(B1429,Nuclides!A:F,4,FALSE)</f>
        <v>89.4</v>
      </c>
      <c r="G1429" s="3" t="str">
        <f t="shared" si="113"/>
        <v>1.49min</v>
      </c>
      <c r="H1429" s="3">
        <f t="shared" si="114"/>
        <v>7.7533241673371951E-3</v>
      </c>
      <c r="I1429" s="3">
        <f t="shared" si="115"/>
        <v>0</v>
      </c>
      <c r="J1429" s="3">
        <f t="shared" si="116"/>
        <v>0</v>
      </c>
      <c r="K1429" s="3" t="str">
        <f t="shared" si="117"/>
        <v>Yb158</v>
      </c>
      <c r="L1429" s="3" cm="1">
        <f t="array" ref="L1429">SUM(($J1429*EXP(-$H1429*12*3600*_xlfn.SEQUENCE(L$1-1))))+$J1429</f>
        <v>0</v>
      </c>
      <c r="M1429" s="3"/>
      <c r="N1429" s="3"/>
    </row>
    <row r="1430" spans="2:14" hidden="1" x14ac:dyDescent="0.2">
      <c r="B1430" s="3">
        <v>70159</v>
      </c>
      <c r="C1430" s="3">
        <v>0</v>
      </c>
      <c r="D1430">
        <v>1427</v>
      </c>
      <c r="E1430" t="str">
        <f>VLOOKUP(B1430,Nuclides!A:F,5,FALSE)</f>
        <v>Yb159</v>
      </c>
      <c r="F1430">
        <f>VLOOKUP(B1430,Nuclides!A:F,4,FALSE)</f>
        <v>100.19999999999899</v>
      </c>
      <c r="G1430" s="3" t="str">
        <f t="shared" si="113"/>
        <v>1.67min</v>
      </c>
      <c r="H1430" s="3">
        <f t="shared" si="114"/>
        <v>6.9176365325344536E-3</v>
      </c>
      <c r="I1430" s="3">
        <f t="shared" si="115"/>
        <v>0</v>
      </c>
      <c r="J1430" s="3">
        <f t="shared" si="116"/>
        <v>0</v>
      </c>
      <c r="K1430" s="3" t="str">
        <f t="shared" si="117"/>
        <v>Yb159</v>
      </c>
      <c r="L1430" s="3" cm="1">
        <f t="array" ref="L1430">SUM(($J1430*EXP(-$H1430*12*3600*_xlfn.SEQUENCE(L$1-1))))+$J1430</f>
        <v>0</v>
      </c>
      <c r="M1430" s="3"/>
      <c r="N1430" s="3"/>
    </row>
    <row r="1431" spans="2:14" hidden="1" x14ac:dyDescent="0.2">
      <c r="B1431" s="3">
        <v>70160</v>
      </c>
      <c r="C1431" s="3">
        <v>0</v>
      </c>
      <c r="D1431">
        <v>1428</v>
      </c>
      <c r="E1431" t="str">
        <f>VLOOKUP(B1431,Nuclides!A:F,5,FALSE)</f>
        <v>Yb160</v>
      </c>
      <c r="F1431">
        <f>VLOOKUP(B1431,Nuclides!A:F,4,FALSE)</f>
        <v>288</v>
      </c>
      <c r="G1431" s="3" t="str">
        <f t="shared" si="113"/>
        <v>4.8min</v>
      </c>
      <c r="H1431" s="3">
        <f t="shared" si="114"/>
        <v>2.4067610436109212E-3</v>
      </c>
      <c r="I1431" s="3">
        <f t="shared" si="115"/>
        <v>0</v>
      </c>
      <c r="J1431" s="3">
        <f t="shared" si="116"/>
        <v>0</v>
      </c>
      <c r="K1431" s="3" t="str">
        <f t="shared" si="117"/>
        <v>Yb160</v>
      </c>
      <c r="L1431" s="3" cm="1">
        <f t="array" ref="L1431">SUM(($J1431*EXP(-$H1431*12*3600*_xlfn.SEQUENCE(L$1-1))))+$J1431</f>
        <v>0</v>
      </c>
      <c r="M1431" s="3"/>
      <c r="N1431" s="3"/>
    </row>
    <row r="1432" spans="2:14" hidden="1" x14ac:dyDescent="0.2">
      <c r="B1432" s="3">
        <v>70161</v>
      </c>
      <c r="C1432" s="3">
        <v>0</v>
      </c>
      <c r="D1432">
        <v>1429</v>
      </c>
      <c r="E1432" t="str">
        <f>VLOOKUP(B1432,Nuclides!A:F,5,FALSE)</f>
        <v>Yb161</v>
      </c>
      <c r="F1432">
        <f>VLOOKUP(B1432,Nuclides!A:F,4,FALSE)</f>
        <v>252</v>
      </c>
      <c r="G1432" s="3" t="str">
        <f t="shared" si="113"/>
        <v>4.2min</v>
      </c>
      <c r="H1432" s="3">
        <f t="shared" si="114"/>
        <v>2.7505840498410527E-3</v>
      </c>
      <c r="I1432" s="3">
        <f t="shared" si="115"/>
        <v>0</v>
      </c>
      <c r="J1432" s="3">
        <f t="shared" si="116"/>
        <v>0</v>
      </c>
      <c r="K1432" s="3" t="str">
        <f t="shared" si="117"/>
        <v>Yb161</v>
      </c>
      <c r="L1432" s="3" cm="1">
        <f t="array" ref="L1432">SUM(($J1432*EXP(-$H1432*12*3600*_xlfn.SEQUENCE(L$1-1))))+$J1432</f>
        <v>0</v>
      </c>
      <c r="M1432" s="3"/>
      <c r="N1432" s="3"/>
    </row>
    <row r="1433" spans="2:14" hidden="1" x14ac:dyDescent="0.2">
      <c r="B1433" s="3">
        <v>70162</v>
      </c>
      <c r="C1433" s="3">
        <v>0</v>
      </c>
      <c r="D1433">
        <v>1430</v>
      </c>
      <c r="E1433" t="str">
        <f>VLOOKUP(B1433,Nuclides!A:F,5,FALSE)</f>
        <v>Yb162</v>
      </c>
      <c r="F1433">
        <f>VLOOKUP(B1433,Nuclides!A:F,4,FALSE)</f>
        <v>1132.2</v>
      </c>
      <c r="G1433" s="3" t="str">
        <f t="shared" si="113"/>
        <v>18.87min</v>
      </c>
      <c r="H1433" s="3">
        <f t="shared" si="114"/>
        <v>6.1221266610134715E-4</v>
      </c>
      <c r="I1433" s="3">
        <f t="shared" si="115"/>
        <v>0</v>
      </c>
      <c r="J1433" s="3">
        <f t="shared" si="116"/>
        <v>0</v>
      </c>
      <c r="K1433" s="3" t="str">
        <f t="shared" si="117"/>
        <v>Yb162</v>
      </c>
      <c r="L1433" s="3" cm="1">
        <f t="array" ref="L1433">SUM(($J1433*EXP(-$H1433*12*3600*_xlfn.SEQUENCE(L$1-1))))+$J1433</f>
        <v>0</v>
      </c>
      <c r="M1433" s="3"/>
      <c r="N1433" s="3"/>
    </row>
    <row r="1434" spans="2:14" hidden="1" x14ac:dyDescent="0.2">
      <c r="B1434" s="3">
        <v>70163</v>
      </c>
      <c r="C1434" s="3">
        <v>0</v>
      </c>
      <c r="D1434">
        <v>1431</v>
      </c>
      <c r="E1434" t="str">
        <f>VLOOKUP(B1434,Nuclides!A:F,5,FALSE)</f>
        <v>Yb163</v>
      </c>
      <c r="F1434">
        <f>VLOOKUP(B1434,Nuclides!A:F,4,FALSE)</f>
        <v>663</v>
      </c>
      <c r="G1434" s="3" t="str">
        <f t="shared" si="113"/>
        <v>11.05min</v>
      </c>
      <c r="H1434" s="3">
        <f t="shared" si="114"/>
        <v>1.0454708605730698E-3</v>
      </c>
      <c r="I1434" s="3">
        <f t="shared" si="115"/>
        <v>0</v>
      </c>
      <c r="J1434" s="3">
        <f t="shared" si="116"/>
        <v>0</v>
      </c>
      <c r="K1434" s="3" t="str">
        <f t="shared" si="117"/>
        <v>Yb163</v>
      </c>
      <c r="L1434" s="3" cm="1">
        <f t="array" ref="L1434">SUM(($J1434*EXP(-$H1434*12*3600*_xlfn.SEQUENCE(L$1-1))))+$J1434</f>
        <v>0</v>
      </c>
      <c r="M1434" s="3"/>
      <c r="N1434" s="3"/>
    </row>
    <row r="1435" spans="2:14" hidden="1" x14ac:dyDescent="0.2">
      <c r="B1435" s="3">
        <v>70164</v>
      </c>
      <c r="C1435" s="3">
        <v>0</v>
      </c>
      <c r="D1435">
        <v>1432</v>
      </c>
      <c r="E1435" t="str">
        <f>VLOOKUP(B1435,Nuclides!A:F,5,FALSE)</f>
        <v>Yb164</v>
      </c>
      <c r="F1435">
        <f>VLOOKUP(B1435,Nuclides!A:F,4,FALSE)</f>
        <v>4548</v>
      </c>
      <c r="G1435" s="3" t="str">
        <f t="shared" si="113"/>
        <v>1.26h</v>
      </c>
      <c r="H1435" s="3">
        <f t="shared" si="114"/>
        <v>1.5240703178538814E-4</v>
      </c>
      <c r="I1435" s="3">
        <f t="shared" si="115"/>
        <v>0</v>
      </c>
      <c r="J1435" s="3">
        <f t="shared" si="116"/>
        <v>0</v>
      </c>
      <c r="K1435" s="3" t="str">
        <f t="shared" si="117"/>
        <v>Yb164</v>
      </c>
      <c r="L1435" s="3" cm="1">
        <f t="array" ref="L1435">SUM(($J1435*EXP(-$H1435*12*3600*_xlfn.SEQUENCE(L$1-1))))+$J1435</f>
        <v>0</v>
      </c>
      <c r="M1435" s="3"/>
      <c r="N1435" s="3"/>
    </row>
    <row r="1436" spans="2:14" hidden="1" x14ac:dyDescent="0.2">
      <c r="B1436" s="3">
        <v>70165</v>
      </c>
      <c r="C1436" s="3">
        <v>0</v>
      </c>
      <c r="D1436">
        <v>1433</v>
      </c>
      <c r="E1436" t="str">
        <f>VLOOKUP(B1436,Nuclides!A:F,5,FALSE)</f>
        <v>Yb165</v>
      </c>
      <c r="F1436">
        <f>VLOOKUP(B1436,Nuclides!A:F,4,FALSE)</f>
        <v>594</v>
      </c>
      <c r="G1436" s="3" t="str">
        <f t="shared" si="113"/>
        <v>9.9min</v>
      </c>
      <c r="H1436" s="3">
        <f t="shared" si="114"/>
        <v>1.1669144453871133E-3</v>
      </c>
      <c r="I1436" s="3">
        <f t="shared" si="115"/>
        <v>0</v>
      </c>
      <c r="J1436" s="3">
        <f t="shared" si="116"/>
        <v>0</v>
      </c>
      <c r="K1436" s="3" t="str">
        <f t="shared" si="117"/>
        <v>Yb165</v>
      </c>
      <c r="L1436" s="3" cm="1">
        <f t="array" ref="L1436">SUM(($J1436*EXP(-$H1436*12*3600*_xlfn.SEQUENCE(L$1-1))))+$J1436</f>
        <v>0</v>
      </c>
      <c r="M1436" s="3"/>
      <c r="N1436" s="3"/>
    </row>
    <row r="1437" spans="2:14" hidden="1" x14ac:dyDescent="0.2">
      <c r="B1437" s="3">
        <v>70166</v>
      </c>
      <c r="C1437" s="3">
        <v>0</v>
      </c>
      <c r="D1437">
        <v>1434</v>
      </c>
      <c r="E1437" t="str">
        <f>VLOOKUP(B1437,Nuclides!A:F,5,FALSE)</f>
        <v>Yb166</v>
      </c>
      <c r="F1437">
        <f>VLOOKUP(B1437,Nuclides!A:F,4,FALSE)</f>
        <v>204120</v>
      </c>
      <c r="G1437" s="3" t="str">
        <f t="shared" si="113"/>
        <v>2.36d</v>
      </c>
      <c r="H1437" s="3">
        <f t="shared" si="114"/>
        <v>3.3957827775815464E-6</v>
      </c>
      <c r="I1437" s="3">
        <f t="shared" si="115"/>
        <v>0</v>
      </c>
      <c r="J1437" s="3">
        <f t="shared" si="116"/>
        <v>0</v>
      </c>
      <c r="K1437" s="3" t="str">
        <f t="shared" si="117"/>
        <v>Yb166</v>
      </c>
      <c r="L1437" s="3" cm="1">
        <f t="array" ref="L1437">SUM(($J1437*EXP(-$H1437*12*3600*_xlfn.SEQUENCE(L$1-1))))+$J1437</f>
        <v>0</v>
      </c>
      <c r="M1437" s="3"/>
      <c r="N1437" s="3"/>
    </row>
    <row r="1438" spans="2:14" hidden="1" x14ac:dyDescent="0.2">
      <c r="B1438" s="3">
        <v>70167</v>
      </c>
      <c r="C1438" s="3">
        <v>0</v>
      </c>
      <c r="D1438">
        <v>1435</v>
      </c>
      <c r="E1438" t="str">
        <f>VLOOKUP(B1438,Nuclides!A:F,5,FALSE)</f>
        <v>Yb167</v>
      </c>
      <c r="F1438">
        <f>VLOOKUP(B1438,Nuclides!A:F,4,FALSE)</f>
        <v>1050</v>
      </c>
      <c r="G1438" s="3" t="str">
        <f t="shared" si="113"/>
        <v>17.5min</v>
      </c>
      <c r="H1438" s="3">
        <f t="shared" si="114"/>
        <v>6.6014017196185267E-4</v>
      </c>
      <c r="I1438" s="3">
        <f t="shared" si="115"/>
        <v>0</v>
      </c>
      <c r="J1438" s="3">
        <f t="shared" si="116"/>
        <v>0</v>
      </c>
      <c r="K1438" s="3" t="str">
        <f t="shared" si="117"/>
        <v>Yb167</v>
      </c>
      <c r="L1438" s="3" cm="1">
        <f t="array" ref="L1438">SUM(($J1438*EXP(-$H1438*12*3600*_xlfn.SEQUENCE(L$1-1))))+$J1438</f>
        <v>0</v>
      </c>
      <c r="M1438" s="3"/>
      <c r="N1438" s="3"/>
    </row>
    <row r="1439" spans="2:14" hidden="1" x14ac:dyDescent="0.2">
      <c r="B1439" s="3">
        <v>70168</v>
      </c>
      <c r="C1439" s="3">
        <v>0</v>
      </c>
      <c r="D1439">
        <v>1436</v>
      </c>
      <c r="E1439" t="str">
        <f>VLOOKUP(B1439,Nuclides!A:F,5,FALSE)</f>
        <v>Yb168</v>
      </c>
      <c r="F1439" t="str">
        <f>VLOOKUP(B1439,Nuclides!A:F,4,FALSE)</f>
        <v>STABLE</v>
      </c>
      <c r="G1439" s="3" t="str">
        <f t="shared" si="113"/>
        <v>STABLE</v>
      </c>
      <c r="H1439" s="3" t="e">
        <f t="shared" si="114"/>
        <v>#VALUE!</v>
      </c>
      <c r="I1439" s="3" t="e">
        <f t="shared" si="115"/>
        <v>#VALUE!</v>
      </c>
      <c r="J1439" s="3" t="e">
        <f t="shared" si="116"/>
        <v>#VALUE!</v>
      </c>
      <c r="K1439" s="3" t="str">
        <f t="shared" si="117"/>
        <v>Yb168</v>
      </c>
      <c r="L1439" s="3" t="e" cm="1">
        <f t="array" ref="L1439">SUM(($J1439*EXP(-$H1439*12*3600*_xlfn.SEQUENCE(L$1-1))))+$J1439</f>
        <v>#VALUE!</v>
      </c>
      <c r="M1439" s="3"/>
      <c r="N1439" s="3"/>
    </row>
    <row r="1440" spans="2:14" hidden="1" x14ac:dyDescent="0.2">
      <c r="B1440" s="3">
        <v>70169</v>
      </c>
      <c r="C1440" s="3">
        <v>0</v>
      </c>
      <c r="D1440">
        <v>1437</v>
      </c>
      <c r="E1440" t="str">
        <f>VLOOKUP(B1440,Nuclides!A:F,5,FALSE)</f>
        <v>Yb169</v>
      </c>
      <c r="F1440">
        <f>VLOOKUP(B1440,Nuclides!A:F,4,FALSE)</f>
        <v>2766355.2</v>
      </c>
      <c r="G1440" s="3" t="str">
        <f t="shared" si="113"/>
        <v>32.02d</v>
      </c>
      <c r="H1440" s="3">
        <f t="shared" si="114"/>
        <v>2.5056333350104329E-7</v>
      </c>
      <c r="I1440" s="3">
        <f t="shared" si="115"/>
        <v>0</v>
      </c>
      <c r="J1440" s="3">
        <f t="shared" si="116"/>
        <v>0</v>
      </c>
      <c r="K1440" s="3" t="str">
        <f t="shared" si="117"/>
        <v>Yb169</v>
      </c>
      <c r="L1440" s="3" cm="1">
        <f t="array" ref="L1440">SUM(($J1440*EXP(-$H1440*12*3600*_xlfn.SEQUENCE(L$1-1))))+$J1440</f>
        <v>0</v>
      </c>
      <c r="M1440" s="3"/>
      <c r="N1440" s="3"/>
    </row>
    <row r="1441" spans="2:14" hidden="1" x14ac:dyDescent="0.2">
      <c r="B1441" s="3">
        <v>70170</v>
      </c>
      <c r="C1441" s="3">
        <v>0</v>
      </c>
      <c r="D1441">
        <v>1438</v>
      </c>
      <c r="E1441" t="str">
        <f>VLOOKUP(B1441,Nuclides!A:F,5,FALSE)</f>
        <v>Yb170</v>
      </c>
      <c r="F1441" t="str">
        <f>VLOOKUP(B1441,Nuclides!A:F,4,FALSE)</f>
        <v>STABLE</v>
      </c>
      <c r="G1441" s="3" t="str">
        <f t="shared" si="113"/>
        <v>STABLE</v>
      </c>
      <c r="H1441" s="3" t="e">
        <f t="shared" si="114"/>
        <v>#VALUE!</v>
      </c>
      <c r="I1441" s="3" t="e">
        <f t="shared" si="115"/>
        <v>#VALUE!</v>
      </c>
      <c r="J1441" s="3" t="e">
        <f t="shared" si="116"/>
        <v>#VALUE!</v>
      </c>
      <c r="K1441" s="3" t="str">
        <f t="shared" si="117"/>
        <v>Yb170</v>
      </c>
      <c r="L1441" s="3" t="e" cm="1">
        <f t="array" ref="L1441">SUM(($J1441*EXP(-$H1441*12*3600*_xlfn.SEQUENCE(L$1-1))))+$J1441</f>
        <v>#VALUE!</v>
      </c>
      <c r="M1441" s="3"/>
      <c r="N1441" s="3"/>
    </row>
    <row r="1442" spans="2:14" hidden="1" x14ac:dyDescent="0.2">
      <c r="B1442" s="3">
        <v>70171</v>
      </c>
      <c r="C1442" s="3">
        <v>0</v>
      </c>
      <c r="D1442">
        <v>1439</v>
      </c>
      <c r="E1442" t="str">
        <f>VLOOKUP(B1442,Nuclides!A:F,5,FALSE)</f>
        <v>Yb171</v>
      </c>
      <c r="F1442" t="str">
        <f>VLOOKUP(B1442,Nuclides!A:F,4,FALSE)</f>
        <v>STABLE</v>
      </c>
      <c r="G1442" s="3" t="str">
        <f t="shared" si="113"/>
        <v>STABLE</v>
      </c>
      <c r="H1442" s="3" t="e">
        <f t="shared" si="114"/>
        <v>#VALUE!</v>
      </c>
      <c r="I1442" s="3" t="e">
        <f t="shared" si="115"/>
        <v>#VALUE!</v>
      </c>
      <c r="J1442" s="3" t="e">
        <f t="shared" si="116"/>
        <v>#VALUE!</v>
      </c>
      <c r="K1442" s="3" t="str">
        <f t="shared" si="117"/>
        <v>Yb171</v>
      </c>
      <c r="L1442" s="3" t="e" cm="1">
        <f t="array" ref="L1442">SUM(($J1442*EXP(-$H1442*12*3600*_xlfn.SEQUENCE(L$1-1))))+$J1442</f>
        <v>#VALUE!</v>
      </c>
      <c r="M1442" s="3"/>
      <c r="N1442" s="3"/>
    </row>
    <row r="1443" spans="2:14" hidden="1" x14ac:dyDescent="0.2">
      <c r="B1443" s="3">
        <v>70172</v>
      </c>
      <c r="C1443" s="3">
        <v>0</v>
      </c>
      <c r="D1443">
        <v>1440</v>
      </c>
      <c r="E1443" t="str">
        <f>VLOOKUP(B1443,Nuclides!A:F,5,FALSE)</f>
        <v>Yb172</v>
      </c>
      <c r="F1443" t="str">
        <f>VLOOKUP(B1443,Nuclides!A:F,4,FALSE)</f>
        <v>STABLE</v>
      </c>
      <c r="G1443" s="3" t="str">
        <f t="shared" si="113"/>
        <v>STABLE</v>
      </c>
      <c r="H1443" s="3" t="e">
        <f t="shared" si="114"/>
        <v>#VALUE!</v>
      </c>
      <c r="I1443" s="3" t="e">
        <f t="shared" si="115"/>
        <v>#VALUE!</v>
      </c>
      <c r="J1443" s="3" t="e">
        <f t="shared" si="116"/>
        <v>#VALUE!</v>
      </c>
      <c r="K1443" s="3" t="str">
        <f t="shared" si="117"/>
        <v>Yb172</v>
      </c>
      <c r="L1443" s="3" t="e" cm="1">
        <f t="array" ref="L1443">SUM(($J1443*EXP(-$H1443*12*3600*_xlfn.SEQUENCE(L$1-1))))+$J1443</f>
        <v>#VALUE!</v>
      </c>
      <c r="M1443" s="3"/>
      <c r="N1443" s="3"/>
    </row>
    <row r="1444" spans="2:14" hidden="1" x14ac:dyDescent="0.2">
      <c r="B1444" s="3">
        <v>70173</v>
      </c>
      <c r="C1444" s="3">
        <v>0</v>
      </c>
      <c r="D1444">
        <v>1441</v>
      </c>
      <c r="E1444" t="str">
        <f>VLOOKUP(B1444,Nuclides!A:F,5,FALSE)</f>
        <v>Yb173</v>
      </c>
      <c r="F1444" t="str">
        <f>VLOOKUP(B1444,Nuclides!A:F,4,FALSE)</f>
        <v>STABLE</v>
      </c>
      <c r="G1444" s="3" t="str">
        <f t="shared" si="113"/>
        <v>STABLE</v>
      </c>
      <c r="H1444" s="3" t="e">
        <f t="shared" si="114"/>
        <v>#VALUE!</v>
      </c>
      <c r="I1444" s="3" t="e">
        <f t="shared" si="115"/>
        <v>#VALUE!</v>
      </c>
      <c r="J1444" s="3" t="e">
        <f t="shared" si="116"/>
        <v>#VALUE!</v>
      </c>
      <c r="K1444" s="3" t="str">
        <f t="shared" si="117"/>
        <v>Yb173</v>
      </c>
      <c r="L1444" s="3" t="e" cm="1">
        <f t="array" ref="L1444">SUM(($J1444*EXP(-$H1444*12*3600*_xlfn.SEQUENCE(L$1-1))))+$J1444</f>
        <v>#VALUE!</v>
      </c>
      <c r="M1444" s="3"/>
      <c r="N1444" s="3"/>
    </row>
    <row r="1445" spans="2:14" hidden="1" x14ac:dyDescent="0.2">
      <c r="B1445" s="3">
        <v>70174</v>
      </c>
      <c r="C1445" s="3">
        <v>0</v>
      </c>
      <c r="D1445">
        <v>1442</v>
      </c>
      <c r="E1445" t="str">
        <f>VLOOKUP(B1445,Nuclides!A:F,5,FALSE)</f>
        <v>Yb174</v>
      </c>
      <c r="F1445" t="str">
        <f>VLOOKUP(B1445,Nuclides!A:F,4,FALSE)</f>
        <v>STABLE</v>
      </c>
      <c r="G1445" s="3" t="str">
        <f t="shared" si="113"/>
        <v>STABLE</v>
      </c>
      <c r="H1445" s="3" t="e">
        <f t="shared" si="114"/>
        <v>#VALUE!</v>
      </c>
      <c r="I1445" s="3" t="e">
        <f t="shared" si="115"/>
        <v>#VALUE!</v>
      </c>
      <c r="J1445" s="3" t="e">
        <f t="shared" si="116"/>
        <v>#VALUE!</v>
      </c>
      <c r="K1445" s="3" t="str">
        <f t="shared" si="117"/>
        <v>Yb174</v>
      </c>
      <c r="L1445" s="3" t="e" cm="1">
        <f t="array" ref="L1445">SUM(($J1445*EXP(-$H1445*12*3600*_xlfn.SEQUENCE(L$1-1))))+$J1445</f>
        <v>#VALUE!</v>
      </c>
      <c r="M1445" s="3"/>
      <c r="N1445" s="3"/>
    </row>
    <row r="1446" spans="2:14" hidden="1" x14ac:dyDescent="0.2">
      <c r="B1446" s="3">
        <v>70175</v>
      </c>
      <c r="C1446" s="3">
        <v>0</v>
      </c>
      <c r="D1446">
        <v>1443</v>
      </c>
      <c r="E1446" t="str">
        <f>VLOOKUP(B1446,Nuclides!A:F,5,FALSE)</f>
        <v>Yb175</v>
      </c>
      <c r="F1446">
        <f>VLOOKUP(B1446,Nuclides!A:F,4,FALSE)</f>
        <v>361583.99999999901</v>
      </c>
      <c r="G1446" s="3" t="str">
        <f t="shared" si="113"/>
        <v>4.18d</v>
      </c>
      <c r="H1446" s="3">
        <f t="shared" si="114"/>
        <v>1.9169741486347494E-6</v>
      </c>
      <c r="I1446" s="3">
        <f t="shared" si="115"/>
        <v>0</v>
      </c>
      <c r="J1446" s="3">
        <f t="shared" si="116"/>
        <v>0</v>
      </c>
      <c r="K1446" s="3" t="str">
        <f t="shared" si="117"/>
        <v>Yb175</v>
      </c>
      <c r="L1446" s="3" cm="1">
        <f t="array" ref="L1446">SUM(($J1446*EXP(-$H1446*12*3600*_xlfn.SEQUENCE(L$1-1))))+$J1446</f>
        <v>0</v>
      </c>
      <c r="M1446" s="3"/>
      <c r="N1446" s="3"/>
    </row>
    <row r="1447" spans="2:14" hidden="1" x14ac:dyDescent="0.2">
      <c r="B1447" s="3">
        <v>70176</v>
      </c>
      <c r="C1447" s="3">
        <v>0</v>
      </c>
      <c r="D1447">
        <v>1444</v>
      </c>
      <c r="E1447" t="str">
        <f>VLOOKUP(B1447,Nuclides!A:F,5,FALSE)</f>
        <v>Yb176</v>
      </c>
      <c r="F1447" t="str">
        <f>VLOOKUP(B1447,Nuclides!A:F,4,FALSE)</f>
        <v>STABLE</v>
      </c>
      <c r="G1447" s="3" t="str">
        <f t="shared" si="113"/>
        <v>STABLE</v>
      </c>
      <c r="H1447" s="3" t="e">
        <f t="shared" si="114"/>
        <v>#VALUE!</v>
      </c>
      <c r="I1447" s="3" t="e">
        <f t="shared" si="115"/>
        <v>#VALUE!</v>
      </c>
      <c r="J1447" s="3" t="e">
        <f t="shared" si="116"/>
        <v>#VALUE!</v>
      </c>
      <c r="K1447" s="3" t="str">
        <f t="shared" si="117"/>
        <v>Yb176</v>
      </c>
      <c r="L1447" s="3" t="e" cm="1">
        <f t="array" ref="L1447">SUM(($J1447*EXP(-$H1447*12*3600*_xlfn.SEQUENCE(L$1-1))))+$J1447</f>
        <v>#VALUE!</v>
      </c>
      <c r="M1447" s="3"/>
      <c r="N1447" s="3"/>
    </row>
    <row r="1448" spans="2:14" hidden="1" x14ac:dyDescent="0.2">
      <c r="B1448" s="3">
        <v>70177</v>
      </c>
      <c r="C1448" s="3">
        <v>0</v>
      </c>
      <c r="D1448">
        <v>1445</v>
      </c>
      <c r="E1448" t="str">
        <f>VLOOKUP(B1448,Nuclides!A:F,5,FALSE)</f>
        <v>Yb177</v>
      </c>
      <c r="F1448">
        <f>VLOOKUP(B1448,Nuclides!A:F,4,FALSE)</f>
        <v>6879.6</v>
      </c>
      <c r="G1448" s="3" t="str">
        <f t="shared" si="113"/>
        <v>1.91h</v>
      </c>
      <c r="H1448" s="3">
        <f t="shared" si="114"/>
        <v>1.0075399449967226E-4</v>
      </c>
      <c r="I1448" s="3">
        <f t="shared" si="115"/>
        <v>0</v>
      </c>
      <c r="J1448" s="3">
        <f t="shared" si="116"/>
        <v>0</v>
      </c>
      <c r="K1448" s="3" t="str">
        <f t="shared" si="117"/>
        <v>Yb177</v>
      </c>
      <c r="L1448" s="3" cm="1">
        <f t="array" ref="L1448">SUM(($J1448*EXP(-$H1448*12*3600*_xlfn.SEQUENCE(L$1-1))))+$J1448</f>
        <v>0</v>
      </c>
      <c r="M1448" s="3"/>
      <c r="N1448" s="3"/>
    </row>
    <row r="1449" spans="2:14" hidden="1" x14ac:dyDescent="0.2">
      <c r="B1449" s="3">
        <v>70178</v>
      </c>
      <c r="C1449" s="3">
        <v>0</v>
      </c>
      <c r="D1449">
        <v>1446</v>
      </c>
      <c r="E1449" t="str">
        <f>VLOOKUP(B1449,Nuclides!A:F,5,FALSE)</f>
        <v>Yb178</v>
      </c>
      <c r="F1449">
        <f>VLOOKUP(B1449,Nuclides!A:F,4,FALSE)</f>
        <v>4440</v>
      </c>
      <c r="G1449" s="3" t="str">
        <f t="shared" si="113"/>
        <v>1.23h</v>
      </c>
      <c r="H1449" s="3">
        <f t="shared" si="114"/>
        <v>1.5611422985584354E-4</v>
      </c>
      <c r="I1449" s="3">
        <f t="shared" si="115"/>
        <v>0</v>
      </c>
      <c r="J1449" s="3">
        <f t="shared" si="116"/>
        <v>0</v>
      </c>
      <c r="K1449" s="3" t="str">
        <f t="shared" si="117"/>
        <v>Yb178</v>
      </c>
      <c r="L1449" s="3" cm="1">
        <f t="array" ref="L1449">SUM(($J1449*EXP(-$H1449*12*3600*_xlfn.SEQUENCE(L$1-1))))+$J1449</f>
        <v>0</v>
      </c>
      <c r="M1449" s="3"/>
      <c r="N1449" s="3"/>
    </row>
    <row r="1450" spans="2:14" hidden="1" x14ac:dyDescent="0.2">
      <c r="B1450" s="3">
        <v>70179</v>
      </c>
      <c r="C1450" s="3">
        <v>0</v>
      </c>
      <c r="D1450">
        <v>1447</v>
      </c>
      <c r="E1450" t="str">
        <f>VLOOKUP(B1450,Nuclides!A:F,5,FALSE)</f>
        <v>Yb179</v>
      </c>
      <c r="F1450">
        <f>VLOOKUP(B1450,Nuclides!A:F,4,FALSE)</f>
        <v>480</v>
      </c>
      <c r="G1450" s="3" t="str">
        <f t="shared" si="113"/>
        <v>8min</v>
      </c>
      <c r="H1450" s="3">
        <f t="shared" si="114"/>
        <v>1.4440566261665526E-3</v>
      </c>
      <c r="I1450" s="3">
        <f t="shared" si="115"/>
        <v>0</v>
      </c>
      <c r="J1450" s="3">
        <f t="shared" si="116"/>
        <v>0</v>
      </c>
      <c r="K1450" s="3" t="str">
        <f t="shared" si="117"/>
        <v>Yb179</v>
      </c>
      <c r="L1450" s="3" cm="1">
        <f t="array" ref="L1450">SUM(($J1450*EXP(-$H1450*12*3600*_xlfn.SEQUENCE(L$1-1))))+$J1450</f>
        <v>0</v>
      </c>
      <c r="M1450" s="3"/>
      <c r="N1450" s="3"/>
    </row>
    <row r="1451" spans="2:14" hidden="1" x14ac:dyDescent="0.2">
      <c r="B1451" s="3">
        <v>71151</v>
      </c>
      <c r="C1451" s="3">
        <v>0</v>
      </c>
      <c r="D1451">
        <v>1448</v>
      </c>
      <c r="E1451" t="str">
        <f>VLOOKUP(B1451,Nuclides!A:F,5,FALSE)</f>
        <v>Lu151</v>
      </c>
      <c r="F1451">
        <f>VLOOKUP(B1451,Nuclides!A:F,4,FALSE)</f>
        <v>8.0599999999999894E-2</v>
      </c>
      <c r="G1451" s="3" t="str">
        <f t="shared" si="113"/>
        <v>0.0805999999999999s</v>
      </c>
      <c r="H1451" s="3">
        <f t="shared" si="114"/>
        <v>8.5998409498752633</v>
      </c>
      <c r="I1451" s="3">
        <f t="shared" si="115"/>
        <v>0</v>
      </c>
      <c r="J1451" s="3">
        <f t="shared" si="116"/>
        <v>0</v>
      </c>
      <c r="K1451" s="3" t="str">
        <f t="shared" si="117"/>
        <v>Lu151</v>
      </c>
      <c r="L1451" s="3" cm="1">
        <f t="array" ref="L1451">SUM(($J1451*EXP(-$H1451*12*3600*_xlfn.SEQUENCE(L$1-1))))+$J1451</f>
        <v>0</v>
      </c>
      <c r="M1451" s="3"/>
      <c r="N1451" s="3"/>
    </row>
    <row r="1452" spans="2:14" hidden="1" x14ac:dyDescent="0.2">
      <c r="B1452" s="3">
        <v>71152</v>
      </c>
      <c r="C1452" s="3">
        <v>0</v>
      </c>
      <c r="D1452">
        <v>1449</v>
      </c>
      <c r="E1452" t="str">
        <f>VLOOKUP(B1452,Nuclides!A:F,5,FALSE)</f>
        <v>Lu152</v>
      </c>
      <c r="F1452">
        <f>VLOOKUP(B1452,Nuclides!A:F,4,FALSE)</f>
        <v>0.7</v>
      </c>
      <c r="G1452" s="3" t="str">
        <f t="shared" si="113"/>
        <v>0.7s</v>
      </c>
      <c r="H1452" s="3">
        <f t="shared" si="114"/>
        <v>0.99021025794277906</v>
      </c>
      <c r="I1452" s="3">
        <f t="shared" si="115"/>
        <v>0</v>
      </c>
      <c r="J1452" s="3">
        <f t="shared" si="116"/>
        <v>0</v>
      </c>
      <c r="K1452" s="3" t="str">
        <f t="shared" si="117"/>
        <v>Lu152</v>
      </c>
      <c r="L1452" s="3" cm="1">
        <f t="array" ref="L1452">SUM(($J1452*EXP(-$H1452*12*3600*_xlfn.SEQUENCE(L$1-1))))+$J1452</f>
        <v>0</v>
      </c>
      <c r="M1452" s="3"/>
      <c r="N1452" s="3"/>
    </row>
    <row r="1453" spans="2:14" hidden="1" x14ac:dyDescent="0.2">
      <c r="B1453" s="3">
        <v>71153</v>
      </c>
      <c r="C1453" s="3">
        <v>0</v>
      </c>
      <c r="D1453">
        <v>1450</v>
      </c>
      <c r="E1453" t="str">
        <f>VLOOKUP(B1453,Nuclides!A:F,5,FALSE)</f>
        <v>Lu153</v>
      </c>
      <c r="F1453">
        <f>VLOOKUP(B1453,Nuclides!A:F,4,FALSE)</f>
        <v>0.9</v>
      </c>
      <c r="G1453" s="3" t="str">
        <f t="shared" si="113"/>
        <v>0.9s</v>
      </c>
      <c r="H1453" s="3">
        <f t="shared" si="114"/>
        <v>0.77016353395549475</v>
      </c>
      <c r="I1453" s="3">
        <f t="shared" si="115"/>
        <v>0</v>
      </c>
      <c r="J1453" s="3">
        <f t="shared" si="116"/>
        <v>0</v>
      </c>
      <c r="K1453" s="3" t="str">
        <f t="shared" si="117"/>
        <v>Lu153</v>
      </c>
      <c r="L1453" s="3" cm="1">
        <f t="array" ref="L1453">SUM(($J1453*EXP(-$H1453*12*3600*_xlfn.SEQUENCE(L$1-1))))+$J1453</f>
        <v>0</v>
      </c>
      <c r="M1453" s="3"/>
      <c r="N1453" s="3"/>
    </row>
    <row r="1454" spans="2:14" hidden="1" x14ac:dyDescent="0.2">
      <c r="B1454" s="3">
        <v>71154</v>
      </c>
      <c r="C1454" s="3">
        <v>0</v>
      </c>
      <c r="D1454">
        <v>1451</v>
      </c>
      <c r="E1454" t="str">
        <f>VLOOKUP(B1454,Nuclides!A:F,5,FALSE)</f>
        <v>Lu154</v>
      </c>
      <c r="F1454">
        <f>VLOOKUP(B1454,Nuclides!A:F,4,FALSE)</f>
        <v>1.1200000000000001</v>
      </c>
      <c r="G1454" s="3" t="str">
        <f t="shared" si="113"/>
        <v>1.12s</v>
      </c>
      <c r="H1454" s="3">
        <f t="shared" si="114"/>
        <v>0.61888141121423679</v>
      </c>
      <c r="I1454" s="3">
        <f t="shared" si="115"/>
        <v>0</v>
      </c>
      <c r="J1454" s="3">
        <f t="shared" si="116"/>
        <v>0</v>
      </c>
      <c r="K1454" s="3" t="str">
        <f t="shared" si="117"/>
        <v>Lu154</v>
      </c>
      <c r="L1454" s="3" cm="1">
        <f t="array" ref="L1454">SUM(($J1454*EXP(-$H1454*12*3600*_xlfn.SEQUENCE(L$1-1))))+$J1454</f>
        <v>0</v>
      </c>
      <c r="M1454" s="3"/>
      <c r="N1454" s="3"/>
    </row>
    <row r="1455" spans="2:14" hidden="1" x14ac:dyDescent="0.2">
      <c r="B1455" s="3">
        <v>71155</v>
      </c>
      <c r="C1455" s="3">
        <v>0</v>
      </c>
      <c r="D1455">
        <v>1452</v>
      </c>
      <c r="E1455" t="str">
        <f>VLOOKUP(B1455,Nuclides!A:F,5,FALSE)</f>
        <v>Lu155</v>
      </c>
      <c r="F1455">
        <f>VLOOKUP(B1455,Nuclides!A:F,4,FALSE)</f>
        <v>6.8000000000000005E-2</v>
      </c>
      <c r="G1455" s="3" t="str">
        <f t="shared" si="113"/>
        <v>0.068s</v>
      </c>
      <c r="H1455" s="3">
        <f t="shared" si="114"/>
        <v>10.193340890587431</v>
      </c>
      <c r="I1455" s="3">
        <f t="shared" si="115"/>
        <v>0</v>
      </c>
      <c r="J1455" s="3">
        <f t="shared" si="116"/>
        <v>0</v>
      </c>
      <c r="K1455" s="3" t="str">
        <f t="shared" si="117"/>
        <v>Lu155</v>
      </c>
      <c r="L1455" s="3" cm="1">
        <f t="array" ref="L1455">SUM(($J1455*EXP(-$H1455*12*3600*_xlfn.SEQUENCE(L$1-1))))+$J1455</f>
        <v>0</v>
      </c>
      <c r="M1455" s="3"/>
      <c r="N1455" s="3"/>
    </row>
    <row r="1456" spans="2:14" hidden="1" x14ac:dyDescent="0.2">
      <c r="B1456" s="3">
        <v>71156</v>
      </c>
      <c r="C1456" s="3">
        <v>0</v>
      </c>
      <c r="D1456">
        <v>1453</v>
      </c>
      <c r="E1456" t="str">
        <f>VLOOKUP(B1456,Nuclides!A:F,5,FALSE)</f>
        <v>Lu156</v>
      </c>
      <c r="F1456">
        <f>VLOOKUP(B1456,Nuclides!A:F,4,FALSE)</f>
        <v>0.49399999999999999</v>
      </c>
      <c r="G1456" s="3" t="str">
        <f t="shared" si="113"/>
        <v>0.494s</v>
      </c>
      <c r="H1456" s="3">
        <f t="shared" si="114"/>
        <v>1.4031319444533306</v>
      </c>
      <c r="I1456" s="3">
        <f t="shared" si="115"/>
        <v>0</v>
      </c>
      <c r="J1456" s="3">
        <f t="shared" si="116"/>
        <v>0</v>
      </c>
      <c r="K1456" s="3" t="str">
        <f t="shared" si="117"/>
        <v>Lu156</v>
      </c>
      <c r="L1456" s="3" cm="1">
        <f t="array" ref="L1456">SUM(($J1456*EXP(-$H1456*12*3600*_xlfn.SEQUENCE(L$1-1))))+$J1456</f>
        <v>0</v>
      </c>
      <c r="M1456" s="3"/>
      <c r="N1456" s="3"/>
    </row>
    <row r="1457" spans="2:14" hidden="1" x14ac:dyDescent="0.2">
      <c r="B1457" s="3">
        <v>71157</v>
      </c>
      <c r="C1457" s="3">
        <v>0</v>
      </c>
      <c r="D1457">
        <v>1454</v>
      </c>
      <c r="E1457" t="str">
        <f>VLOOKUP(B1457,Nuclides!A:F,5,FALSE)</f>
        <v>Lu157</v>
      </c>
      <c r="F1457">
        <f>VLOOKUP(B1457,Nuclides!A:F,4,FALSE)</f>
        <v>6.8</v>
      </c>
      <c r="G1457" s="3" t="str">
        <f t="shared" si="113"/>
        <v>6.8s</v>
      </c>
      <c r="H1457" s="3">
        <f t="shared" si="114"/>
        <v>0.10193340890587431</v>
      </c>
      <c r="I1457" s="3">
        <f t="shared" si="115"/>
        <v>0</v>
      </c>
      <c r="J1457" s="3">
        <f t="shared" si="116"/>
        <v>0</v>
      </c>
      <c r="K1457" s="3" t="str">
        <f t="shared" si="117"/>
        <v>Lu157</v>
      </c>
      <c r="L1457" s="3" cm="1">
        <f t="array" ref="L1457">SUM(($J1457*EXP(-$H1457*12*3600*_xlfn.SEQUENCE(L$1-1))))+$J1457</f>
        <v>0</v>
      </c>
      <c r="M1457" s="3"/>
      <c r="N1457" s="3"/>
    </row>
    <row r="1458" spans="2:14" hidden="1" x14ac:dyDescent="0.2">
      <c r="B1458" s="3">
        <v>71158</v>
      </c>
      <c r="C1458" s="3">
        <v>0</v>
      </c>
      <c r="D1458">
        <v>1455</v>
      </c>
      <c r="E1458" t="str">
        <f>VLOOKUP(B1458,Nuclides!A:F,5,FALSE)</f>
        <v>Lu158</v>
      </c>
      <c r="F1458">
        <f>VLOOKUP(B1458,Nuclides!A:F,4,FALSE)</f>
        <v>10.6</v>
      </c>
      <c r="G1458" s="3" t="str">
        <f t="shared" si="113"/>
        <v>10.6s</v>
      </c>
      <c r="H1458" s="3">
        <f t="shared" si="114"/>
        <v>6.539124344905145E-2</v>
      </c>
      <c r="I1458" s="3">
        <f t="shared" si="115"/>
        <v>0</v>
      </c>
      <c r="J1458" s="3">
        <f t="shared" si="116"/>
        <v>0</v>
      </c>
      <c r="K1458" s="3" t="str">
        <f t="shared" si="117"/>
        <v>Lu158</v>
      </c>
      <c r="L1458" s="3" cm="1">
        <f t="array" ref="L1458">SUM(($J1458*EXP(-$H1458*12*3600*_xlfn.SEQUENCE(L$1-1))))+$J1458</f>
        <v>0</v>
      </c>
      <c r="M1458" s="3"/>
      <c r="N1458" s="3"/>
    </row>
    <row r="1459" spans="2:14" hidden="1" x14ac:dyDescent="0.2">
      <c r="B1459" s="3">
        <v>71159</v>
      </c>
      <c r="C1459" s="3">
        <v>0</v>
      </c>
      <c r="D1459">
        <v>1456</v>
      </c>
      <c r="E1459" t="str">
        <f>VLOOKUP(B1459,Nuclides!A:F,5,FALSE)</f>
        <v>Lu159</v>
      </c>
      <c r="F1459">
        <f>VLOOKUP(B1459,Nuclides!A:F,4,FALSE)</f>
        <v>12.1</v>
      </c>
      <c r="G1459" s="3" t="str">
        <f t="shared" si="113"/>
        <v>12.1s</v>
      </c>
      <c r="H1459" s="3">
        <f t="shared" si="114"/>
        <v>5.728489095536738E-2</v>
      </c>
      <c r="I1459" s="3">
        <f t="shared" si="115"/>
        <v>0</v>
      </c>
      <c r="J1459" s="3">
        <f t="shared" si="116"/>
        <v>0</v>
      </c>
      <c r="K1459" s="3" t="str">
        <f t="shared" si="117"/>
        <v>Lu159</v>
      </c>
      <c r="L1459" s="3" cm="1">
        <f t="array" ref="L1459">SUM(($J1459*EXP(-$H1459*12*3600*_xlfn.SEQUENCE(L$1-1))))+$J1459</f>
        <v>0</v>
      </c>
      <c r="M1459" s="3"/>
      <c r="N1459" s="3"/>
    </row>
    <row r="1460" spans="2:14" hidden="1" x14ac:dyDescent="0.2">
      <c r="B1460" s="3">
        <v>71160</v>
      </c>
      <c r="C1460" s="3">
        <v>0</v>
      </c>
      <c r="D1460">
        <v>1457</v>
      </c>
      <c r="E1460" t="str">
        <f>VLOOKUP(B1460,Nuclides!A:F,5,FALSE)</f>
        <v>Lu160</v>
      </c>
      <c r="F1460">
        <f>VLOOKUP(B1460,Nuclides!A:F,4,FALSE)</f>
        <v>36.1</v>
      </c>
      <c r="G1460" s="3" t="str">
        <f t="shared" si="113"/>
        <v>36.1s</v>
      </c>
      <c r="H1460" s="3">
        <f t="shared" si="114"/>
        <v>1.9200752924098206E-2</v>
      </c>
      <c r="I1460" s="3">
        <f t="shared" si="115"/>
        <v>0</v>
      </c>
      <c r="J1460" s="3">
        <f t="shared" si="116"/>
        <v>0</v>
      </c>
      <c r="K1460" s="3" t="str">
        <f t="shared" si="117"/>
        <v>Lu160</v>
      </c>
      <c r="L1460" s="3" cm="1">
        <f t="array" ref="L1460">SUM(($J1460*EXP(-$H1460*12*3600*_xlfn.SEQUENCE(L$1-1))))+$J1460</f>
        <v>0</v>
      </c>
      <c r="M1460" s="3"/>
      <c r="N1460" s="3"/>
    </row>
    <row r="1461" spans="2:14" hidden="1" x14ac:dyDescent="0.2">
      <c r="B1461" s="3">
        <v>71161</v>
      </c>
      <c r="C1461" s="3">
        <v>0</v>
      </c>
      <c r="D1461">
        <v>1458</v>
      </c>
      <c r="E1461" t="str">
        <f>VLOOKUP(B1461,Nuclides!A:F,5,FALSE)</f>
        <v>Lu161</v>
      </c>
      <c r="F1461">
        <f>VLOOKUP(B1461,Nuclides!A:F,4,FALSE)</f>
        <v>77</v>
      </c>
      <c r="G1461" s="3" t="str">
        <f t="shared" si="113"/>
        <v>1.28min</v>
      </c>
      <c r="H1461" s="3">
        <f t="shared" si="114"/>
        <v>9.001911435843446E-3</v>
      </c>
      <c r="I1461" s="3">
        <f t="shared" si="115"/>
        <v>0</v>
      </c>
      <c r="J1461" s="3">
        <f t="shared" si="116"/>
        <v>0</v>
      </c>
      <c r="K1461" s="3" t="str">
        <f t="shared" si="117"/>
        <v>Lu161</v>
      </c>
      <c r="L1461" s="3" cm="1">
        <f t="array" ref="L1461">SUM(($J1461*EXP(-$H1461*12*3600*_xlfn.SEQUENCE(L$1-1))))+$J1461</f>
        <v>0</v>
      </c>
      <c r="M1461" s="3"/>
      <c r="N1461" s="3"/>
    </row>
    <row r="1462" spans="2:14" hidden="1" x14ac:dyDescent="0.2">
      <c r="B1462" s="3">
        <v>71162</v>
      </c>
      <c r="C1462" s="3">
        <v>0</v>
      </c>
      <c r="D1462">
        <v>1459</v>
      </c>
      <c r="E1462" t="str">
        <f>VLOOKUP(B1462,Nuclides!A:F,5,FALSE)</f>
        <v>Lu162</v>
      </c>
      <c r="F1462">
        <f>VLOOKUP(B1462,Nuclides!A:F,4,FALSE)</f>
        <v>82.2</v>
      </c>
      <c r="G1462" s="3" t="str">
        <f t="shared" si="113"/>
        <v>1.37min</v>
      </c>
      <c r="H1462" s="3">
        <f t="shared" si="114"/>
        <v>8.4324474520674608E-3</v>
      </c>
      <c r="I1462" s="3">
        <f t="shared" si="115"/>
        <v>0</v>
      </c>
      <c r="J1462" s="3">
        <f t="shared" si="116"/>
        <v>0</v>
      </c>
      <c r="K1462" s="3" t="str">
        <f t="shared" si="117"/>
        <v>Lu162</v>
      </c>
      <c r="L1462" s="3" cm="1">
        <f t="array" ref="L1462">SUM(($J1462*EXP(-$H1462*12*3600*_xlfn.SEQUENCE(L$1-1))))+$J1462</f>
        <v>0</v>
      </c>
      <c r="M1462" s="3"/>
      <c r="N1462" s="3"/>
    </row>
    <row r="1463" spans="2:14" hidden="1" x14ac:dyDescent="0.2">
      <c r="B1463" s="3">
        <v>71163</v>
      </c>
      <c r="C1463" s="3">
        <v>0</v>
      </c>
      <c r="D1463">
        <v>1460</v>
      </c>
      <c r="E1463" t="str">
        <f>VLOOKUP(B1463,Nuclides!A:F,5,FALSE)</f>
        <v>Lu163</v>
      </c>
      <c r="F1463">
        <f>VLOOKUP(B1463,Nuclides!A:F,4,FALSE)</f>
        <v>238.2</v>
      </c>
      <c r="G1463" s="3" t="str">
        <f t="shared" si="113"/>
        <v>3.97min</v>
      </c>
      <c r="H1463" s="3">
        <f t="shared" si="114"/>
        <v>2.9099377857260511E-3</v>
      </c>
      <c r="I1463" s="3">
        <f t="shared" si="115"/>
        <v>0</v>
      </c>
      <c r="J1463" s="3">
        <f t="shared" si="116"/>
        <v>0</v>
      </c>
      <c r="K1463" s="3" t="str">
        <f t="shared" si="117"/>
        <v>Lu163</v>
      </c>
      <c r="L1463" s="3" cm="1">
        <f t="array" ref="L1463">SUM(($J1463*EXP(-$H1463*12*3600*_xlfn.SEQUENCE(L$1-1))))+$J1463</f>
        <v>0</v>
      </c>
      <c r="M1463" s="3"/>
      <c r="N1463" s="3"/>
    </row>
    <row r="1464" spans="2:14" hidden="1" x14ac:dyDescent="0.2">
      <c r="B1464" s="3">
        <v>71164</v>
      </c>
      <c r="C1464" s="3">
        <v>0</v>
      </c>
      <c r="D1464">
        <v>1461</v>
      </c>
      <c r="E1464" t="str">
        <f>VLOOKUP(B1464,Nuclides!A:F,5,FALSE)</f>
        <v>Lu164</v>
      </c>
      <c r="F1464">
        <f>VLOOKUP(B1464,Nuclides!A:F,4,FALSE)</f>
        <v>188.4</v>
      </c>
      <c r="G1464" s="3" t="str">
        <f t="shared" si="113"/>
        <v>3.14min</v>
      </c>
      <c r="H1464" s="3">
        <f t="shared" si="114"/>
        <v>3.6791251622077773E-3</v>
      </c>
      <c r="I1464" s="3">
        <f t="shared" si="115"/>
        <v>0</v>
      </c>
      <c r="J1464" s="3">
        <f t="shared" si="116"/>
        <v>0</v>
      </c>
      <c r="K1464" s="3" t="str">
        <f t="shared" si="117"/>
        <v>Lu164</v>
      </c>
      <c r="L1464" s="3" cm="1">
        <f t="array" ref="L1464">SUM(($J1464*EXP(-$H1464*12*3600*_xlfn.SEQUENCE(L$1-1))))+$J1464</f>
        <v>0</v>
      </c>
      <c r="M1464" s="3"/>
      <c r="N1464" s="3"/>
    </row>
    <row r="1465" spans="2:14" hidden="1" x14ac:dyDescent="0.2">
      <c r="B1465" s="3">
        <v>71165</v>
      </c>
      <c r="C1465" s="3">
        <v>0</v>
      </c>
      <c r="D1465">
        <v>1462</v>
      </c>
      <c r="E1465" t="str">
        <f>VLOOKUP(B1465,Nuclides!A:F,5,FALSE)</f>
        <v>Lu165</v>
      </c>
      <c r="F1465">
        <f>VLOOKUP(B1465,Nuclides!A:F,4,FALSE)</f>
        <v>644.4</v>
      </c>
      <c r="G1465" s="3" t="str">
        <f t="shared" si="113"/>
        <v>10.74min</v>
      </c>
      <c r="H1465" s="3">
        <f t="shared" si="114"/>
        <v>1.0756473937925904E-3</v>
      </c>
      <c r="I1465" s="3">
        <f t="shared" si="115"/>
        <v>0</v>
      </c>
      <c r="J1465" s="3">
        <f t="shared" si="116"/>
        <v>0</v>
      </c>
      <c r="K1465" s="3" t="str">
        <f t="shared" si="117"/>
        <v>Lu165</v>
      </c>
      <c r="L1465" s="3" cm="1">
        <f t="array" ref="L1465">SUM(($J1465*EXP(-$H1465*12*3600*_xlfn.SEQUENCE(L$1-1))))+$J1465</f>
        <v>0</v>
      </c>
      <c r="M1465" s="3"/>
      <c r="N1465" s="3"/>
    </row>
    <row r="1466" spans="2:14" hidden="1" x14ac:dyDescent="0.2">
      <c r="B1466" s="3">
        <v>71166</v>
      </c>
      <c r="C1466" s="3">
        <v>0</v>
      </c>
      <c r="D1466">
        <v>1463</v>
      </c>
      <c r="E1466" t="str">
        <f>VLOOKUP(B1466,Nuclides!A:F,5,FALSE)</f>
        <v>Lu166</v>
      </c>
      <c r="F1466">
        <f>VLOOKUP(B1466,Nuclides!A:F,4,FALSE)</f>
        <v>159</v>
      </c>
      <c r="G1466" s="3" t="str">
        <f t="shared" si="113"/>
        <v>2.65min</v>
      </c>
      <c r="H1466" s="3">
        <f t="shared" si="114"/>
        <v>4.3594162299367628E-3</v>
      </c>
      <c r="I1466" s="3">
        <f t="shared" si="115"/>
        <v>0</v>
      </c>
      <c r="J1466" s="3">
        <f t="shared" si="116"/>
        <v>0</v>
      </c>
      <c r="K1466" s="3" t="str">
        <f t="shared" si="117"/>
        <v>Lu166</v>
      </c>
      <c r="L1466" s="3" cm="1">
        <f t="array" ref="L1466">SUM(($J1466*EXP(-$H1466*12*3600*_xlfn.SEQUENCE(L$1-1))))+$J1466</f>
        <v>0</v>
      </c>
      <c r="M1466" s="3"/>
      <c r="N1466" s="3"/>
    </row>
    <row r="1467" spans="2:14" hidden="1" x14ac:dyDescent="0.2">
      <c r="B1467" s="3">
        <v>71167</v>
      </c>
      <c r="C1467" s="3">
        <v>0</v>
      </c>
      <c r="D1467">
        <v>1464</v>
      </c>
      <c r="E1467" t="str">
        <f>VLOOKUP(B1467,Nuclides!A:F,5,FALSE)</f>
        <v>Lu167</v>
      </c>
      <c r="F1467">
        <f>VLOOKUP(B1467,Nuclides!A:F,4,FALSE)</f>
        <v>3090</v>
      </c>
      <c r="G1467" s="3" t="str">
        <f t="shared" si="113"/>
        <v>51.5min</v>
      </c>
      <c r="H1467" s="3">
        <f t="shared" si="114"/>
        <v>2.2431947590936739E-4</v>
      </c>
      <c r="I1467" s="3">
        <f t="shared" si="115"/>
        <v>0</v>
      </c>
      <c r="J1467" s="3">
        <f t="shared" si="116"/>
        <v>0</v>
      </c>
      <c r="K1467" s="3" t="str">
        <f t="shared" si="117"/>
        <v>Lu167</v>
      </c>
      <c r="L1467" s="3" cm="1">
        <f t="array" ref="L1467">SUM(($J1467*EXP(-$H1467*12*3600*_xlfn.SEQUENCE(L$1-1))))+$J1467</f>
        <v>0</v>
      </c>
      <c r="M1467" s="3"/>
      <c r="N1467" s="3"/>
    </row>
    <row r="1468" spans="2:14" hidden="1" x14ac:dyDescent="0.2">
      <c r="B1468" s="3">
        <v>71168</v>
      </c>
      <c r="C1468" s="3">
        <v>0</v>
      </c>
      <c r="D1468">
        <v>1465</v>
      </c>
      <c r="E1468" t="str">
        <f>VLOOKUP(B1468,Nuclides!A:F,5,FALSE)</f>
        <v>Lu168</v>
      </c>
      <c r="F1468">
        <f>VLOOKUP(B1468,Nuclides!A:F,4,FALSE)</f>
        <v>330</v>
      </c>
      <c r="G1468" s="3" t="str">
        <f t="shared" si="113"/>
        <v>5.5min</v>
      </c>
      <c r="H1468" s="3">
        <f t="shared" si="114"/>
        <v>2.1004460016968039E-3</v>
      </c>
      <c r="I1468" s="3">
        <f t="shared" si="115"/>
        <v>0</v>
      </c>
      <c r="J1468" s="3">
        <f t="shared" si="116"/>
        <v>0</v>
      </c>
      <c r="K1468" s="3" t="str">
        <f t="shared" si="117"/>
        <v>Lu168</v>
      </c>
      <c r="L1468" s="3" cm="1">
        <f t="array" ref="L1468">SUM(($J1468*EXP(-$H1468*12*3600*_xlfn.SEQUENCE(L$1-1))))+$J1468</f>
        <v>0</v>
      </c>
      <c r="M1468" s="3"/>
      <c r="N1468" s="3"/>
    </row>
    <row r="1469" spans="2:14" hidden="1" x14ac:dyDescent="0.2">
      <c r="B1469" s="3">
        <v>71169</v>
      </c>
      <c r="C1469" s="3">
        <v>0</v>
      </c>
      <c r="D1469">
        <v>1466</v>
      </c>
      <c r="E1469" t="str">
        <f>VLOOKUP(B1469,Nuclides!A:F,5,FALSE)</f>
        <v>Lu169</v>
      </c>
      <c r="F1469">
        <f>VLOOKUP(B1469,Nuclides!A:F,4,FALSE)</f>
        <v>122616</v>
      </c>
      <c r="G1469" s="3" t="str">
        <f t="shared" si="113"/>
        <v>1.42d</v>
      </c>
      <c r="H1469" s="3">
        <f t="shared" si="114"/>
        <v>5.6529912944472604E-6</v>
      </c>
      <c r="I1469" s="3">
        <f t="shared" si="115"/>
        <v>0</v>
      </c>
      <c r="J1469" s="3">
        <f t="shared" si="116"/>
        <v>0</v>
      </c>
      <c r="K1469" s="3" t="str">
        <f t="shared" si="117"/>
        <v>Lu169</v>
      </c>
      <c r="L1469" s="3" cm="1">
        <f t="array" ref="L1469">SUM(($J1469*EXP(-$H1469*12*3600*_xlfn.SEQUENCE(L$1-1))))+$J1469</f>
        <v>0</v>
      </c>
      <c r="M1469" s="3"/>
      <c r="N1469" s="3"/>
    </row>
    <row r="1470" spans="2:14" hidden="1" x14ac:dyDescent="0.2">
      <c r="B1470" s="3">
        <v>71170</v>
      </c>
      <c r="C1470" s="3">
        <v>0</v>
      </c>
      <c r="D1470">
        <v>1467</v>
      </c>
      <c r="E1470" t="str">
        <f>VLOOKUP(B1470,Nuclides!A:F,5,FALSE)</f>
        <v>Lu170</v>
      </c>
      <c r="F1470">
        <f>VLOOKUP(B1470,Nuclides!A:F,4,FALSE)</f>
        <v>173836.79999999999</v>
      </c>
      <c r="G1470" s="3" t="str">
        <f t="shared" si="113"/>
        <v>2.01d</v>
      </c>
      <c r="H1470" s="3">
        <f t="shared" si="114"/>
        <v>3.9873443399783323E-6</v>
      </c>
      <c r="I1470" s="3">
        <f t="shared" si="115"/>
        <v>0</v>
      </c>
      <c r="J1470" s="3">
        <f t="shared" si="116"/>
        <v>0</v>
      </c>
      <c r="K1470" s="3" t="str">
        <f t="shared" si="117"/>
        <v>Lu170</v>
      </c>
      <c r="L1470" s="3" cm="1">
        <f t="array" ref="L1470">SUM(($J1470*EXP(-$H1470*12*3600*_xlfn.SEQUENCE(L$1-1))))+$J1470</f>
        <v>0</v>
      </c>
      <c r="M1470" s="3"/>
      <c r="N1470" s="3"/>
    </row>
    <row r="1471" spans="2:14" hidden="1" x14ac:dyDescent="0.2">
      <c r="B1471" s="3">
        <v>71171</v>
      </c>
      <c r="C1471" s="3">
        <v>0</v>
      </c>
      <c r="D1471">
        <v>1468</v>
      </c>
      <c r="E1471" t="str">
        <f>VLOOKUP(B1471,Nuclides!A:F,5,FALSE)</f>
        <v>Lu171</v>
      </c>
      <c r="F1471">
        <f>VLOOKUP(B1471,Nuclides!A:F,4,FALSE)</f>
        <v>711936</v>
      </c>
      <c r="G1471" s="3" t="str">
        <f t="shared" si="113"/>
        <v>8.24d</v>
      </c>
      <c r="H1471" s="3">
        <f t="shared" si="114"/>
        <v>9.7360883641218482E-7</v>
      </c>
      <c r="I1471" s="3">
        <f t="shared" si="115"/>
        <v>0</v>
      </c>
      <c r="J1471" s="3">
        <f t="shared" si="116"/>
        <v>0</v>
      </c>
      <c r="K1471" s="3" t="str">
        <f t="shared" si="117"/>
        <v>Lu171</v>
      </c>
      <c r="L1471" s="3" cm="1">
        <f t="array" ref="L1471">SUM(($J1471*EXP(-$H1471*12*3600*_xlfn.SEQUENCE(L$1-1))))+$J1471</f>
        <v>0</v>
      </c>
      <c r="M1471" s="3"/>
      <c r="N1471" s="3"/>
    </row>
    <row r="1472" spans="2:14" hidden="1" x14ac:dyDescent="0.2">
      <c r="B1472" s="3">
        <v>71172</v>
      </c>
      <c r="C1472" s="3">
        <v>0</v>
      </c>
      <c r="D1472">
        <v>1469</v>
      </c>
      <c r="E1472" t="str">
        <f>VLOOKUP(B1472,Nuclides!A:F,5,FALSE)</f>
        <v>Lu172</v>
      </c>
      <c r="F1472">
        <f>VLOOKUP(B1472,Nuclides!A:F,4,FALSE)</f>
        <v>578880</v>
      </c>
      <c r="G1472" s="3" t="str">
        <f t="shared" si="113"/>
        <v>6.7d</v>
      </c>
      <c r="H1472" s="3">
        <f t="shared" si="114"/>
        <v>1.1973935540352841E-6</v>
      </c>
      <c r="I1472" s="3">
        <f t="shared" si="115"/>
        <v>0</v>
      </c>
      <c r="J1472" s="3">
        <f t="shared" si="116"/>
        <v>0</v>
      </c>
      <c r="K1472" s="3" t="str">
        <f t="shared" si="117"/>
        <v>Lu172</v>
      </c>
      <c r="L1472" s="3" cm="1">
        <f t="array" ref="L1472">SUM(($J1472*EXP(-$H1472*12*3600*_xlfn.SEQUENCE(L$1-1))))+$J1472</f>
        <v>0</v>
      </c>
      <c r="M1472" s="3"/>
      <c r="N1472" s="3"/>
    </row>
    <row r="1473" spans="2:14" hidden="1" x14ac:dyDescent="0.2">
      <c r="B1473" s="3">
        <v>71173</v>
      </c>
      <c r="C1473" s="3">
        <v>0</v>
      </c>
      <c r="D1473">
        <v>1470</v>
      </c>
      <c r="E1473" t="str">
        <f>VLOOKUP(B1473,Nuclides!A:F,5,FALSE)</f>
        <v>Lu173</v>
      </c>
      <c r="F1473">
        <f>VLOOKUP(B1473,Nuclides!A:F,4,FALSE)</f>
        <v>43233912</v>
      </c>
      <c r="G1473" s="3" t="str">
        <f t="shared" si="113"/>
        <v>1.37y</v>
      </c>
      <c r="H1473" s="3">
        <f t="shared" si="114"/>
        <v>1.6032488120897904E-8</v>
      </c>
      <c r="I1473" s="3">
        <f t="shared" si="115"/>
        <v>0</v>
      </c>
      <c r="J1473" s="3">
        <f t="shared" si="116"/>
        <v>0</v>
      </c>
      <c r="K1473" s="3" t="str">
        <f t="shared" si="117"/>
        <v>Lu173</v>
      </c>
      <c r="L1473" s="3" cm="1">
        <f t="array" ref="L1473">SUM(($J1473*EXP(-$H1473*12*3600*_xlfn.SEQUENCE(L$1-1))))+$J1473</f>
        <v>0</v>
      </c>
      <c r="M1473" s="3"/>
      <c r="N1473" s="3"/>
    </row>
    <row r="1474" spans="2:14" hidden="1" x14ac:dyDescent="0.2">
      <c r="B1474" s="3">
        <v>71174</v>
      </c>
      <c r="C1474" s="3">
        <v>0</v>
      </c>
      <c r="D1474">
        <v>1471</v>
      </c>
      <c r="E1474" t="str">
        <f>VLOOKUP(B1474,Nuclides!A:F,5,FALSE)</f>
        <v>Lu174</v>
      </c>
      <c r="F1474">
        <f>VLOOKUP(B1474,Nuclides!A:F,4,FALSE)</f>
        <v>104455656</v>
      </c>
      <c r="G1474" s="3" t="str">
        <f t="shared" si="113"/>
        <v>3.31y</v>
      </c>
      <c r="H1474" s="3">
        <f t="shared" si="114"/>
        <v>6.6358032403716392E-9</v>
      </c>
      <c r="I1474" s="3">
        <f t="shared" si="115"/>
        <v>0</v>
      </c>
      <c r="J1474" s="3">
        <f t="shared" si="116"/>
        <v>0</v>
      </c>
      <c r="K1474" s="3" t="str">
        <f t="shared" si="117"/>
        <v>Lu174</v>
      </c>
      <c r="L1474" s="3" cm="1">
        <f t="array" ref="L1474">SUM(($J1474*EXP(-$H1474*12*3600*_xlfn.SEQUENCE(L$1-1))))+$J1474</f>
        <v>0</v>
      </c>
      <c r="M1474" s="3"/>
      <c r="N1474" s="3"/>
    </row>
    <row r="1475" spans="2:14" hidden="1" x14ac:dyDescent="0.2">
      <c r="B1475" s="3">
        <v>71175</v>
      </c>
      <c r="C1475" s="3">
        <v>0</v>
      </c>
      <c r="D1475">
        <v>1472</v>
      </c>
      <c r="E1475" t="str">
        <f>VLOOKUP(B1475,Nuclides!A:F,5,FALSE)</f>
        <v>Lu175</v>
      </c>
      <c r="F1475" t="str">
        <f>VLOOKUP(B1475,Nuclides!A:F,4,FALSE)</f>
        <v>STABLE</v>
      </c>
      <c r="G1475" s="3" t="str">
        <f t="shared" si="113"/>
        <v>STABLE</v>
      </c>
      <c r="H1475" s="3" t="e">
        <f t="shared" si="114"/>
        <v>#VALUE!</v>
      </c>
      <c r="I1475" s="3" t="e">
        <f t="shared" si="115"/>
        <v>#VALUE!</v>
      </c>
      <c r="J1475" s="3" t="e">
        <f t="shared" si="116"/>
        <v>#VALUE!</v>
      </c>
      <c r="K1475" s="3" t="str">
        <f t="shared" si="117"/>
        <v>Lu175</v>
      </c>
      <c r="L1475" s="3" t="e" cm="1">
        <f t="array" ref="L1475">SUM(($J1475*EXP(-$H1475*12*3600*_xlfn.SEQUENCE(L$1-1))))+$J1475</f>
        <v>#VALUE!</v>
      </c>
      <c r="M1475" s="3"/>
      <c r="N1475" s="3"/>
    </row>
    <row r="1476" spans="2:14" hidden="1" x14ac:dyDescent="0.2">
      <c r="B1476" s="3">
        <v>71176</v>
      </c>
      <c r="C1476" s="3">
        <v>0</v>
      </c>
      <c r="D1476">
        <v>1473</v>
      </c>
      <c r="E1476" t="str">
        <f>VLOOKUP(B1476,Nuclides!A:F,5,FALSE)</f>
        <v>Lu176</v>
      </c>
      <c r="F1476">
        <f>VLOOKUP(B1476,Nuclides!A:F,4,FALSE)</f>
        <v>1.18656576E+18</v>
      </c>
      <c r="G1476" s="3" t="str">
        <f t="shared" ref="G1476:G1539" si="118">IF(F1476="STABLE", "STABLE", IF(F1476&lt;60, F1476&amp;"s", IF(F1476&lt;3600, ROUND(F1476/60,2)&amp;"min", IF(F1476&lt;86400, ROUND(F1476/3600,2)&amp;"h", IF(F1476&lt;31536000, ROUND(F1476/86400,2)&amp;"d", ROUND(F1476/31536000,2)&amp;"y")))))</f>
        <v>37625753424.66y</v>
      </c>
      <c r="H1476" s="3">
        <f t="shared" ref="H1476:H1539" si="119">LN(2)/F1476</f>
        <v>5.8416246610718425E-19</v>
      </c>
      <c r="I1476" s="3">
        <f t="shared" ref="I1476:I1539" si="120">100*6240000000000*C1476*(1-EXP(-H1476*2*3600))</f>
        <v>0</v>
      </c>
      <c r="J1476" s="3">
        <f t="shared" ref="J1476:J1539" si="121">I1476*EXP(-H1476*10*3600)</f>
        <v>0</v>
      </c>
      <c r="K1476" s="3" t="str">
        <f t="shared" ref="K1476:K1539" si="122">E1476</f>
        <v>Lu176</v>
      </c>
      <c r="L1476" s="3" cm="1">
        <f t="array" ref="L1476">SUM(($J1476*EXP(-$H1476*12*3600*_xlfn.SEQUENCE(L$1-1))))+$J1476</f>
        <v>0</v>
      </c>
      <c r="M1476" s="3"/>
      <c r="N1476" s="3"/>
    </row>
    <row r="1477" spans="2:14" hidden="1" x14ac:dyDescent="0.2">
      <c r="B1477" s="3">
        <v>71177</v>
      </c>
      <c r="C1477" s="3">
        <v>0</v>
      </c>
      <c r="D1477">
        <v>1474</v>
      </c>
      <c r="E1477" t="str">
        <f>VLOOKUP(B1477,Nuclides!A:F,5,FALSE)</f>
        <v>Lu177</v>
      </c>
      <c r="F1477">
        <f>VLOOKUP(B1477,Nuclides!A:F,4,FALSE)</f>
        <v>574300.80000000005</v>
      </c>
      <c r="G1477" s="3" t="str">
        <f t="shared" si="118"/>
        <v>6.65d</v>
      </c>
      <c r="H1477" s="3">
        <f t="shared" si="119"/>
        <v>1.2069409977488195E-6</v>
      </c>
      <c r="I1477" s="3">
        <f t="shared" si="120"/>
        <v>0</v>
      </c>
      <c r="J1477" s="3">
        <f t="shared" si="121"/>
        <v>0</v>
      </c>
      <c r="K1477" s="3" t="str">
        <f t="shared" si="122"/>
        <v>Lu177</v>
      </c>
      <c r="L1477" s="3" cm="1">
        <f t="array" ref="L1477">SUM(($J1477*EXP(-$H1477*12*3600*_xlfn.SEQUENCE(L$1-1))))+$J1477</f>
        <v>0</v>
      </c>
      <c r="M1477" s="3"/>
      <c r="N1477" s="3"/>
    </row>
    <row r="1478" spans="2:14" hidden="1" x14ac:dyDescent="0.2">
      <c r="B1478" s="3">
        <v>71178</v>
      </c>
      <c r="C1478" s="3">
        <v>0</v>
      </c>
      <c r="D1478">
        <v>1475</v>
      </c>
      <c r="E1478" t="str">
        <f>VLOOKUP(B1478,Nuclides!A:F,5,FALSE)</f>
        <v>Lu178</v>
      </c>
      <c r="F1478">
        <f>VLOOKUP(B1478,Nuclides!A:F,4,FALSE)</f>
        <v>1704</v>
      </c>
      <c r="G1478" s="3" t="str">
        <f t="shared" si="118"/>
        <v>28.4min</v>
      </c>
      <c r="H1478" s="3">
        <f t="shared" si="119"/>
        <v>4.0677651441311342E-4</v>
      </c>
      <c r="I1478" s="3">
        <f t="shared" si="120"/>
        <v>0</v>
      </c>
      <c r="J1478" s="3">
        <f t="shared" si="121"/>
        <v>0</v>
      </c>
      <c r="K1478" s="3" t="str">
        <f t="shared" si="122"/>
        <v>Lu178</v>
      </c>
      <c r="L1478" s="3" cm="1">
        <f t="array" ref="L1478">SUM(($J1478*EXP(-$H1478*12*3600*_xlfn.SEQUENCE(L$1-1))))+$J1478</f>
        <v>0</v>
      </c>
      <c r="M1478" s="3"/>
      <c r="N1478" s="3"/>
    </row>
    <row r="1479" spans="2:14" hidden="1" x14ac:dyDescent="0.2">
      <c r="B1479" s="3">
        <v>71179</v>
      </c>
      <c r="C1479" s="3">
        <v>0</v>
      </c>
      <c r="D1479">
        <v>1476</v>
      </c>
      <c r="E1479" t="str">
        <f>VLOOKUP(B1479,Nuclides!A:F,5,FALSE)</f>
        <v>Lu179</v>
      </c>
      <c r="F1479">
        <f>VLOOKUP(B1479,Nuclides!A:F,4,FALSE)</f>
        <v>16524</v>
      </c>
      <c r="G1479" s="3" t="str">
        <f t="shared" si="118"/>
        <v>4.59h</v>
      </c>
      <c r="H1479" s="3">
        <f t="shared" si="119"/>
        <v>4.1947904899536755E-5</v>
      </c>
      <c r="I1479" s="3">
        <f t="shared" si="120"/>
        <v>0</v>
      </c>
      <c r="J1479" s="3">
        <f t="shared" si="121"/>
        <v>0</v>
      </c>
      <c r="K1479" s="3" t="str">
        <f t="shared" si="122"/>
        <v>Lu179</v>
      </c>
      <c r="L1479" s="3" cm="1">
        <f t="array" ref="L1479">SUM(($J1479*EXP(-$H1479*12*3600*_xlfn.SEQUENCE(L$1-1))))+$J1479</f>
        <v>0</v>
      </c>
      <c r="M1479" s="3"/>
      <c r="N1479" s="3"/>
    </row>
    <row r="1480" spans="2:14" hidden="1" x14ac:dyDescent="0.2">
      <c r="B1480" s="3">
        <v>71180</v>
      </c>
      <c r="C1480" s="3">
        <v>0</v>
      </c>
      <c r="D1480">
        <v>1477</v>
      </c>
      <c r="E1480" t="str">
        <f>VLOOKUP(B1480,Nuclides!A:F,5,FALSE)</f>
        <v>Lu180</v>
      </c>
      <c r="F1480">
        <f>VLOOKUP(B1480,Nuclides!A:F,4,FALSE)</f>
        <v>342</v>
      </c>
      <c r="G1480" s="3" t="str">
        <f t="shared" si="118"/>
        <v>5.7min</v>
      </c>
      <c r="H1480" s="3">
        <f t="shared" si="119"/>
        <v>2.0267461419881442E-3</v>
      </c>
      <c r="I1480" s="3">
        <f t="shared" si="120"/>
        <v>0</v>
      </c>
      <c r="J1480" s="3">
        <f t="shared" si="121"/>
        <v>0</v>
      </c>
      <c r="K1480" s="3" t="str">
        <f t="shared" si="122"/>
        <v>Lu180</v>
      </c>
      <c r="L1480" s="3" cm="1">
        <f t="array" ref="L1480">SUM(($J1480*EXP(-$H1480*12*3600*_xlfn.SEQUENCE(L$1-1))))+$J1480</f>
        <v>0</v>
      </c>
      <c r="M1480" s="3"/>
      <c r="N1480" s="3"/>
    </row>
    <row r="1481" spans="2:14" hidden="1" x14ac:dyDescent="0.2">
      <c r="B1481" s="3">
        <v>71181</v>
      </c>
      <c r="C1481" s="3">
        <v>0</v>
      </c>
      <c r="D1481">
        <v>1478</v>
      </c>
      <c r="E1481" t="str">
        <f>VLOOKUP(B1481,Nuclides!A:F,5,FALSE)</f>
        <v>Lu181</v>
      </c>
      <c r="F1481">
        <f>VLOOKUP(B1481,Nuclides!A:F,4,FALSE)</f>
        <v>210</v>
      </c>
      <c r="G1481" s="3" t="str">
        <f t="shared" si="118"/>
        <v>3.5min</v>
      </c>
      <c r="H1481" s="3">
        <f t="shared" si="119"/>
        <v>3.3007008598092634E-3</v>
      </c>
      <c r="I1481" s="3">
        <f t="shared" si="120"/>
        <v>0</v>
      </c>
      <c r="J1481" s="3">
        <f t="shared" si="121"/>
        <v>0</v>
      </c>
      <c r="K1481" s="3" t="str">
        <f t="shared" si="122"/>
        <v>Lu181</v>
      </c>
      <c r="L1481" s="3" cm="1">
        <f t="array" ref="L1481">SUM(($J1481*EXP(-$H1481*12*3600*_xlfn.SEQUENCE(L$1-1))))+$J1481</f>
        <v>0</v>
      </c>
      <c r="M1481" s="3"/>
      <c r="N1481" s="3"/>
    </row>
    <row r="1482" spans="2:14" hidden="1" x14ac:dyDescent="0.2">
      <c r="B1482" s="3">
        <v>71182</v>
      </c>
      <c r="C1482" s="3">
        <v>0</v>
      </c>
      <c r="D1482">
        <v>1479</v>
      </c>
      <c r="E1482" t="str">
        <f>VLOOKUP(B1482,Nuclides!A:F,5,FALSE)</f>
        <v>Lu182</v>
      </c>
      <c r="F1482">
        <f>VLOOKUP(B1482,Nuclides!A:F,4,FALSE)</f>
        <v>120</v>
      </c>
      <c r="G1482" s="3" t="str">
        <f t="shared" si="118"/>
        <v>2min</v>
      </c>
      <c r="H1482" s="3">
        <f t="shared" si="119"/>
        <v>5.7762265046662105E-3</v>
      </c>
      <c r="I1482" s="3">
        <f t="shared" si="120"/>
        <v>0</v>
      </c>
      <c r="J1482" s="3">
        <f t="shared" si="121"/>
        <v>0</v>
      </c>
      <c r="K1482" s="3" t="str">
        <f t="shared" si="122"/>
        <v>Lu182</v>
      </c>
      <c r="L1482" s="3" cm="1">
        <f t="array" ref="L1482">SUM(($J1482*EXP(-$H1482*12*3600*_xlfn.SEQUENCE(L$1-1))))+$J1482</f>
        <v>0</v>
      </c>
      <c r="M1482" s="3"/>
      <c r="N1482" s="3"/>
    </row>
    <row r="1483" spans="2:14" hidden="1" x14ac:dyDescent="0.2">
      <c r="B1483" s="3">
        <v>71183</v>
      </c>
      <c r="C1483" s="3">
        <v>0</v>
      </c>
      <c r="D1483">
        <v>1480</v>
      </c>
      <c r="E1483" t="str">
        <f>VLOOKUP(B1483,Nuclides!A:F,5,FALSE)</f>
        <v>Lu183</v>
      </c>
      <c r="F1483">
        <f>VLOOKUP(B1483,Nuclides!A:F,4,FALSE)</f>
        <v>58</v>
      </c>
      <c r="G1483" s="3" t="str">
        <f t="shared" si="118"/>
        <v>58s</v>
      </c>
      <c r="H1483" s="3">
        <f t="shared" si="119"/>
        <v>1.1950813457930091E-2</v>
      </c>
      <c r="I1483" s="3">
        <f t="shared" si="120"/>
        <v>0</v>
      </c>
      <c r="J1483" s="3">
        <f t="shared" si="121"/>
        <v>0</v>
      </c>
      <c r="K1483" s="3" t="str">
        <f t="shared" si="122"/>
        <v>Lu183</v>
      </c>
      <c r="L1483" s="3" cm="1">
        <f t="array" ref="L1483">SUM(($J1483*EXP(-$H1483*12*3600*_xlfn.SEQUENCE(L$1-1))))+$J1483</f>
        <v>0</v>
      </c>
      <c r="M1483" s="3"/>
      <c r="N1483" s="3"/>
    </row>
    <row r="1484" spans="2:14" hidden="1" x14ac:dyDescent="0.2">
      <c r="B1484" s="3">
        <v>72154</v>
      </c>
      <c r="C1484" s="3">
        <v>0</v>
      </c>
      <c r="D1484">
        <v>1481</v>
      </c>
      <c r="E1484" t="str">
        <f>VLOOKUP(B1484,Nuclides!A:F,5,FALSE)</f>
        <v>Hf154</v>
      </c>
      <c r="F1484">
        <f>VLOOKUP(B1484,Nuclides!A:F,4,FALSE)</f>
        <v>2</v>
      </c>
      <c r="G1484" s="3" t="str">
        <f t="shared" si="118"/>
        <v>2s</v>
      </c>
      <c r="H1484" s="3">
        <f t="shared" si="119"/>
        <v>0.34657359027997264</v>
      </c>
      <c r="I1484" s="3">
        <f t="shared" si="120"/>
        <v>0</v>
      </c>
      <c r="J1484" s="3">
        <f t="shared" si="121"/>
        <v>0</v>
      </c>
      <c r="K1484" s="3" t="str">
        <f t="shared" si="122"/>
        <v>Hf154</v>
      </c>
      <c r="L1484" s="3" cm="1">
        <f t="array" ref="L1484">SUM(($J1484*EXP(-$H1484*12*3600*_xlfn.SEQUENCE(L$1-1))))+$J1484</f>
        <v>0</v>
      </c>
      <c r="M1484" s="3"/>
      <c r="N1484" s="3"/>
    </row>
    <row r="1485" spans="2:14" hidden="1" x14ac:dyDescent="0.2">
      <c r="B1485" s="3">
        <v>72155</v>
      </c>
      <c r="C1485" s="3">
        <v>0</v>
      </c>
      <c r="D1485">
        <v>1482</v>
      </c>
      <c r="E1485" t="str">
        <f>VLOOKUP(B1485,Nuclides!A:F,5,FALSE)</f>
        <v>Hf155</v>
      </c>
      <c r="F1485">
        <f>VLOOKUP(B1485,Nuclides!A:F,4,FALSE)</f>
        <v>0.84</v>
      </c>
      <c r="G1485" s="3" t="str">
        <f t="shared" si="118"/>
        <v>0.84s</v>
      </c>
      <c r="H1485" s="3">
        <f t="shared" si="119"/>
        <v>0.82517521495231583</v>
      </c>
      <c r="I1485" s="3">
        <f t="shared" si="120"/>
        <v>0</v>
      </c>
      <c r="J1485" s="3">
        <f t="shared" si="121"/>
        <v>0</v>
      </c>
      <c r="K1485" s="3" t="str">
        <f t="shared" si="122"/>
        <v>Hf155</v>
      </c>
      <c r="L1485" s="3" cm="1">
        <f t="array" ref="L1485">SUM(($J1485*EXP(-$H1485*12*3600*_xlfn.SEQUENCE(L$1-1))))+$J1485</f>
        <v>0</v>
      </c>
      <c r="M1485" s="3"/>
      <c r="N1485" s="3"/>
    </row>
    <row r="1486" spans="2:14" hidden="1" x14ac:dyDescent="0.2">
      <c r="B1486" s="3">
        <v>72156</v>
      </c>
      <c r="C1486" s="3">
        <v>0</v>
      </c>
      <c r="D1486">
        <v>1483</v>
      </c>
      <c r="E1486" t="str">
        <f>VLOOKUP(B1486,Nuclides!A:F,5,FALSE)</f>
        <v>Hf156</v>
      </c>
      <c r="F1486">
        <f>VLOOKUP(B1486,Nuclides!A:F,4,FALSE)</f>
        <v>2.3E-2</v>
      </c>
      <c r="G1486" s="3" t="str">
        <f t="shared" si="118"/>
        <v>0.023s</v>
      </c>
      <c r="H1486" s="3">
        <f t="shared" si="119"/>
        <v>30.136833937388925</v>
      </c>
      <c r="I1486" s="3">
        <f t="shared" si="120"/>
        <v>0</v>
      </c>
      <c r="J1486" s="3">
        <f t="shared" si="121"/>
        <v>0</v>
      </c>
      <c r="K1486" s="3" t="str">
        <f t="shared" si="122"/>
        <v>Hf156</v>
      </c>
      <c r="L1486" s="3" cm="1">
        <f t="array" ref="L1486">SUM(($J1486*EXP(-$H1486*12*3600*_xlfn.SEQUENCE(L$1-1))))+$J1486</f>
        <v>0</v>
      </c>
      <c r="M1486" s="3"/>
      <c r="N1486" s="3"/>
    </row>
    <row r="1487" spans="2:14" hidden="1" x14ac:dyDescent="0.2">
      <c r="B1487" s="3">
        <v>72157</v>
      </c>
      <c r="C1487" s="3">
        <v>0</v>
      </c>
      <c r="D1487">
        <v>1484</v>
      </c>
      <c r="E1487" t="str">
        <f>VLOOKUP(B1487,Nuclides!A:F,5,FALSE)</f>
        <v>Hf157</v>
      </c>
      <c r="F1487">
        <f>VLOOKUP(B1487,Nuclides!A:F,4,FALSE)</f>
        <v>0.115</v>
      </c>
      <c r="G1487" s="3" t="str">
        <f t="shared" si="118"/>
        <v>0.115s</v>
      </c>
      <c r="H1487" s="3">
        <f t="shared" si="119"/>
        <v>6.027366787477785</v>
      </c>
      <c r="I1487" s="3">
        <f t="shared" si="120"/>
        <v>0</v>
      </c>
      <c r="J1487" s="3">
        <f t="shared" si="121"/>
        <v>0</v>
      </c>
      <c r="K1487" s="3" t="str">
        <f t="shared" si="122"/>
        <v>Hf157</v>
      </c>
      <c r="L1487" s="3" cm="1">
        <f t="array" ref="L1487">SUM(($J1487*EXP(-$H1487*12*3600*_xlfn.SEQUENCE(L$1-1))))+$J1487</f>
        <v>0</v>
      </c>
      <c r="M1487" s="3"/>
      <c r="N1487" s="3"/>
    </row>
    <row r="1488" spans="2:14" hidden="1" x14ac:dyDescent="0.2">
      <c r="B1488" s="3">
        <v>72158</v>
      </c>
      <c r="C1488" s="3">
        <v>0</v>
      </c>
      <c r="D1488">
        <v>1485</v>
      </c>
      <c r="E1488" t="str">
        <f>VLOOKUP(B1488,Nuclides!A:F,5,FALSE)</f>
        <v>Hf158</v>
      </c>
      <c r="F1488">
        <f>VLOOKUP(B1488,Nuclides!A:F,4,FALSE)</f>
        <v>2.85</v>
      </c>
      <c r="G1488" s="3" t="str">
        <f t="shared" si="118"/>
        <v>2.85s</v>
      </c>
      <c r="H1488" s="3">
        <f t="shared" si="119"/>
        <v>0.24320953703857728</v>
      </c>
      <c r="I1488" s="3">
        <f t="shared" si="120"/>
        <v>0</v>
      </c>
      <c r="J1488" s="3">
        <f t="shared" si="121"/>
        <v>0</v>
      </c>
      <c r="K1488" s="3" t="str">
        <f t="shared" si="122"/>
        <v>Hf158</v>
      </c>
      <c r="L1488" s="3" cm="1">
        <f t="array" ref="L1488">SUM(($J1488*EXP(-$H1488*12*3600*_xlfn.SEQUENCE(L$1-1))))+$J1488</f>
        <v>0</v>
      </c>
      <c r="M1488" s="3"/>
      <c r="N1488" s="3"/>
    </row>
    <row r="1489" spans="2:14" hidden="1" x14ac:dyDescent="0.2">
      <c r="B1489" s="3">
        <v>72159</v>
      </c>
      <c r="C1489" s="3">
        <v>0</v>
      </c>
      <c r="D1489">
        <v>1486</v>
      </c>
      <c r="E1489" t="str">
        <f>VLOOKUP(B1489,Nuclides!A:F,5,FALSE)</f>
        <v>Hf159</v>
      </c>
      <c r="F1489">
        <f>VLOOKUP(B1489,Nuclides!A:F,4,FALSE)</f>
        <v>5.6</v>
      </c>
      <c r="G1489" s="3" t="str">
        <f t="shared" si="118"/>
        <v>5.6s</v>
      </c>
      <c r="H1489" s="3">
        <f t="shared" si="119"/>
        <v>0.12377628224284738</v>
      </c>
      <c r="I1489" s="3">
        <f t="shared" si="120"/>
        <v>0</v>
      </c>
      <c r="J1489" s="3">
        <f t="shared" si="121"/>
        <v>0</v>
      </c>
      <c r="K1489" s="3" t="str">
        <f t="shared" si="122"/>
        <v>Hf159</v>
      </c>
      <c r="L1489" s="3" cm="1">
        <f t="array" ref="L1489">SUM(($J1489*EXP(-$H1489*12*3600*_xlfn.SEQUENCE(L$1-1))))+$J1489</f>
        <v>0</v>
      </c>
      <c r="M1489" s="3"/>
      <c r="N1489" s="3"/>
    </row>
    <row r="1490" spans="2:14" hidden="1" x14ac:dyDescent="0.2">
      <c r="B1490" s="3">
        <v>72160</v>
      </c>
      <c r="C1490" s="3">
        <v>0</v>
      </c>
      <c r="D1490">
        <v>1487</v>
      </c>
      <c r="E1490" t="str">
        <f>VLOOKUP(B1490,Nuclides!A:F,5,FALSE)</f>
        <v>Hf160</v>
      </c>
      <c r="F1490">
        <f>VLOOKUP(B1490,Nuclides!A:F,4,FALSE)</f>
        <v>13.6</v>
      </c>
      <c r="G1490" s="3" t="str">
        <f t="shared" si="118"/>
        <v>13.6s</v>
      </c>
      <c r="H1490" s="3">
        <f t="shared" si="119"/>
        <v>5.0966704452937155E-2</v>
      </c>
      <c r="I1490" s="3">
        <f t="shared" si="120"/>
        <v>0</v>
      </c>
      <c r="J1490" s="3">
        <f t="shared" si="121"/>
        <v>0</v>
      </c>
      <c r="K1490" s="3" t="str">
        <f t="shared" si="122"/>
        <v>Hf160</v>
      </c>
      <c r="L1490" s="3" cm="1">
        <f t="array" ref="L1490">SUM(($J1490*EXP(-$H1490*12*3600*_xlfn.SEQUENCE(L$1-1))))+$J1490</f>
        <v>0</v>
      </c>
      <c r="M1490" s="3"/>
      <c r="N1490" s="3"/>
    </row>
    <row r="1491" spans="2:14" hidden="1" x14ac:dyDescent="0.2">
      <c r="B1491" s="3">
        <v>72161</v>
      </c>
      <c r="C1491" s="3">
        <v>0</v>
      </c>
      <c r="D1491">
        <v>1488</v>
      </c>
      <c r="E1491" t="str">
        <f>VLOOKUP(B1491,Nuclides!A:F,5,FALSE)</f>
        <v>Hf161</v>
      </c>
      <c r="F1491">
        <f>VLOOKUP(B1491,Nuclides!A:F,4,FALSE)</f>
        <v>18.399999999999999</v>
      </c>
      <c r="G1491" s="3" t="str">
        <f t="shared" si="118"/>
        <v>18.4s</v>
      </c>
      <c r="H1491" s="3">
        <f t="shared" si="119"/>
        <v>3.7671042421736162E-2</v>
      </c>
      <c r="I1491" s="3">
        <f t="shared" si="120"/>
        <v>0</v>
      </c>
      <c r="J1491" s="3">
        <f t="shared" si="121"/>
        <v>0</v>
      </c>
      <c r="K1491" s="3" t="str">
        <f t="shared" si="122"/>
        <v>Hf161</v>
      </c>
      <c r="L1491" s="3" cm="1">
        <f t="array" ref="L1491">SUM(($J1491*EXP(-$H1491*12*3600*_xlfn.SEQUENCE(L$1-1))))+$J1491</f>
        <v>0</v>
      </c>
      <c r="M1491" s="3"/>
      <c r="N1491" s="3"/>
    </row>
    <row r="1492" spans="2:14" hidden="1" x14ac:dyDescent="0.2">
      <c r="B1492" s="3">
        <v>72162</v>
      </c>
      <c r="C1492" s="3">
        <v>0</v>
      </c>
      <c r="D1492">
        <v>1489</v>
      </c>
      <c r="E1492" t="str">
        <f>VLOOKUP(B1492,Nuclides!A:F,5,FALSE)</f>
        <v>Hf162</v>
      </c>
      <c r="F1492">
        <f>VLOOKUP(B1492,Nuclides!A:F,4,FALSE)</f>
        <v>39.4</v>
      </c>
      <c r="G1492" s="3" t="str">
        <f t="shared" si="118"/>
        <v>39.4s</v>
      </c>
      <c r="H1492" s="3">
        <f t="shared" si="119"/>
        <v>1.7592568034516379E-2</v>
      </c>
      <c r="I1492" s="3">
        <f t="shared" si="120"/>
        <v>0</v>
      </c>
      <c r="J1492" s="3">
        <f t="shared" si="121"/>
        <v>0</v>
      </c>
      <c r="K1492" s="3" t="str">
        <f t="shared" si="122"/>
        <v>Hf162</v>
      </c>
      <c r="L1492" s="3" cm="1">
        <f t="array" ref="L1492">SUM(($J1492*EXP(-$H1492*12*3600*_xlfn.SEQUENCE(L$1-1))))+$J1492</f>
        <v>0</v>
      </c>
      <c r="M1492" s="3"/>
      <c r="N1492" s="3"/>
    </row>
    <row r="1493" spans="2:14" hidden="1" x14ac:dyDescent="0.2">
      <c r="B1493" s="3">
        <v>72163</v>
      </c>
      <c r="C1493" s="3">
        <v>0</v>
      </c>
      <c r="D1493">
        <v>1490</v>
      </c>
      <c r="E1493" t="str">
        <f>VLOOKUP(B1493,Nuclides!A:F,5,FALSE)</f>
        <v>Hf163</v>
      </c>
      <c r="F1493">
        <f>VLOOKUP(B1493,Nuclides!A:F,4,FALSE)</f>
        <v>40</v>
      </c>
      <c r="G1493" s="3" t="str">
        <f t="shared" si="118"/>
        <v>40s</v>
      </c>
      <c r="H1493" s="3">
        <f t="shared" si="119"/>
        <v>1.7328679513998631E-2</v>
      </c>
      <c r="I1493" s="3">
        <f t="shared" si="120"/>
        <v>0</v>
      </c>
      <c r="J1493" s="3">
        <f t="shared" si="121"/>
        <v>0</v>
      </c>
      <c r="K1493" s="3" t="str">
        <f t="shared" si="122"/>
        <v>Hf163</v>
      </c>
      <c r="L1493" s="3" cm="1">
        <f t="array" ref="L1493">SUM(($J1493*EXP(-$H1493*12*3600*_xlfn.SEQUENCE(L$1-1))))+$J1493</f>
        <v>0</v>
      </c>
      <c r="M1493" s="3"/>
      <c r="N1493" s="3"/>
    </row>
    <row r="1494" spans="2:14" hidden="1" x14ac:dyDescent="0.2">
      <c r="B1494" s="3">
        <v>72164</v>
      </c>
      <c r="C1494" s="3">
        <v>0</v>
      </c>
      <c r="D1494">
        <v>1491</v>
      </c>
      <c r="E1494" t="str">
        <f>VLOOKUP(B1494,Nuclides!A:F,5,FALSE)</f>
        <v>Hf164</v>
      </c>
      <c r="F1494">
        <f>VLOOKUP(B1494,Nuclides!A:F,4,FALSE)</f>
        <v>111</v>
      </c>
      <c r="G1494" s="3" t="str">
        <f t="shared" si="118"/>
        <v>1.85min</v>
      </c>
      <c r="H1494" s="3">
        <f t="shared" si="119"/>
        <v>6.2445691942337412E-3</v>
      </c>
      <c r="I1494" s="3">
        <f t="shared" si="120"/>
        <v>0</v>
      </c>
      <c r="J1494" s="3">
        <f t="shared" si="121"/>
        <v>0</v>
      </c>
      <c r="K1494" s="3" t="str">
        <f t="shared" si="122"/>
        <v>Hf164</v>
      </c>
      <c r="L1494" s="3" cm="1">
        <f t="array" ref="L1494">SUM(($J1494*EXP(-$H1494*12*3600*_xlfn.SEQUENCE(L$1-1))))+$J1494</f>
        <v>0</v>
      </c>
      <c r="M1494" s="3"/>
      <c r="N1494" s="3"/>
    </row>
    <row r="1495" spans="2:14" hidden="1" x14ac:dyDescent="0.2">
      <c r="B1495" s="3">
        <v>72165</v>
      </c>
      <c r="C1495" s="3">
        <v>0</v>
      </c>
      <c r="D1495">
        <v>1492</v>
      </c>
      <c r="E1495" t="str">
        <f>VLOOKUP(B1495,Nuclides!A:F,5,FALSE)</f>
        <v>Hf165</v>
      </c>
      <c r="F1495">
        <f>VLOOKUP(B1495,Nuclides!A:F,4,FALSE)</f>
        <v>76</v>
      </c>
      <c r="G1495" s="3" t="str">
        <f t="shared" si="118"/>
        <v>1.27min</v>
      </c>
      <c r="H1495" s="3">
        <f t="shared" si="119"/>
        <v>9.1203576389466481E-3</v>
      </c>
      <c r="I1495" s="3">
        <f t="shared" si="120"/>
        <v>0</v>
      </c>
      <c r="J1495" s="3">
        <f t="shared" si="121"/>
        <v>0</v>
      </c>
      <c r="K1495" s="3" t="str">
        <f t="shared" si="122"/>
        <v>Hf165</v>
      </c>
      <c r="L1495" s="3" cm="1">
        <f t="array" ref="L1495">SUM(($J1495*EXP(-$H1495*12*3600*_xlfn.SEQUENCE(L$1-1))))+$J1495</f>
        <v>0</v>
      </c>
      <c r="M1495" s="3"/>
      <c r="N1495" s="3"/>
    </row>
    <row r="1496" spans="2:14" hidden="1" x14ac:dyDescent="0.2">
      <c r="B1496" s="3">
        <v>72166</v>
      </c>
      <c r="C1496" s="3">
        <v>0</v>
      </c>
      <c r="D1496">
        <v>1493</v>
      </c>
      <c r="E1496" t="str">
        <f>VLOOKUP(B1496,Nuclides!A:F,5,FALSE)</f>
        <v>Hf166</v>
      </c>
      <c r="F1496">
        <f>VLOOKUP(B1496,Nuclides!A:F,4,FALSE)</f>
        <v>406.2</v>
      </c>
      <c r="G1496" s="3" t="str">
        <f t="shared" si="118"/>
        <v>6.77min</v>
      </c>
      <c r="H1496" s="3">
        <f t="shared" si="119"/>
        <v>1.706418465189427E-3</v>
      </c>
      <c r="I1496" s="3">
        <f t="shared" si="120"/>
        <v>0</v>
      </c>
      <c r="J1496" s="3">
        <f t="shared" si="121"/>
        <v>0</v>
      </c>
      <c r="K1496" s="3" t="str">
        <f t="shared" si="122"/>
        <v>Hf166</v>
      </c>
      <c r="L1496" s="3" cm="1">
        <f t="array" ref="L1496">SUM(($J1496*EXP(-$H1496*12*3600*_xlfn.SEQUENCE(L$1-1))))+$J1496</f>
        <v>0</v>
      </c>
      <c r="M1496" s="3"/>
      <c r="N1496" s="3"/>
    </row>
    <row r="1497" spans="2:14" hidden="1" x14ac:dyDescent="0.2">
      <c r="B1497" s="3">
        <v>72167</v>
      </c>
      <c r="C1497" s="3">
        <v>0</v>
      </c>
      <c r="D1497">
        <v>1494</v>
      </c>
      <c r="E1497" t="str">
        <f>VLOOKUP(B1497,Nuclides!A:F,5,FALSE)</f>
        <v>Hf167</v>
      </c>
      <c r="F1497">
        <f>VLOOKUP(B1497,Nuclides!A:F,4,FALSE)</f>
        <v>122.99999999999901</v>
      </c>
      <c r="G1497" s="3" t="str">
        <f t="shared" si="118"/>
        <v>2.05min</v>
      </c>
      <c r="H1497" s="3">
        <f t="shared" si="119"/>
        <v>5.6353429313817146E-3</v>
      </c>
      <c r="I1497" s="3">
        <f t="shared" si="120"/>
        <v>0</v>
      </c>
      <c r="J1497" s="3">
        <f t="shared" si="121"/>
        <v>0</v>
      </c>
      <c r="K1497" s="3" t="str">
        <f t="shared" si="122"/>
        <v>Hf167</v>
      </c>
      <c r="L1497" s="3" cm="1">
        <f t="array" ref="L1497">SUM(($J1497*EXP(-$H1497*12*3600*_xlfn.SEQUENCE(L$1-1))))+$J1497</f>
        <v>0</v>
      </c>
      <c r="M1497" s="3"/>
      <c r="N1497" s="3"/>
    </row>
    <row r="1498" spans="2:14" hidden="1" x14ac:dyDescent="0.2">
      <c r="B1498" s="3">
        <v>72168</v>
      </c>
      <c r="C1498" s="3">
        <v>0</v>
      </c>
      <c r="D1498">
        <v>1495</v>
      </c>
      <c r="E1498" t="str">
        <f>VLOOKUP(B1498,Nuclides!A:F,5,FALSE)</f>
        <v>Hf168</v>
      </c>
      <c r="F1498">
        <f>VLOOKUP(B1498,Nuclides!A:F,4,FALSE)</f>
        <v>1557</v>
      </c>
      <c r="G1498" s="3" t="str">
        <f t="shared" si="118"/>
        <v>25.95min</v>
      </c>
      <c r="H1498" s="3">
        <f t="shared" si="119"/>
        <v>4.4518123350028601E-4</v>
      </c>
      <c r="I1498" s="3">
        <f t="shared" si="120"/>
        <v>0</v>
      </c>
      <c r="J1498" s="3">
        <f t="shared" si="121"/>
        <v>0</v>
      </c>
      <c r="K1498" s="3" t="str">
        <f t="shared" si="122"/>
        <v>Hf168</v>
      </c>
      <c r="L1498" s="3" cm="1">
        <f t="array" ref="L1498">SUM(($J1498*EXP(-$H1498*12*3600*_xlfn.SEQUENCE(L$1-1))))+$J1498</f>
        <v>0</v>
      </c>
      <c r="M1498" s="3"/>
      <c r="N1498" s="3"/>
    </row>
    <row r="1499" spans="2:14" hidden="1" x14ac:dyDescent="0.2">
      <c r="B1499" s="3">
        <v>72169</v>
      </c>
      <c r="C1499" s="3">
        <v>0</v>
      </c>
      <c r="D1499">
        <v>1496</v>
      </c>
      <c r="E1499" t="str">
        <f>VLOOKUP(B1499,Nuclides!A:F,5,FALSE)</f>
        <v>Hf169</v>
      </c>
      <c r="F1499">
        <f>VLOOKUP(B1499,Nuclides!A:F,4,FALSE)</f>
        <v>194.4</v>
      </c>
      <c r="G1499" s="3" t="str">
        <f t="shared" si="118"/>
        <v>3.24min</v>
      </c>
      <c r="H1499" s="3">
        <f t="shared" si="119"/>
        <v>3.565571916460624E-3</v>
      </c>
      <c r="I1499" s="3">
        <f t="shared" si="120"/>
        <v>0</v>
      </c>
      <c r="J1499" s="3">
        <f t="shared" si="121"/>
        <v>0</v>
      </c>
      <c r="K1499" s="3" t="str">
        <f t="shared" si="122"/>
        <v>Hf169</v>
      </c>
      <c r="L1499" s="3" cm="1">
        <f t="array" ref="L1499">SUM(($J1499*EXP(-$H1499*12*3600*_xlfn.SEQUENCE(L$1-1))))+$J1499</f>
        <v>0</v>
      </c>
      <c r="M1499" s="3"/>
      <c r="N1499" s="3"/>
    </row>
    <row r="1500" spans="2:14" hidden="1" x14ac:dyDescent="0.2">
      <c r="B1500" s="3">
        <v>72170</v>
      </c>
      <c r="C1500" s="3">
        <v>0</v>
      </c>
      <c r="D1500">
        <v>1497</v>
      </c>
      <c r="E1500" t="str">
        <f>VLOOKUP(B1500,Nuclides!A:F,5,FALSE)</f>
        <v>Hf170</v>
      </c>
      <c r="F1500">
        <f>VLOOKUP(B1500,Nuclides!A:F,4,FALSE)</f>
        <v>57636</v>
      </c>
      <c r="G1500" s="3" t="str">
        <f t="shared" si="118"/>
        <v>16.01h</v>
      </c>
      <c r="H1500" s="3">
        <f t="shared" si="119"/>
        <v>1.2026288787562379E-5</v>
      </c>
      <c r="I1500" s="3">
        <f t="shared" si="120"/>
        <v>0</v>
      </c>
      <c r="J1500" s="3">
        <f t="shared" si="121"/>
        <v>0</v>
      </c>
      <c r="K1500" s="3" t="str">
        <f t="shared" si="122"/>
        <v>Hf170</v>
      </c>
      <c r="L1500" s="3" cm="1">
        <f t="array" ref="L1500">SUM(($J1500*EXP(-$H1500*12*3600*_xlfn.SEQUENCE(L$1-1))))+$J1500</f>
        <v>0</v>
      </c>
      <c r="M1500" s="3"/>
      <c r="N1500" s="3"/>
    </row>
    <row r="1501" spans="2:14" hidden="1" x14ac:dyDescent="0.2">
      <c r="B1501" s="3">
        <v>72171</v>
      </c>
      <c r="C1501" s="3">
        <v>0</v>
      </c>
      <c r="D1501">
        <v>1498</v>
      </c>
      <c r="E1501" t="str">
        <f>VLOOKUP(B1501,Nuclides!A:F,5,FALSE)</f>
        <v>Hf171</v>
      </c>
      <c r="F1501">
        <f>VLOOKUP(B1501,Nuclides!A:F,4,FALSE)</f>
        <v>43560</v>
      </c>
      <c r="G1501" s="3" t="str">
        <f t="shared" si="118"/>
        <v>12.1h</v>
      </c>
      <c r="H1501" s="3">
        <f t="shared" si="119"/>
        <v>1.5912469709824271E-5</v>
      </c>
      <c r="I1501" s="3">
        <f t="shared" si="120"/>
        <v>0</v>
      </c>
      <c r="J1501" s="3">
        <f t="shared" si="121"/>
        <v>0</v>
      </c>
      <c r="K1501" s="3" t="str">
        <f t="shared" si="122"/>
        <v>Hf171</v>
      </c>
      <c r="L1501" s="3" cm="1">
        <f t="array" ref="L1501">SUM(($J1501*EXP(-$H1501*12*3600*_xlfn.SEQUENCE(L$1-1))))+$J1501</f>
        <v>0</v>
      </c>
      <c r="M1501" s="3"/>
      <c r="N1501" s="3"/>
    </row>
    <row r="1502" spans="2:14" hidden="1" x14ac:dyDescent="0.2">
      <c r="B1502" s="3">
        <v>72172</v>
      </c>
      <c r="C1502" s="3">
        <v>0</v>
      </c>
      <c r="D1502">
        <v>1499</v>
      </c>
      <c r="E1502" t="str">
        <f>VLOOKUP(B1502,Nuclides!A:F,5,FALSE)</f>
        <v>Hf172</v>
      </c>
      <c r="F1502">
        <f>VLOOKUP(B1502,Nuclides!A:F,4,FALSE)</f>
        <v>59012712</v>
      </c>
      <c r="G1502" s="3" t="str">
        <f t="shared" si="118"/>
        <v>1.87y</v>
      </c>
      <c r="H1502" s="3">
        <f t="shared" si="119"/>
        <v>1.1745726591246057E-8</v>
      </c>
      <c r="I1502" s="3">
        <f t="shared" si="120"/>
        <v>0</v>
      </c>
      <c r="J1502" s="3">
        <f t="shared" si="121"/>
        <v>0</v>
      </c>
      <c r="K1502" s="3" t="str">
        <f t="shared" si="122"/>
        <v>Hf172</v>
      </c>
      <c r="L1502" s="3" cm="1">
        <f t="array" ref="L1502">SUM(($J1502*EXP(-$H1502*12*3600*_xlfn.SEQUENCE(L$1-1))))+$J1502</f>
        <v>0</v>
      </c>
      <c r="M1502" s="3"/>
      <c r="N1502" s="3"/>
    </row>
    <row r="1503" spans="2:14" hidden="1" x14ac:dyDescent="0.2">
      <c r="B1503" s="3">
        <v>72173</v>
      </c>
      <c r="C1503" s="3">
        <v>0</v>
      </c>
      <c r="D1503">
        <v>1500</v>
      </c>
      <c r="E1503" t="str">
        <f>VLOOKUP(B1503,Nuclides!A:F,5,FALSE)</f>
        <v>Hf173</v>
      </c>
      <c r="F1503">
        <f>VLOOKUP(B1503,Nuclides!A:F,4,FALSE)</f>
        <v>84960</v>
      </c>
      <c r="G1503" s="3" t="str">
        <f t="shared" si="118"/>
        <v>23.6h</v>
      </c>
      <c r="H1503" s="3">
        <f t="shared" si="119"/>
        <v>8.1585120122404098E-6</v>
      </c>
      <c r="I1503" s="3">
        <f t="shared" si="120"/>
        <v>0</v>
      </c>
      <c r="J1503" s="3">
        <f t="shared" si="121"/>
        <v>0</v>
      </c>
      <c r="K1503" s="3" t="str">
        <f t="shared" si="122"/>
        <v>Hf173</v>
      </c>
      <c r="L1503" s="3" cm="1">
        <f t="array" ref="L1503">SUM(($J1503*EXP(-$H1503*12*3600*_xlfn.SEQUENCE(L$1-1))))+$J1503</f>
        <v>0</v>
      </c>
      <c r="M1503" s="3"/>
      <c r="N1503" s="3"/>
    </row>
    <row r="1504" spans="2:14" hidden="1" x14ac:dyDescent="0.2">
      <c r="B1504" s="3">
        <v>72174</v>
      </c>
      <c r="C1504" s="3">
        <v>0</v>
      </c>
      <c r="D1504">
        <v>1501</v>
      </c>
      <c r="E1504" t="str">
        <f>VLOOKUP(B1504,Nuclides!A:F,5,FALSE)</f>
        <v>Hf174</v>
      </c>
      <c r="F1504">
        <f>VLOOKUP(B1504,Nuclides!A:F,4,FALSE)</f>
        <v>6.3115200000000002E+22</v>
      </c>
      <c r="G1504" s="3" t="str">
        <f t="shared" si="118"/>
        <v>2001369863013700y</v>
      </c>
      <c r="H1504" s="3">
        <f t="shared" si="119"/>
        <v>1.0982254362815063E-23</v>
      </c>
      <c r="I1504" s="3">
        <f t="shared" si="120"/>
        <v>0</v>
      </c>
      <c r="J1504" s="3">
        <f t="shared" si="121"/>
        <v>0</v>
      </c>
      <c r="K1504" s="3" t="str">
        <f t="shared" si="122"/>
        <v>Hf174</v>
      </c>
      <c r="L1504" s="3" cm="1">
        <f t="array" ref="L1504">SUM(($J1504*EXP(-$H1504*12*3600*_xlfn.SEQUENCE(L$1-1))))+$J1504</f>
        <v>0</v>
      </c>
      <c r="M1504" s="3"/>
      <c r="N1504" s="3"/>
    </row>
    <row r="1505" spans="2:14" hidden="1" x14ac:dyDescent="0.2">
      <c r="B1505" s="3">
        <v>72175</v>
      </c>
      <c r="C1505" s="3">
        <v>0</v>
      </c>
      <c r="D1505">
        <v>1502</v>
      </c>
      <c r="E1505" t="str">
        <f>VLOOKUP(B1505,Nuclides!A:F,5,FALSE)</f>
        <v>Hf175</v>
      </c>
      <c r="F1505">
        <f>VLOOKUP(B1505,Nuclides!A:F,4,FALSE)</f>
        <v>6048000</v>
      </c>
      <c r="G1505" s="3" t="str">
        <f t="shared" si="118"/>
        <v>70d</v>
      </c>
      <c r="H1505" s="3">
        <f t="shared" si="119"/>
        <v>1.146076687433772E-7</v>
      </c>
      <c r="I1505" s="3">
        <f t="shared" si="120"/>
        <v>0</v>
      </c>
      <c r="J1505" s="3">
        <f t="shared" si="121"/>
        <v>0</v>
      </c>
      <c r="K1505" s="3" t="str">
        <f t="shared" si="122"/>
        <v>Hf175</v>
      </c>
      <c r="L1505" s="3" cm="1">
        <f t="array" ref="L1505">SUM(($J1505*EXP(-$H1505*12*3600*_xlfn.SEQUENCE(L$1-1))))+$J1505</f>
        <v>0</v>
      </c>
      <c r="M1505" s="3"/>
      <c r="N1505" s="3"/>
    </row>
    <row r="1506" spans="2:14" hidden="1" x14ac:dyDescent="0.2">
      <c r="B1506" s="3">
        <v>72176</v>
      </c>
      <c r="C1506" s="3">
        <v>0</v>
      </c>
      <c r="D1506">
        <v>1503</v>
      </c>
      <c r="E1506" t="str">
        <f>VLOOKUP(B1506,Nuclides!A:F,5,FALSE)</f>
        <v>Hf176</v>
      </c>
      <c r="F1506" t="str">
        <f>VLOOKUP(B1506,Nuclides!A:F,4,FALSE)</f>
        <v>STABLE</v>
      </c>
      <c r="G1506" s="3" t="str">
        <f t="shared" si="118"/>
        <v>STABLE</v>
      </c>
      <c r="H1506" s="3" t="e">
        <f t="shared" si="119"/>
        <v>#VALUE!</v>
      </c>
      <c r="I1506" s="3" t="e">
        <f t="shared" si="120"/>
        <v>#VALUE!</v>
      </c>
      <c r="J1506" s="3" t="e">
        <f t="shared" si="121"/>
        <v>#VALUE!</v>
      </c>
      <c r="K1506" s="3" t="str">
        <f t="shared" si="122"/>
        <v>Hf176</v>
      </c>
      <c r="L1506" s="3" t="e" cm="1">
        <f t="array" ref="L1506">SUM(($J1506*EXP(-$H1506*12*3600*_xlfn.SEQUENCE(L$1-1))))+$J1506</f>
        <v>#VALUE!</v>
      </c>
      <c r="M1506" s="3"/>
      <c r="N1506" s="3"/>
    </row>
    <row r="1507" spans="2:14" hidden="1" x14ac:dyDescent="0.2">
      <c r="B1507" s="3">
        <v>72177</v>
      </c>
      <c r="C1507" s="3">
        <v>0</v>
      </c>
      <c r="D1507">
        <v>1504</v>
      </c>
      <c r="E1507" t="str">
        <f>VLOOKUP(B1507,Nuclides!A:F,5,FALSE)</f>
        <v>Hf177</v>
      </c>
      <c r="F1507" t="str">
        <f>VLOOKUP(B1507,Nuclides!A:F,4,FALSE)</f>
        <v>STABLE</v>
      </c>
      <c r="G1507" s="3" t="str">
        <f t="shared" si="118"/>
        <v>STABLE</v>
      </c>
      <c r="H1507" s="3" t="e">
        <f t="shared" si="119"/>
        <v>#VALUE!</v>
      </c>
      <c r="I1507" s="3" t="e">
        <f t="shared" si="120"/>
        <v>#VALUE!</v>
      </c>
      <c r="J1507" s="3" t="e">
        <f t="shared" si="121"/>
        <v>#VALUE!</v>
      </c>
      <c r="K1507" s="3" t="str">
        <f t="shared" si="122"/>
        <v>Hf177</v>
      </c>
      <c r="L1507" s="3" t="e" cm="1">
        <f t="array" ref="L1507">SUM(($J1507*EXP(-$H1507*12*3600*_xlfn.SEQUENCE(L$1-1))))+$J1507</f>
        <v>#VALUE!</v>
      </c>
      <c r="M1507" s="3"/>
      <c r="N1507" s="3"/>
    </row>
    <row r="1508" spans="2:14" hidden="1" x14ac:dyDescent="0.2">
      <c r="B1508" s="3">
        <v>72178</v>
      </c>
      <c r="C1508" s="3">
        <v>0</v>
      </c>
      <c r="D1508">
        <v>1505</v>
      </c>
      <c r="E1508" t="str">
        <f>VLOOKUP(B1508,Nuclides!A:F,5,FALSE)</f>
        <v>Hf178</v>
      </c>
      <c r="F1508" t="str">
        <f>VLOOKUP(B1508,Nuclides!A:F,4,FALSE)</f>
        <v>STABLE</v>
      </c>
      <c r="G1508" s="3" t="str">
        <f t="shared" si="118"/>
        <v>STABLE</v>
      </c>
      <c r="H1508" s="3" t="e">
        <f t="shared" si="119"/>
        <v>#VALUE!</v>
      </c>
      <c r="I1508" s="3" t="e">
        <f t="shared" si="120"/>
        <v>#VALUE!</v>
      </c>
      <c r="J1508" s="3" t="e">
        <f t="shared" si="121"/>
        <v>#VALUE!</v>
      </c>
      <c r="K1508" s="3" t="str">
        <f t="shared" si="122"/>
        <v>Hf178</v>
      </c>
      <c r="L1508" s="3" t="e" cm="1">
        <f t="array" ref="L1508">SUM(($J1508*EXP(-$H1508*12*3600*_xlfn.SEQUENCE(L$1-1))))+$J1508</f>
        <v>#VALUE!</v>
      </c>
      <c r="M1508" s="3"/>
      <c r="N1508" s="3"/>
    </row>
    <row r="1509" spans="2:14" hidden="1" x14ac:dyDescent="0.2">
      <c r="B1509" s="3">
        <v>72179</v>
      </c>
      <c r="C1509" s="3">
        <v>0</v>
      </c>
      <c r="D1509">
        <v>1506</v>
      </c>
      <c r="E1509" t="str">
        <f>VLOOKUP(B1509,Nuclides!A:F,5,FALSE)</f>
        <v>Hf179</v>
      </c>
      <c r="F1509" t="str">
        <f>VLOOKUP(B1509,Nuclides!A:F,4,FALSE)</f>
        <v>STABLE</v>
      </c>
      <c r="G1509" s="3" t="str">
        <f t="shared" si="118"/>
        <v>STABLE</v>
      </c>
      <c r="H1509" s="3" t="e">
        <f t="shared" si="119"/>
        <v>#VALUE!</v>
      </c>
      <c r="I1509" s="3" t="e">
        <f t="shared" si="120"/>
        <v>#VALUE!</v>
      </c>
      <c r="J1509" s="3" t="e">
        <f t="shared" si="121"/>
        <v>#VALUE!</v>
      </c>
      <c r="K1509" s="3" t="str">
        <f t="shared" si="122"/>
        <v>Hf179</v>
      </c>
      <c r="L1509" s="3" t="e" cm="1">
        <f t="array" ref="L1509">SUM(($J1509*EXP(-$H1509*12*3600*_xlfn.SEQUENCE(L$1-1))))+$J1509</f>
        <v>#VALUE!</v>
      </c>
      <c r="M1509" s="3"/>
      <c r="N1509" s="3"/>
    </row>
    <row r="1510" spans="2:14" hidden="1" x14ac:dyDescent="0.2">
      <c r="B1510" s="3">
        <v>72180</v>
      </c>
      <c r="C1510" s="3">
        <v>0</v>
      </c>
      <c r="D1510">
        <v>1507</v>
      </c>
      <c r="E1510" t="str">
        <f>VLOOKUP(B1510,Nuclides!A:F,5,FALSE)</f>
        <v>Hf180</v>
      </c>
      <c r="F1510" t="str">
        <f>VLOOKUP(B1510,Nuclides!A:F,4,FALSE)</f>
        <v>STABLE</v>
      </c>
      <c r="G1510" s="3" t="str">
        <f t="shared" si="118"/>
        <v>STABLE</v>
      </c>
      <c r="H1510" s="3" t="e">
        <f t="shared" si="119"/>
        <v>#VALUE!</v>
      </c>
      <c r="I1510" s="3" t="e">
        <f t="shared" si="120"/>
        <v>#VALUE!</v>
      </c>
      <c r="J1510" s="3" t="e">
        <f t="shared" si="121"/>
        <v>#VALUE!</v>
      </c>
      <c r="K1510" s="3" t="str">
        <f t="shared" si="122"/>
        <v>Hf180</v>
      </c>
      <c r="L1510" s="3" t="e" cm="1">
        <f t="array" ref="L1510">SUM(($J1510*EXP(-$H1510*12*3600*_xlfn.SEQUENCE(L$1-1))))+$J1510</f>
        <v>#VALUE!</v>
      </c>
      <c r="M1510" s="3"/>
      <c r="N1510" s="3"/>
    </row>
    <row r="1511" spans="2:14" hidden="1" x14ac:dyDescent="0.2">
      <c r="B1511" s="3">
        <v>72181</v>
      </c>
      <c r="C1511" s="3">
        <v>0</v>
      </c>
      <c r="D1511">
        <v>1508</v>
      </c>
      <c r="E1511" t="str">
        <f>VLOOKUP(B1511,Nuclides!A:F,5,FALSE)</f>
        <v>Hf181</v>
      </c>
      <c r="F1511">
        <f>VLOOKUP(B1511,Nuclides!A:F,4,FALSE)</f>
        <v>3662496</v>
      </c>
      <c r="G1511" s="3" t="str">
        <f t="shared" si="118"/>
        <v>42.39d</v>
      </c>
      <c r="H1511" s="3">
        <f t="shared" si="119"/>
        <v>1.8925540957858937E-7</v>
      </c>
      <c r="I1511" s="3">
        <f t="shared" si="120"/>
        <v>0</v>
      </c>
      <c r="J1511" s="3">
        <f t="shared" si="121"/>
        <v>0</v>
      </c>
      <c r="K1511" s="3" t="str">
        <f t="shared" si="122"/>
        <v>Hf181</v>
      </c>
      <c r="L1511" s="3" cm="1">
        <f t="array" ref="L1511">SUM(($J1511*EXP(-$H1511*12*3600*_xlfn.SEQUENCE(L$1-1))))+$J1511</f>
        <v>0</v>
      </c>
      <c r="M1511" s="3"/>
      <c r="N1511" s="3"/>
    </row>
    <row r="1512" spans="2:14" hidden="1" x14ac:dyDescent="0.2">
      <c r="B1512" s="3">
        <v>72182</v>
      </c>
      <c r="C1512" s="3">
        <v>0</v>
      </c>
      <c r="D1512">
        <v>1509</v>
      </c>
      <c r="E1512" t="str">
        <f>VLOOKUP(B1512,Nuclides!A:F,5,FALSE)</f>
        <v>Hf182</v>
      </c>
      <c r="F1512">
        <f>VLOOKUP(B1512,Nuclides!A:F,4,FALSE)</f>
        <v>280862640000000</v>
      </c>
      <c r="G1512" s="3" t="str">
        <f t="shared" si="118"/>
        <v>8906095.89y</v>
      </c>
      <c r="H1512" s="3">
        <f t="shared" si="119"/>
        <v>2.467922328722486E-15</v>
      </c>
      <c r="I1512" s="3">
        <f t="shared" si="120"/>
        <v>0</v>
      </c>
      <c r="J1512" s="3">
        <f t="shared" si="121"/>
        <v>0</v>
      </c>
      <c r="K1512" s="3" t="str">
        <f t="shared" si="122"/>
        <v>Hf182</v>
      </c>
      <c r="L1512" s="3" cm="1">
        <f t="array" ref="L1512">SUM(($J1512*EXP(-$H1512*12*3600*_xlfn.SEQUENCE(L$1-1))))+$J1512</f>
        <v>0</v>
      </c>
      <c r="M1512" s="3"/>
      <c r="N1512" s="3"/>
    </row>
    <row r="1513" spans="2:14" hidden="1" x14ac:dyDescent="0.2">
      <c r="B1513" s="3">
        <v>72183</v>
      </c>
      <c r="C1513" s="3">
        <v>0</v>
      </c>
      <c r="D1513">
        <v>1510</v>
      </c>
      <c r="E1513" t="str">
        <f>VLOOKUP(B1513,Nuclides!A:F,5,FALSE)</f>
        <v>Hf183</v>
      </c>
      <c r="F1513">
        <f>VLOOKUP(B1513,Nuclides!A:F,4,FALSE)</f>
        <v>3664.8</v>
      </c>
      <c r="G1513" s="3" t="str">
        <f t="shared" si="118"/>
        <v>1.02h</v>
      </c>
      <c r="H1513" s="3">
        <f t="shared" si="119"/>
        <v>1.8913642778867749E-4</v>
      </c>
      <c r="I1513" s="3">
        <f t="shared" si="120"/>
        <v>0</v>
      </c>
      <c r="J1513" s="3">
        <f t="shared" si="121"/>
        <v>0</v>
      </c>
      <c r="K1513" s="3" t="str">
        <f t="shared" si="122"/>
        <v>Hf183</v>
      </c>
      <c r="L1513" s="3" cm="1">
        <f t="array" ref="L1513">SUM(($J1513*EXP(-$H1513*12*3600*_xlfn.SEQUENCE(L$1-1))))+$J1513</f>
        <v>0</v>
      </c>
      <c r="M1513" s="3"/>
      <c r="N1513" s="3"/>
    </row>
    <row r="1514" spans="2:14" hidden="1" x14ac:dyDescent="0.2">
      <c r="B1514" s="3">
        <v>72184</v>
      </c>
      <c r="C1514" s="3">
        <v>0</v>
      </c>
      <c r="D1514">
        <v>1511</v>
      </c>
      <c r="E1514" t="str">
        <f>VLOOKUP(B1514,Nuclides!A:F,5,FALSE)</f>
        <v>Hf184</v>
      </c>
      <c r="F1514">
        <f>VLOOKUP(B1514,Nuclides!A:F,4,FALSE)</f>
        <v>14832</v>
      </c>
      <c r="G1514" s="3" t="str">
        <f t="shared" si="118"/>
        <v>4.12h</v>
      </c>
      <c r="H1514" s="3">
        <f t="shared" si="119"/>
        <v>4.6733224147784875E-5</v>
      </c>
      <c r="I1514" s="3">
        <f t="shared" si="120"/>
        <v>0</v>
      </c>
      <c r="J1514" s="3">
        <f t="shared" si="121"/>
        <v>0</v>
      </c>
      <c r="K1514" s="3" t="str">
        <f t="shared" si="122"/>
        <v>Hf184</v>
      </c>
      <c r="L1514" s="3" cm="1">
        <f t="array" ref="L1514">SUM(($J1514*EXP(-$H1514*12*3600*_xlfn.SEQUENCE(L$1-1))))+$J1514</f>
        <v>0</v>
      </c>
      <c r="M1514" s="3"/>
      <c r="N1514" s="3"/>
    </row>
    <row r="1515" spans="2:14" hidden="1" x14ac:dyDescent="0.2">
      <c r="B1515" s="3">
        <v>73157</v>
      </c>
      <c r="C1515" s="3">
        <v>0</v>
      </c>
      <c r="D1515">
        <v>1512</v>
      </c>
      <c r="E1515" t="str">
        <f>VLOOKUP(B1515,Nuclides!A:F,5,FALSE)</f>
        <v>Ta157</v>
      </c>
      <c r="F1515">
        <f>VLOOKUP(B1515,Nuclides!A:F,4,FALSE)</f>
        <v>1.01E-2</v>
      </c>
      <c r="G1515" s="3" t="str">
        <f t="shared" si="118"/>
        <v>0.0101s</v>
      </c>
      <c r="H1515" s="3">
        <f t="shared" si="119"/>
        <v>68.628433718806463</v>
      </c>
      <c r="I1515" s="3">
        <f t="shared" si="120"/>
        <v>0</v>
      </c>
      <c r="J1515" s="3">
        <f t="shared" si="121"/>
        <v>0</v>
      </c>
      <c r="K1515" s="3" t="str">
        <f t="shared" si="122"/>
        <v>Ta157</v>
      </c>
      <c r="L1515" s="3" cm="1">
        <f t="array" ref="L1515">SUM(($J1515*EXP(-$H1515*12*3600*_xlfn.SEQUENCE(L$1-1))))+$J1515</f>
        <v>0</v>
      </c>
      <c r="M1515" s="3"/>
      <c r="N1515" s="3"/>
    </row>
    <row r="1516" spans="2:14" hidden="1" x14ac:dyDescent="0.2">
      <c r="B1516" s="3">
        <v>73158</v>
      </c>
      <c r="C1516" s="3">
        <v>0</v>
      </c>
      <c r="D1516">
        <v>1513</v>
      </c>
      <c r="E1516" t="str">
        <f>VLOOKUP(B1516,Nuclides!A:F,5,FALSE)</f>
        <v>Ta158</v>
      </c>
      <c r="F1516">
        <f>VLOOKUP(B1516,Nuclides!A:F,4,FALSE)</f>
        <v>5.5E-2</v>
      </c>
      <c r="G1516" s="3" t="str">
        <f t="shared" si="118"/>
        <v>0.055s</v>
      </c>
      <c r="H1516" s="3">
        <f t="shared" si="119"/>
        <v>12.602676010180824</v>
      </c>
      <c r="I1516" s="3">
        <f t="shared" si="120"/>
        <v>0</v>
      </c>
      <c r="J1516" s="3">
        <f t="shared" si="121"/>
        <v>0</v>
      </c>
      <c r="K1516" s="3" t="str">
        <f t="shared" si="122"/>
        <v>Ta158</v>
      </c>
      <c r="L1516" s="3" cm="1">
        <f t="array" ref="L1516">SUM(($J1516*EXP(-$H1516*12*3600*_xlfn.SEQUENCE(L$1-1))))+$J1516</f>
        <v>0</v>
      </c>
      <c r="M1516" s="3"/>
      <c r="N1516" s="3"/>
    </row>
    <row r="1517" spans="2:14" hidden="1" x14ac:dyDescent="0.2">
      <c r="B1517" s="3">
        <v>73159</v>
      </c>
      <c r="C1517" s="3">
        <v>0</v>
      </c>
      <c r="D1517">
        <v>1514</v>
      </c>
      <c r="E1517" t="str">
        <f>VLOOKUP(B1517,Nuclides!A:F,5,FALSE)</f>
        <v>Ta159</v>
      </c>
      <c r="F1517">
        <f>VLOOKUP(B1517,Nuclides!A:F,4,FALSE)</f>
        <v>0.83</v>
      </c>
      <c r="G1517" s="3" t="str">
        <f t="shared" si="118"/>
        <v>0.83s</v>
      </c>
      <c r="H1517" s="3">
        <f t="shared" si="119"/>
        <v>0.83511708501198234</v>
      </c>
      <c r="I1517" s="3">
        <f t="shared" si="120"/>
        <v>0</v>
      </c>
      <c r="J1517" s="3">
        <f t="shared" si="121"/>
        <v>0</v>
      </c>
      <c r="K1517" s="3" t="str">
        <f t="shared" si="122"/>
        <v>Ta159</v>
      </c>
      <c r="L1517" s="3" cm="1">
        <f t="array" ref="L1517">SUM(($J1517*EXP(-$H1517*12*3600*_xlfn.SEQUENCE(L$1-1))))+$J1517</f>
        <v>0</v>
      </c>
      <c r="M1517" s="3"/>
      <c r="N1517" s="3"/>
    </row>
    <row r="1518" spans="2:14" hidden="1" x14ac:dyDescent="0.2">
      <c r="B1518" s="3">
        <v>73160</v>
      </c>
      <c r="C1518" s="3">
        <v>0</v>
      </c>
      <c r="D1518">
        <v>1515</v>
      </c>
      <c r="E1518" t="str">
        <f>VLOOKUP(B1518,Nuclides!A:F,5,FALSE)</f>
        <v>Ta160</v>
      </c>
      <c r="F1518">
        <f>VLOOKUP(B1518,Nuclides!A:F,4,FALSE)</f>
        <v>1.55</v>
      </c>
      <c r="G1518" s="3" t="str">
        <f t="shared" si="118"/>
        <v>1.55s</v>
      </c>
      <c r="H1518" s="3">
        <f t="shared" si="119"/>
        <v>0.44719172939351309</v>
      </c>
      <c r="I1518" s="3">
        <f t="shared" si="120"/>
        <v>0</v>
      </c>
      <c r="J1518" s="3">
        <f t="shared" si="121"/>
        <v>0</v>
      </c>
      <c r="K1518" s="3" t="str">
        <f t="shared" si="122"/>
        <v>Ta160</v>
      </c>
      <c r="L1518" s="3" cm="1">
        <f t="array" ref="L1518">SUM(($J1518*EXP(-$H1518*12*3600*_xlfn.SEQUENCE(L$1-1))))+$J1518</f>
        <v>0</v>
      </c>
      <c r="M1518" s="3"/>
      <c r="N1518" s="3"/>
    </row>
    <row r="1519" spans="2:14" hidden="1" x14ac:dyDescent="0.2">
      <c r="B1519" s="3">
        <v>73161</v>
      </c>
      <c r="C1519" s="3">
        <v>0</v>
      </c>
      <c r="D1519">
        <v>1516</v>
      </c>
      <c r="E1519" t="e">
        <f>VLOOKUP(B1519,Nuclides!A:F,5,FALSE)</f>
        <v>#N/A</v>
      </c>
      <c r="F1519" t="e">
        <f>VLOOKUP(B1519,Nuclides!A:F,4,FALSE)</f>
        <v>#N/A</v>
      </c>
      <c r="G1519" s="3" t="e">
        <f t="shared" si="118"/>
        <v>#N/A</v>
      </c>
      <c r="H1519" s="3" t="e">
        <f t="shared" si="119"/>
        <v>#N/A</v>
      </c>
      <c r="I1519" s="3" t="e">
        <f t="shared" si="120"/>
        <v>#N/A</v>
      </c>
      <c r="J1519" s="3" t="e">
        <f t="shared" si="121"/>
        <v>#N/A</v>
      </c>
      <c r="K1519" s="3" t="e">
        <f t="shared" si="122"/>
        <v>#N/A</v>
      </c>
      <c r="L1519" s="3" t="e" cm="1">
        <f t="array" ref="L1519">SUM(($J1519*EXP(-$H1519*12*3600*_xlfn.SEQUENCE(L$1-1))))+$J1519</f>
        <v>#N/A</v>
      </c>
      <c r="M1519" s="3"/>
      <c r="N1519" s="3"/>
    </row>
    <row r="1520" spans="2:14" hidden="1" x14ac:dyDescent="0.2">
      <c r="B1520" s="3">
        <v>73162</v>
      </c>
      <c r="C1520" s="3">
        <v>0</v>
      </c>
      <c r="D1520">
        <v>1517</v>
      </c>
      <c r="E1520" t="str">
        <f>VLOOKUP(B1520,Nuclides!A:F,5,FALSE)</f>
        <v>Ta162</v>
      </c>
      <c r="F1520">
        <f>VLOOKUP(B1520,Nuclides!A:F,4,FALSE)</f>
        <v>3.57</v>
      </c>
      <c r="G1520" s="3" t="str">
        <f t="shared" si="118"/>
        <v>3.57s</v>
      </c>
      <c r="H1520" s="3">
        <f t="shared" si="119"/>
        <v>0.19415887410642726</v>
      </c>
      <c r="I1520" s="3">
        <f t="shared" si="120"/>
        <v>0</v>
      </c>
      <c r="J1520" s="3">
        <f t="shared" si="121"/>
        <v>0</v>
      </c>
      <c r="K1520" s="3" t="str">
        <f t="shared" si="122"/>
        <v>Ta162</v>
      </c>
      <c r="L1520" s="3" cm="1">
        <f t="array" ref="L1520">SUM(($J1520*EXP(-$H1520*12*3600*_xlfn.SEQUENCE(L$1-1))))+$J1520</f>
        <v>0</v>
      </c>
      <c r="M1520" s="3"/>
      <c r="N1520" s="3"/>
    </row>
    <row r="1521" spans="2:14" hidden="1" x14ac:dyDescent="0.2">
      <c r="B1521" s="3">
        <v>73163</v>
      </c>
      <c r="C1521" s="3">
        <v>0</v>
      </c>
      <c r="D1521">
        <v>1518</v>
      </c>
      <c r="E1521" t="str">
        <f>VLOOKUP(B1521,Nuclides!A:F,5,FALSE)</f>
        <v>Ta163</v>
      </c>
      <c r="F1521">
        <f>VLOOKUP(B1521,Nuclides!A:F,4,FALSE)</f>
        <v>10.6</v>
      </c>
      <c r="G1521" s="3" t="str">
        <f t="shared" si="118"/>
        <v>10.6s</v>
      </c>
      <c r="H1521" s="3">
        <f t="shared" si="119"/>
        <v>6.539124344905145E-2</v>
      </c>
      <c r="I1521" s="3">
        <f t="shared" si="120"/>
        <v>0</v>
      </c>
      <c r="J1521" s="3">
        <f t="shared" si="121"/>
        <v>0</v>
      </c>
      <c r="K1521" s="3" t="str">
        <f t="shared" si="122"/>
        <v>Ta163</v>
      </c>
      <c r="L1521" s="3" cm="1">
        <f t="array" ref="L1521">SUM(($J1521*EXP(-$H1521*12*3600*_xlfn.SEQUENCE(L$1-1))))+$J1521</f>
        <v>0</v>
      </c>
      <c r="M1521" s="3"/>
      <c r="N1521" s="3"/>
    </row>
    <row r="1522" spans="2:14" hidden="1" x14ac:dyDescent="0.2">
      <c r="B1522" s="3">
        <v>73164</v>
      </c>
      <c r="C1522" s="3">
        <v>0</v>
      </c>
      <c r="D1522">
        <v>1519</v>
      </c>
      <c r="E1522" t="str">
        <f>VLOOKUP(B1522,Nuclides!A:F,5,FALSE)</f>
        <v>Ta164</v>
      </c>
      <c r="F1522">
        <f>VLOOKUP(B1522,Nuclides!A:F,4,FALSE)</f>
        <v>14.2</v>
      </c>
      <c r="G1522" s="3" t="str">
        <f t="shared" si="118"/>
        <v>14.2s</v>
      </c>
      <c r="H1522" s="3">
        <f t="shared" si="119"/>
        <v>4.8813181729573614E-2</v>
      </c>
      <c r="I1522" s="3">
        <f t="shared" si="120"/>
        <v>0</v>
      </c>
      <c r="J1522" s="3">
        <f t="shared" si="121"/>
        <v>0</v>
      </c>
      <c r="K1522" s="3" t="str">
        <f t="shared" si="122"/>
        <v>Ta164</v>
      </c>
      <c r="L1522" s="3" cm="1">
        <f t="array" ref="L1522">SUM(($J1522*EXP(-$H1522*12*3600*_xlfn.SEQUENCE(L$1-1))))+$J1522</f>
        <v>0</v>
      </c>
      <c r="M1522" s="3"/>
      <c r="N1522" s="3"/>
    </row>
    <row r="1523" spans="2:14" hidden="1" x14ac:dyDescent="0.2">
      <c r="B1523" s="3">
        <v>73165</v>
      </c>
      <c r="C1523" s="3">
        <v>0</v>
      </c>
      <c r="D1523">
        <v>1520</v>
      </c>
      <c r="E1523" t="str">
        <f>VLOOKUP(B1523,Nuclides!A:F,5,FALSE)</f>
        <v>Ta165</v>
      </c>
      <c r="F1523">
        <f>VLOOKUP(B1523,Nuclides!A:F,4,FALSE)</f>
        <v>31</v>
      </c>
      <c r="G1523" s="3" t="str">
        <f t="shared" si="118"/>
        <v>31s</v>
      </c>
      <c r="H1523" s="3">
        <f t="shared" si="119"/>
        <v>2.2359586469675653E-2</v>
      </c>
      <c r="I1523" s="3">
        <f t="shared" si="120"/>
        <v>0</v>
      </c>
      <c r="J1523" s="3">
        <f t="shared" si="121"/>
        <v>0</v>
      </c>
      <c r="K1523" s="3" t="str">
        <f t="shared" si="122"/>
        <v>Ta165</v>
      </c>
      <c r="L1523" s="3" cm="1">
        <f t="array" ref="L1523">SUM(($J1523*EXP(-$H1523*12*3600*_xlfn.SEQUENCE(L$1-1))))+$J1523</f>
        <v>0</v>
      </c>
      <c r="M1523" s="3"/>
      <c r="N1523" s="3"/>
    </row>
    <row r="1524" spans="2:14" hidden="1" x14ac:dyDescent="0.2">
      <c r="B1524" s="3">
        <v>73166</v>
      </c>
      <c r="C1524" s="3">
        <v>0</v>
      </c>
      <c r="D1524">
        <v>1521</v>
      </c>
      <c r="E1524" t="str">
        <f>VLOOKUP(B1524,Nuclides!A:F,5,FALSE)</f>
        <v>Ta166</v>
      </c>
      <c r="F1524">
        <f>VLOOKUP(B1524,Nuclides!A:F,4,FALSE)</f>
        <v>34.4</v>
      </c>
      <c r="G1524" s="3" t="str">
        <f t="shared" si="118"/>
        <v>34.4s</v>
      </c>
      <c r="H1524" s="3">
        <f t="shared" si="119"/>
        <v>2.0149627341858874E-2</v>
      </c>
      <c r="I1524" s="3">
        <f t="shared" si="120"/>
        <v>0</v>
      </c>
      <c r="J1524" s="3">
        <f t="shared" si="121"/>
        <v>0</v>
      </c>
      <c r="K1524" s="3" t="str">
        <f t="shared" si="122"/>
        <v>Ta166</v>
      </c>
      <c r="L1524" s="3" cm="1">
        <f t="array" ref="L1524">SUM(($J1524*EXP(-$H1524*12*3600*_xlfn.SEQUENCE(L$1-1))))+$J1524</f>
        <v>0</v>
      </c>
      <c r="M1524" s="3"/>
      <c r="N1524" s="3"/>
    </row>
    <row r="1525" spans="2:14" hidden="1" x14ac:dyDescent="0.2">
      <c r="B1525" s="3">
        <v>73167</v>
      </c>
      <c r="C1525" s="3">
        <v>0</v>
      </c>
      <c r="D1525">
        <v>1522</v>
      </c>
      <c r="E1525" t="str">
        <f>VLOOKUP(B1525,Nuclides!A:F,5,FALSE)</f>
        <v>Ta167</v>
      </c>
      <c r="F1525">
        <f>VLOOKUP(B1525,Nuclides!A:F,4,FALSE)</f>
        <v>80</v>
      </c>
      <c r="G1525" s="3" t="str">
        <f t="shared" si="118"/>
        <v>1.33min</v>
      </c>
      <c r="H1525" s="3">
        <f t="shared" si="119"/>
        <v>8.6643397569993157E-3</v>
      </c>
      <c r="I1525" s="3">
        <f t="shared" si="120"/>
        <v>0</v>
      </c>
      <c r="J1525" s="3">
        <f t="shared" si="121"/>
        <v>0</v>
      </c>
      <c r="K1525" s="3" t="str">
        <f t="shared" si="122"/>
        <v>Ta167</v>
      </c>
      <c r="L1525" s="3" cm="1">
        <f t="array" ref="L1525">SUM(($J1525*EXP(-$H1525*12*3600*_xlfn.SEQUENCE(L$1-1))))+$J1525</f>
        <v>0</v>
      </c>
      <c r="M1525" s="3"/>
      <c r="N1525" s="3"/>
    </row>
    <row r="1526" spans="2:14" hidden="1" x14ac:dyDescent="0.2">
      <c r="B1526" s="3">
        <v>73168</v>
      </c>
      <c r="C1526" s="3">
        <v>0</v>
      </c>
      <c r="D1526">
        <v>1523</v>
      </c>
      <c r="E1526" t="str">
        <f>VLOOKUP(B1526,Nuclides!A:F,5,FALSE)</f>
        <v>Ta168</v>
      </c>
      <c r="F1526">
        <f>VLOOKUP(B1526,Nuclides!A:F,4,FALSE)</f>
        <v>120</v>
      </c>
      <c r="G1526" s="3" t="str">
        <f t="shared" si="118"/>
        <v>2min</v>
      </c>
      <c r="H1526" s="3">
        <f t="shared" si="119"/>
        <v>5.7762265046662105E-3</v>
      </c>
      <c r="I1526" s="3">
        <f t="shared" si="120"/>
        <v>0</v>
      </c>
      <c r="J1526" s="3">
        <f t="shared" si="121"/>
        <v>0</v>
      </c>
      <c r="K1526" s="3" t="str">
        <f t="shared" si="122"/>
        <v>Ta168</v>
      </c>
      <c r="L1526" s="3" cm="1">
        <f t="array" ref="L1526">SUM(($J1526*EXP(-$H1526*12*3600*_xlfn.SEQUENCE(L$1-1))))+$J1526</f>
        <v>0</v>
      </c>
      <c r="M1526" s="3"/>
      <c r="N1526" s="3"/>
    </row>
    <row r="1527" spans="2:14" hidden="1" x14ac:dyDescent="0.2">
      <c r="B1527" s="3">
        <v>73169</v>
      </c>
      <c r="C1527" s="3">
        <v>0</v>
      </c>
      <c r="D1527">
        <v>1524</v>
      </c>
      <c r="E1527" t="str">
        <f>VLOOKUP(B1527,Nuclides!A:F,5,FALSE)</f>
        <v>Ta169</v>
      </c>
      <c r="F1527">
        <f>VLOOKUP(B1527,Nuclides!A:F,4,FALSE)</f>
        <v>294</v>
      </c>
      <c r="G1527" s="3" t="str">
        <f t="shared" si="118"/>
        <v>4.9min</v>
      </c>
      <c r="H1527" s="3">
        <f t="shared" si="119"/>
        <v>2.3576434712923311E-3</v>
      </c>
      <c r="I1527" s="3">
        <f t="shared" si="120"/>
        <v>0</v>
      </c>
      <c r="J1527" s="3">
        <f t="shared" si="121"/>
        <v>0</v>
      </c>
      <c r="K1527" s="3" t="str">
        <f t="shared" si="122"/>
        <v>Ta169</v>
      </c>
      <c r="L1527" s="3" cm="1">
        <f t="array" ref="L1527">SUM(($J1527*EXP(-$H1527*12*3600*_xlfn.SEQUENCE(L$1-1))))+$J1527</f>
        <v>0</v>
      </c>
      <c r="M1527" s="3"/>
      <c r="N1527" s="3"/>
    </row>
    <row r="1528" spans="2:14" hidden="1" x14ac:dyDescent="0.2">
      <c r="B1528" s="3">
        <v>73170</v>
      </c>
      <c r="C1528" s="3">
        <v>0</v>
      </c>
      <c r="D1528">
        <v>1525</v>
      </c>
      <c r="E1528" t="str">
        <f>VLOOKUP(B1528,Nuclides!A:F,5,FALSE)</f>
        <v>Ta170</v>
      </c>
      <c r="F1528">
        <f>VLOOKUP(B1528,Nuclides!A:F,4,FALSE)</f>
        <v>405.599999999999</v>
      </c>
      <c r="G1528" s="3" t="str">
        <f t="shared" si="118"/>
        <v>6.76min</v>
      </c>
      <c r="H1528" s="3">
        <f t="shared" si="119"/>
        <v>1.7089427528598298E-3</v>
      </c>
      <c r="I1528" s="3">
        <f t="shared" si="120"/>
        <v>0</v>
      </c>
      <c r="J1528" s="3">
        <f t="shared" si="121"/>
        <v>0</v>
      </c>
      <c r="K1528" s="3" t="str">
        <f t="shared" si="122"/>
        <v>Ta170</v>
      </c>
      <c r="L1528" s="3" cm="1">
        <f t="array" ref="L1528">SUM(($J1528*EXP(-$H1528*12*3600*_xlfn.SEQUENCE(L$1-1))))+$J1528</f>
        <v>0</v>
      </c>
      <c r="M1528" s="3"/>
      <c r="N1528" s="3"/>
    </row>
    <row r="1529" spans="2:14" hidden="1" x14ac:dyDescent="0.2">
      <c r="B1529" s="3">
        <v>73171</v>
      </c>
      <c r="C1529" s="3">
        <v>0</v>
      </c>
      <c r="D1529">
        <v>1526</v>
      </c>
      <c r="E1529" t="str">
        <f>VLOOKUP(B1529,Nuclides!A:F,5,FALSE)</f>
        <v>Ta171</v>
      </c>
      <c r="F1529">
        <f>VLOOKUP(B1529,Nuclides!A:F,4,FALSE)</f>
        <v>1398</v>
      </c>
      <c r="G1529" s="3" t="str">
        <f t="shared" si="118"/>
        <v>23.3min</v>
      </c>
      <c r="H1529" s="3">
        <f t="shared" si="119"/>
        <v>4.9581343387692799E-4</v>
      </c>
      <c r="I1529" s="3">
        <f t="shared" si="120"/>
        <v>0</v>
      </c>
      <c r="J1529" s="3">
        <f t="shared" si="121"/>
        <v>0</v>
      </c>
      <c r="K1529" s="3" t="str">
        <f t="shared" si="122"/>
        <v>Ta171</v>
      </c>
      <c r="L1529" s="3" cm="1">
        <f t="array" ref="L1529">SUM(($J1529*EXP(-$H1529*12*3600*_xlfn.SEQUENCE(L$1-1))))+$J1529</f>
        <v>0</v>
      </c>
      <c r="M1529" s="3"/>
      <c r="N1529" s="3"/>
    </row>
    <row r="1530" spans="2:14" hidden="1" x14ac:dyDescent="0.2">
      <c r="B1530" s="3">
        <v>73172</v>
      </c>
      <c r="C1530" s="3">
        <v>0</v>
      </c>
      <c r="D1530">
        <v>1527</v>
      </c>
      <c r="E1530" t="str">
        <f>VLOOKUP(B1530,Nuclides!A:F,5,FALSE)</f>
        <v>Ta172</v>
      </c>
      <c r="F1530">
        <f>VLOOKUP(B1530,Nuclides!A:F,4,FALSE)</f>
        <v>2208</v>
      </c>
      <c r="G1530" s="3" t="str">
        <f t="shared" si="118"/>
        <v>36.8min</v>
      </c>
      <c r="H1530" s="3">
        <f t="shared" si="119"/>
        <v>3.1392535351446797E-4</v>
      </c>
      <c r="I1530" s="3">
        <f t="shared" si="120"/>
        <v>0</v>
      </c>
      <c r="J1530" s="3">
        <f t="shared" si="121"/>
        <v>0</v>
      </c>
      <c r="K1530" s="3" t="str">
        <f t="shared" si="122"/>
        <v>Ta172</v>
      </c>
      <c r="L1530" s="3" cm="1">
        <f t="array" ref="L1530">SUM(($J1530*EXP(-$H1530*12*3600*_xlfn.SEQUENCE(L$1-1))))+$J1530</f>
        <v>0</v>
      </c>
      <c r="M1530" s="3"/>
      <c r="N1530" s="3"/>
    </row>
    <row r="1531" spans="2:14" hidden="1" x14ac:dyDescent="0.2">
      <c r="B1531" s="3">
        <v>73173</v>
      </c>
      <c r="C1531" s="3">
        <v>0</v>
      </c>
      <c r="D1531">
        <v>1528</v>
      </c>
      <c r="E1531" t="str">
        <f>VLOOKUP(B1531,Nuclides!A:F,5,FALSE)</f>
        <v>Ta173</v>
      </c>
      <c r="F1531">
        <f>VLOOKUP(B1531,Nuclides!A:F,4,FALSE)</f>
        <v>11304</v>
      </c>
      <c r="G1531" s="3" t="str">
        <f t="shared" si="118"/>
        <v>3.14h</v>
      </c>
      <c r="H1531" s="3">
        <f t="shared" si="119"/>
        <v>6.1318752703462965E-5</v>
      </c>
      <c r="I1531" s="3">
        <f t="shared" si="120"/>
        <v>0</v>
      </c>
      <c r="J1531" s="3">
        <f t="shared" si="121"/>
        <v>0</v>
      </c>
      <c r="K1531" s="3" t="str">
        <f t="shared" si="122"/>
        <v>Ta173</v>
      </c>
      <c r="L1531" s="3" cm="1">
        <f t="array" ref="L1531">SUM(($J1531*EXP(-$H1531*12*3600*_xlfn.SEQUENCE(L$1-1))))+$J1531</f>
        <v>0</v>
      </c>
      <c r="M1531" s="3"/>
      <c r="N1531" s="3"/>
    </row>
    <row r="1532" spans="2:14" hidden="1" x14ac:dyDescent="0.2">
      <c r="B1532" s="3">
        <v>73174</v>
      </c>
      <c r="C1532" s="3">
        <v>0</v>
      </c>
      <c r="D1532">
        <v>1529</v>
      </c>
      <c r="E1532" t="str">
        <f>VLOOKUP(B1532,Nuclides!A:F,5,FALSE)</f>
        <v>Ta174</v>
      </c>
      <c r="F1532">
        <f>VLOOKUP(B1532,Nuclides!A:F,4,FALSE)</f>
        <v>4104</v>
      </c>
      <c r="G1532" s="3" t="str">
        <f t="shared" si="118"/>
        <v>1.14h</v>
      </c>
      <c r="H1532" s="3">
        <f t="shared" si="119"/>
        <v>1.6889551183234535E-4</v>
      </c>
      <c r="I1532" s="3">
        <f t="shared" si="120"/>
        <v>0</v>
      </c>
      <c r="J1532" s="3">
        <f t="shared" si="121"/>
        <v>0</v>
      </c>
      <c r="K1532" s="3" t="str">
        <f t="shared" si="122"/>
        <v>Ta174</v>
      </c>
      <c r="L1532" s="3" cm="1">
        <f t="array" ref="L1532">SUM(($J1532*EXP(-$H1532*12*3600*_xlfn.SEQUENCE(L$1-1))))+$J1532</f>
        <v>0</v>
      </c>
      <c r="M1532" s="3"/>
      <c r="N1532" s="3"/>
    </row>
    <row r="1533" spans="2:14" hidden="1" x14ac:dyDescent="0.2">
      <c r="B1533" s="3">
        <v>73175</v>
      </c>
      <c r="C1533" s="3">
        <v>0</v>
      </c>
      <c r="D1533">
        <v>1530</v>
      </c>
      <c r="E1533" t="str">
        <f>VLOOKUP(B1533,Nuclides!A:F,5,FALSE)</f>
        <v>Ta175</v>
      </c>
      <c r="F1533">
        <f>VLOOKUP(B1533,Nuclides!A:F,4,FALSE)</f>
        <v>37800</v>
      </c>
      <c r="G1533" s="3" t="str">
        <f t="shared" si="118"/>
        <v>10.5h</v>
      </c>
      <c r="H1533" s="3">
        <f t="shared" si="119"/>
        <v>1.833722699894035E-5</v>
      </c>
      <c r="I1533" s="3">
        <f t="shared" si="120"/>
        <v>0</v>
      </c>
      <c r="J1533" s="3">
        <f t="shared" si="121"/>
        <v>0</v>
      </c>
      <c r="K1533" s="3" t="str">
        <f t="shared" si="122"/>
        <v>Ta175</v>
      </c>
      <c r="L1533" s="3" cm="1">
        <f t="array" ref="L1533">SUM(($J1533*EXP(-$H1533*12*3600*_xlfn.SEQUENCE(L$1-1))))+$J1533</f>
        <v>0</v>
      </c>
      <c r="M1533" s="3"/>
      <c r="N1533" s="3"/>
    </row>
    <row r="1534" spans="2:14" hidden="1" x14ac:dyDescent="0.2">
      <c r="B1534" s="3">
        <v>73176</v>
      </c>
      <c r="C1534" s="3">
        <v>0</v>
      </c>
      <c r="D1534">
        <v>1531</v>
      </c>
      <c r="E1534" t="str">
        <f>VLOOKUP(B1534,Nuclides!A:F,5,FALSE)</f>
        <v>Ta176</v>
      </c>
      <c r="F1534">
        <f>VLOOKUP(B1534,Nuclides!A:F,4,FALSE)</f>
        <v>29124</v>
      </c>
      <c r="G1534" s="3" t="str">
        <f t="shared" si="118"/>
        <v>8.09h</v>
      </c>
      <c r="H1534" s="3">
        <f t="shared" si="119"/>
        <v>2.3799861988735931E-5</v>
      </c>
      <c r="I1534" s="3">
        <f t="shared" si="120"/>
        <v>0</v>
      </c>
      <c r="J1534" s="3">
        <f t="shared" si="121"/>
        <v>0</v>
      </c>
      <c r="K1534" s="3" t="str">
        <f t="shared" si="122"/>
        <v>Ta176</v>
      </c>
      <c r="L1534" s="3" cm="1">
        <f t="array" ref="L1534">SUM(($J1534*EXP(-$H1534*12*3600*_xlfn.SEQUENCE(L$1-1))))+$J1534</f>
        <v>0</v>
      </c>
      <c r="M1534" s="3"/>
      <c r="N1534" s="3"/>
    </row>
    <row r="1535" spans="2:14" hidden="1" x14ac:dyDescent="0.2">
      <c r="B1535" s="3">
        <v>73177</v>
      </c>
      <c r="C1535" s="3">
        <v>0</v>
      </c>
      <c r="D1535">
        <v>1532</v>
      </c>
      <c r="E1535" t="str">
        <f>VLOOKUP(B1535,Nuclides!A:F,5,FALSE)</f>
        <v>Ta177</v>
      </c>
      <c r="F1535">
        <f>VLOOKUP(B1535,Nuclides!A:F,4,FALSE)</f>
        <v>203616</v>
      </c>
      <c r="G1535" s="3" t="str">
        <f t="shared" si="118"/>
        <v>2.36d</v>
      </c>
      <c r="H1535" s="3">
        <f t="shared" si="119"/>
        <v>3.4041881804963523E-6</v>
      </c>
      <c r="I1535" s="3">
        <f t="shared" si="120"/>
        <v>0</v>
      </c>
      <c r="J1535" s="3">
        <f t="shared" si="121"/>
        <v>0</v>
      </c>
      <c r="K1535" s="3" t="str">
        <f t="shared" si="122"/>
        <v>Ta177</v>
      </c>
      <c r="L1535" s="3" cm="1">
        <f t="array" ref="L1535">SUM(($J1535*EXP(-$H1535*12*3600*_xlfn.SEQUENCE(L$1-1))))+$J1535</f>
        <v>0</v>
      </c>
      <c r="M1535" s="3"/>
      <c r="N1535" s="3"/>
    </row>
    <row r="1536" spans="2:14" hidden="1" x14ac:dyDescent="0.2">
      <c r="B1536" s="3">
        <v>73178</v>
      </c>
      <c r="C1536" s="3">
        <v>0</v>
      </c>
      <c r="D1536">
        <v>1533</v>
      </c>
      <c r="E1536" t="str">
        <f>VLOOKUP(B1536,Nuclides!A:F,5,FALSE)</f>
        <v>Ta178</v>
      </c>
      <c r="F1536">
        <f>VLOOKUP(B1536,Nuclides!A:F,4,FALSE)</f>
        <v>558.6</v>
      </c>
      <c r="G1536" s="3" t="str">
        <f t="shared" si="118"/>
        <v>9.31min</v>
      </c>
      <c r="H1536" s="3">
        <f t="shared" si="119"/>
        <v>1.2408649848907004E-3</v>
      </c>
      <c r="I1536" s="3">
        <f t="shared" si="120"/>
        <v>0</v>
      </c>
      <c r="J1536" s="3">
        <f t="shared" si="121"/>
        <v>0</v>
      </c>
      <c r="K1536" s="3" t="str">
        <f t="shared" si="122"/>
        <v>Ta178</v>
      </c>
      <c r="L1536" s="3" cm="1">
        <f t="array" ref="L1536">SUM(($J1536*EXP(-$H1536*12*3600*_xlfn.SEQUENCE(L$1-1))))+$J1536</f>
        <v>0</v>
      </c>
      <c r="M1536" s="3"/>
      <c r="N1536" s="3"/>
    </row>
    <row r="1537" spans="2:14" hidden="1" x14ac:dyDescent="0.2">
      <c r="B1537" s="3">
        <v>73179</v>
      </c>
      <c r="C1537" s="3">
        <v>0</v>
      </c>
      <c r="D1537">
        <v>1534</v>
      </c>
      <c r="E1537" t="str">
        <f>VLOOKUP(B1537,Nuclides!A:F,5,FALSE)</f>
        <v>Ta179</v>
      </c>
      <c r="F1537">
        <f>VLOOKUP(B1537,Nuclides!A:F,4,FALSE)</f>
        <v>57434832</v>
      </c>
      <c r="G1537" s="3" t="str">
        <f t="shared" si="118"/>
        <v>1.82y</v>
      </c>
      <c r="H1537" s="3">
        <f t="shared" si="119"/>
        <v>1.206841138770886E-8</v>
      </c>
      <c r="I1537" s="3">
        <f t="shared" si="120"/>
        <v>0</v>
      </c>
      <c r="J1537" s="3">
        <f t="shared" si="121"/>
        <v>0</v>
      </c>
      <c r="K1537" s="3" t="str">
        <f t="shared" si="122"/>
        <v>Ta179</v>
      </c>
      <c r="L1537" s="3" cm="1">
        <f t="array" ref="L1537">SUM(($J1537*EXP(-$H1537*12*3600*_xlfn.SEQUENCE(L$1-1))))+$J1537</f>
        <v>0</v>
      </c>
      <c r="M1537" s="3"/>
      <c r="N1537" s="3"/>
    </row>
    <row r="1538" spans="2:14" hidden="1" x14ac:dyDescent="0.2">
      <c r="B1538" s="3">
        <v>73180</v>
      </c>
      <c r="C1538" s="3">
        <v>0</v>
      </c>
      <c r="D1538">
        <v>1535</v>
      </c>
      <c r="E1538" t="str">
        <f>VLOOKUP(B1538,Nuclides!A:F,5,FALSE)</f>
        <v>Ta180</v>
      </c>
      <c r="F1538">
        <f>VLOOKUP(B1538,Nuclides!A:F,4,FALSE)</f>
        <v>29354.400000000001</v>
      </c>
      <c r="G1538" s="3" t="str">
        <f t="shared" si="118"/>
        <v>8.15h</v>
      </c>
      <c r="H1538" s="3">
        <f t="shared" si="119"/>
        <v>2.3613059049408103E-5</v>
      </c>
      <c r="I1538" s="3">
        <f t="shared" si="120"/>
        <v>0</v>
      </c>
      <c r="J1538" s="3">
        <f t="shared" si="121"/>
        <v>0</v>
      </c>
      <c r="K1538" s="3" t="str">
        <f t="shared" si="122"/>
        <v>Ta180</v>
      </c>
      <c r="L1538" s="3" cm="1">
        <f t="array" ref="L1538">SUM(($J1538*EXP(-$H1538*12*3600*_xlfn.SEQUENCE(L$1-1))))+$J1538</f>
        <v>0</v>
      </c>
      <c r="M1538" s="3"/>
      <c r="N1538" s="3"/>
    </row>
    <row r="1539" spans="2:14" hidden="1" x14ac:dyDescent="0.2">
      <c r="B1539" s="3">
        <v>73181</v>
      </c>
      <c r="C1539" s="3">
        <v>0</v>
      </c>
      <c r="D1539">
        <v>1536</v>
      </c>
      <c r="E1539" t="str">
        <f>VLOOKUP(B1539,Nuclides!A:F,5,FALSE)</f>
        <v>Ta181</v>
      </c>
      <c r="F1539" t="str">
        <f>VLOOKUP(B1539,Nuclides!A:F,4,FALSE)</f>
        <v>STABLE</v>
      </c>
      <c r="G1539" s="3" t="str">
        <f t="shared" si="118"/>
        <v>STABLE</v>
      </c>
      <c r="H1539" s="3" t="e">
        <f t="shared" si="119"/>
        <v>#VALUE!</v>
      </c>
      <c r="I1539" s="3" t="e">
        <f t="shared" si="120"/>
        <v>#VALUE!</v>
      </c>
      <c r="J1539" s="3" t="e">
        <f t="shared" si="121"/>
        <v>#VALUE!</v>
      </c>
      <c r="K1539" s="3" t="str">
        <f t="shared" si="122"/>
        <v>Ta181</v>
      </c>
      <c r="L1539" s="3" t="e" cm="1">
        <f t="array" ref="L1539">SUM(($J1539*EXP(-$H1539*12*3600*_xlfn.SEQUENCE(L$1-1))))+$J1539</f>
        <v>#VALUE!</v>
      </c>
      <c r="M1539" s="3"/>
      <c r="N1539" s="3"/>
    </row>
    <row r="1540" spans="2:14" hidden="1" x14ac:dyDescent="0.2">
      <c r="B1540" s="3">
        <v>73182</v>
      </c>
      <c r="C1540" s="3">
        <v>0</v>
      </c>
      <c r="D1540">
        <v>1537</v>
      </c>
      <c r="E1540" t="str">
        <f>VLOOKUP(B1540,Nuclides!A:F,5,FALSE)</f>
        <v>Ta182</v>
      </c>
      <c r="F1540">
        <f>VLOOKUP(B1540,Nuclides!A:F,4,FALSE)</f>
        <v>9913536</v>
      </c>
      <c r="G1540" s="3" t="str">
        <f t="shared" ref="G1540:G1603" si="123">IF(F1540="STABLE", "STABLE", IF(F1540&lt;60, F1540&amp;"s", IF(F1540&lt;3600, ROUND(F1540/60,2)&amp;"min", IF(F1540&lt;86400, ROUND(F1540/3600,2)&amp;"h", IF(F1540&lt;31536000, ROUND(F1540/86400,2)&amp;"d", ROUND(F1540/31536000,2)&amp;"y")))))</f>
        <v>114.74d</v>
      </c>
      <c r="H1540" s="3">
        <f t="shared" ref="H1540:H1603" si="124">LN(2)/F1540</f>
        <v>6.9919268014959077E-8</v>
      </c>
      <c r="I1540" s="3">
        <f t="shared" ref="I1540:I1603" si="125">100*6240000000000*C1540*(1-EXP(-H1540*2*3600))</f>
        <v>0</v>
      </c>
      <c r="J1540" s="3">
        <f t="shared" ref="J1540:J1603" si="126">I1540*EXP(-H1540*10*3600)</f>
        <v>0</v>
      </c>
      <c r="K1540" s="3" t="str">
        <f t="shared" ref="K1540:K1603" si="127">E1540</f>
        <v>Ta182</v>
      </c>
      <c r="L1540" s="3" cm="1">
        <f t="array" ref="L1540">SUM(($J1540*EXP(-$H1540*12*3600*_xlfn.SEQUENCE(L$1-1))))+$J1540</f>
        <v>0</v>
      </c>
      <c r="M1540" s="3"/>
      <c r="N1540" s="3"/>
    </row>
    <row r="1541" spans="2:14" hidden="1" x14ac:dyDescent="0.2">
      <c r="B1541" s="3">
        <v>73183</v>
      </c>
      <c r="C1541" s="3">
        <v>0</v>
      </c>
      <c r="D1541">
        <v>1538</v>
      </c>
      <c r="E1541" t="str">
        <f>VLOOKUP(B1541,Nuclides!A:F,5,FALSE)</f>
        <v>Ta183</v>
      </c>
      <c r="F1541">
        <f>VLOOKUP(B1541,Nuclides!A:F,4,FALSE)</f>
        <v>440639.99999999901</v>
      </c>
      <c r="G1541" s="3" t="str">
        <f t="shared" si="123"/>
        <v>5.1d</v>
      </c>
      <c r="H1541" s="3">
        <f t="shared" si="124"/>
        <v>1.5730464337326318E-6</v>
      </c>
      <c r="I1541" s="3">
        <f t="shared" si="125"/>
        <v>0</v>
      </c>
      <c r="J1541" s="3">
        <f t="shared" si="126"/>
        <v>0</v>
      </c>
      <c r="K1541" s="3" t="str">
        <f t="shared" si="127"/>
        <v>Ta183</v>
      </c>
      <c r="L1541" s="3" cm="1">
        <f t="array" ref="L1541">SUM(($J1541*EXP(-$H1541*12*3600*_xlfn.SEQUENCE(L$1-1))))+$J1541</f>
        <v>0</v>
      </c>
      <c r="M1541" s="3"/>
      <c r="N1541" s="3"/>
    </row>
    <row r="1542" spans="2:14" hidden="1" x14ac:dyDescent="0.2">
      <c r="B1542" s="3">
        <v>73184</v>
      </c>
      <c r="C1542" s="3">
        <v>0</v>
      </c>
      <c r="D1542">
        <v>1539</v>
      </c>
      <c r="E1542" t="str">
        <f>VLOOKUP(B1542,Nuclides!A:F,5,FALSE)</f>
        <v>Ta184</v>
      </c>
      <c r="F1542">
        <f>VLOOKUP(B1542,Nuclides!A:F,4,FALSE)</f>
        <v>31319.999999999902</v>
      </c>
      <c r="G1542" s="3" t="str">
        <f t="shared" si="123"/>
        <v>8.7h</v>
      </c>
      <c r="H1542" s="3">
        <f t="shared" si="124"/>
        <v>2.2131136033203943E-5</v>
      </c>
      <c r="I1542" s="3">
        <f t="shared" si="125"/>
        <v>0</v>
      </c>
      <c r="J1542" s="3">
        <f t="shared" si="126"/>
        <v>0</v>
      </c>
      <c r="K1542" s="3" t="str">
        <f t="shared" si="127"/>
        <v>Ta184</v>
      </c>
      <c r="L1542" s="3" cm="1">
        <f t="array" ref="L1542">SUM(($J1542*EXP(-$H1542*12*3600*_xlfn.SEQUENCE(L$1-1))))+$J1542</f>
        <v>0</v>
      </c>
      <c r="M1542" s="3"/>
      <c r="N1542" s="3"/>
    </row>
    <row r="1543" spans="2:14" hidden="1" x14ac:dyDescent="0.2">
      <c r="B1543" s="3">
        <v>73185</v>
      </c>
      <c r="C1543" s="3">
        <v>0</v>
      </c>
      <c r="D1543">
        <v>1540</v>
      </c>
      <c r="E1543" t="str">
        <f>VLOOKUP(B1543,Nuclides!A:F,5,FALSE)</f>
        <v>Ta185</v>
      </c>
      <c r="F1543">
        <f>VLOOKUP(B1543,Nuclides!A:F,4,FALSE)</f>
        <v>2964</v>
      </c>
      <c r="G1543" s="3" t="str">
        <f t="shared" si="123"/>
        <v>49.4min</v>
      </c>
      <c r="H1543" s="3">
        <f t="shared" si="124"/>
        <v>2.3385532407555509E-4</v>
      </c>
      <c r="I1543" s="3">
        <f t="shared" si="125"/>
        <v>0</v>
      </c>
      <c r="J1543" s="3">
        <f t="shared" si="126"/>
        <v>0</v>
      </c>
      <c r="K1543" s="3" t="str">
        <f t="shared" si="127"/>
        <v>Ta185</v>
      </c>
      <c r="L1543" s="3" cm="1">
        <f t="array" ref="L1543">SUM(($J1543*EXP(-$H1543*12*3600*_xlfn.SEQUENCE(L$1-1))))+$J1543</f>
        <v>0</v>
      </c>
      <c r="M1543" s="3"/>
      <c r="N1543" s="3"/>
    </row>
    <row r="1544" spans="2:14" hidden="1" x14ac:dyDescent="0.2">
      <c r="B1544" s="3">
        <v>73186</v>
      </c>
      <c r="C1544" s="3">
        <v>0</v>
      </c>
      <c r="D1544">
        <v>1541</v>
      </c>
      <c r="E1544" t="str">
        <f>VLOOKUP(B1544,Nuclides!A:F,5,FALSE)</f>
        <v>Ta186</v>
      </c>
      <c r="F1544">
        <f>VLOOKUP(B1544,Nuclides!A:F,4,FALSE)</f>
        <v>630</v>
      </c>
      <c r="G1544" s="3" t="str">
        <f t="shared" si="123"/>
        <v>10.5min</v>
      </c>
      <c r="H1544" s="3">
        <f t="shared" si="124"/>
        <v>1.1002336199364211E-3</v>
      </c>
      <c r="I1544" s="3">
        <f t="shared" si="125"/>
        <v>0</v>
      </c>
      <c r="J1544" s="3">
        <f t="shared" si="126"/>
        <v>0</v>
      </c>
      <c r="K1544" s="3" t="str">
        <f t="shared" si="127"/>
        <v>Ta186</v>
      </c>
      <c r="L1544" s="3" cm="1">
        <f t="array" ref="L1544">SUM(($J1544*EXP(-$H1544*12*3600*_xlfn.SEQUENCE(L$1-1))))+$J1544</f>
        <v>0</v>
      </c>
      <c r="M1544" s="3"/>
      <c r="N1544" s="3"/>
    </row>
    <row r="1545" spans="2:14" hidden="1" x14ac:dyDescent="0.2">
      <c r="B1545" s="3">
        <v>74158</v>
      </c>
      <c r="C1545" s="3">
        <v>0</v>
      </c>
      <c r="D1545">
        <v>1542</v>
      </c>
      <c r="E1545" t="str">
        <f>VLOOKUP(B1545,Nuclides!A:F,5,FALSE)</f>
        <v>W158</v>
      </c>
      <c r="F1545">
        <f>VLOOKUP(B1545,Nuclides!A:F,4,FALSE)</f>
        <v>1.25E-3</v>
      </c>
      <c r="G1545" s="3" t="str">
        <f t="shared" si="123"/>
        <v>0.00125s</v>
      </c>
      <c r="H1545" s="3">
        <f t="shared" si="124"/>
        <v>554.51774444795626</v>
      </c>
      <c r="I1545" s="3">
        <f t="shared" si="125"/>
        <v>0</v>
      </c>
      <c r="J1545" s="3">
        <f t="shared" si="126"/>
        <v>0</v>
      </c>
      <c r="K1545" s="3" t="str">
        <f t="shared" si="127"/>
        <v>W158</v>
      </c>
      <c r="L1545" s="3" cm="1">
        <f t="array" ref="L1545">SUM(($J1545*EXP(-$H1545*12*3600*_xlfn.SEQUENCE(L$1-1))))+$J1545</f>
        <v>0</v>
      </c>
      <c r="M1545" s="3"/>
      <c r="N1545" s="3"/>
    </row>
    <row r="1546" spans="2:14" hidden="1" x14ac:dyDescent="0.2">
      <c r="B1546" s="3">
        <v>74159</v>
      </c>
      <c r="C1546" s="3">
        <v>0</v>
      </c>
      <c r="D1546">
        <v>1543</v>
      </c>
      <c r="E1546" t="str">
        <f>VLOOKUP(B1546,Nuclides!A:F,5,FALSE)</f>
        <v>W159</v>
      </c>
      <c r="F1546">
        <f>VLOOKUP(B1546,Nuclides!A:F,4,FALSE)</f>
        <v>7.3000000000000001E-3</v>
      </c>
      <c r="G1546" s="3" t="str">
        <f t="shared" si="123"/>
        <v>0.0073s</v>
      </c>
      <c r="H1546" s="3">
        <f t="shared" si="124"/>
        <v>94.951668569855514</v>
      </c>
      <c r="I1546" s="3">
        <f t="shared" si="125"/>
        <v>0</v>
      </c>
      <c r="J1546" s="3">
        <f t="shared" si="126"/>
        <v>0</v>
      </c>
      <c r="K1546" s="3" t="str">
        <f t="shared" si="127"/>
        <v>W159</v>
      </c>
      <c r="L1546" s="3" cm="1">
        <f t="array" ref="L1546">SUM(($J1546*EXP(-$H1546*12*3600*_xlfn.SEQUENCE(L$1-1))))+$J1546</f>
        <v>0</v>
      </c>
      <c r="M1546" s="3"/>
      <c r="N1546" s="3"/>
    </row>
    <row r="1547" spans="2:14" hidden="1" x14ac:dyDescent="0.2">
      <c r="B1547" s="3">
        <v>74160</v>
      </c>
      <c r="C1547" s="3">
        <v>0</v>
      </c>
      <c r="D1547">
        <v>1544</v>
      </c>
      <c r="E1547" t="str">
        <f>VLOOKUP(B1547,Nuclides!A:F,5,FALSE)</f>
        <v>W160</v>
      </c>
      <c r="F1547">
        <f>VLOOKUP(B1547,Nuclides!A:F,4,FALSE)</f>
        <v>9.0999999999999998E-2</v>
      </c>
      <c r="G1547" s="3" t="str">
        <f t="shared" si="123"/>
        <v>0.091s</v>
      </c>
      <c r="H1547" s="3">
        <f t="shared" si="124"/>
        <v>7.6170019841752232</v>
      </c>
      <c r="I1547" s="3">
        <f t="shared" si="125"/>
        <v>0</v>
      </c>
      <c r="J1547" s="3">
        <f t="shared" si="126"/>
        <v>0</v>
      </c>
      <c r="K1547" s="3" t="str">
        <f t="shared" si="127"/>
        <v>W160</v>
      </c>
      <c r="L1547" s="3" cm="1">
        <f t="array" ref="L1547">SUM(($J1547*EXP(-$H1547*12*3600*_xlfn.SEQUENCE(L$1-1))))+$J1547</f>
        <v>0</v>
      </c>
      <c r="M1547" s="3"/>
      <c r="N1547" s="3"/>
    </row>
    <row r="1548" spans="2:14" hidden="1" x14ac:dyDescent="0.2">
      <c r="B1548" s="3">
        <v>74161</v>
      </c>
      <c r="C1548" s="3">
        <v>0</v>
      </c>
      <c r="D1548">
        <v>1545</v>
      </c>
      <c r="E1548" t="str">
        <f>VLOOKUP(B1548,Nuclides!A:F,5,FALSE)</f>
        <v>W161</v>
      </c>
      <c r="F1548">
        <f>VLOOKUP(B1548,Nuclides!A:F,4,FALSE)</f>
        <v>0.40899999999999997</v>
      </c>
      <c r="G1548" s="3" t="str">
        <f t="shared" si="123"/>
        <v>0.409s</v>
      </c>
      <c r="H1548" s="3">
        <f t="shared" si="124"/>
        <v>1.6947363827871524</v>
      </c>
      <c r="I1548" s="3">
        <f t="shared" si="125"/>
        <v>0</v>
      </c>
      <c r="J1548" s="3">
        <f t="shared" si="126"/>
        <v>0</v>
      </c>
      <c r="K1548" s="3" t="str">
        <f t="shared" si="127"/>
        <v>W161</v>
      </c>
      <c r="L1548" s="3" cm="1">
        <f t="array" ref="L1548">SUM(($J1548*EXP(-$H1548*12*3600*_xlfn.SEQUENCE(L$1-1))))+$J1548</f>
        <v>0</v>
      </c>
      <c r="M1548" s="3"/>
      <c r="N1548" s="3"/>
    </row>
    <row r="1549" spans="2:14" hidden="1" x14ac:dyDescent="0.2">
      <c r="B1549" s="3">
        <v>74162</v>
      </c>
      <c r="C1549" s="3">
        <v>0</v>
      </c>
      <c r="D1549">
        <v>1546</v>
      </c>
      <c r="E1549" t="str">
        <f>VLOOKUP(B1549,Nuclides!A:F,5,FALSE)</f>
        <v>W162</v>
      </c>
      <c r="F1549">
        <f>VLOOKUP(B1549,Nuclides!A:F,4,FALSE)</f>
        <v>1.36</v>
      </c>
      <c r="G1549" s="3" t="str">
        <f t="shared" si="123"/>
        <v>1.36s</v>
      </c>
      <c r="H1549" s="3">
        <f t="shared" si="124"/>
        <v>0.5096670445293715</v>
      </c>
      <c r="I1549" s="3">
        <f t="shared" si="125"/>
        <v>0</v>
      </c>
      <c r="J1549" s="3">
        <f t="shared" si="126"/>
        <v>0</v>
      </c>
      <c r="K1549" s="3" t="str">
        <f t="shared" si="127"/>
        <v>W162</v>
      </c>
      <c r="L1549" s="3" cm="1">
        <f t="array" ref="L1549">SUM(($J1549*EXP(-$H1549*12*3600*_xlfn.SEQUENCE(L$1-1))))+$J1549</f>
        <v>0</v>
      </c>
      <c r="M1549" s="3"/>
      <c r="N1549" s="3"/>
    </row>
    <row r="1550" spans="2:14" hidden="1" x14ac:dyDescent="0.2">
      <c r="B1550" s="3">
        <v>74163</v>
      </c>
      <c r="C1550" s="3">
        <v>0</v>
      </c>
      <c r="D1550">
        <v>1547</v>
      </c>
      <c r="E1550" t="str">
        <f>VLOOKUP(B1550,Nuclides!A:F,5,FALSE)</f>
        <v>W163</v>
      </c>
      <c r="F1550">
        <f>VLOOKUP(B1550,Nuclides!A:F,4,FALSE)</f>
        <v>2.67</v>
      </c>
      <c r="G1550" s="3" t="str">
        <f t="shared" si="123"/>
        <v>2.67s</v>
      </c>
      <c r="H1550" s="3">
        <f t="shared" si="124"/>
        <v>0.25960568560297576</v>
      </c>
      <c r="I1550" s="3">
        <f t="shared" si="125"/>
        <v>0</v>
      </c>
      <c r="J1550" s="3">
        <f t="shared" si="126"/>
        <v>0</v>
      </c>
      <c r="K1550" s="3" t="str">
        <f t="shared" si="127"/>
        <v>W163</v>
      </c>
      <c r="L1550" s="3" cm="1">
        <f t="array" ref="L1550">SUM(($J1550*EXP(-$H1550*12*3600*_xlfn.SEQUENCE(L$1-1))))+$J1550</f>
        <v>0</v>
      </c>
      <c r="M1550" s="3"/>
      <c r="N1550" s="3"/>
    </row>
    <row r="1551" spans="2:14" hidden="1" x14ac:dyDescent="0.2">
      <c r="B1551" s="3">
        <v>74164</v>
      </c>
      <c r="C1551" s="3">
        <v>0</v>
      </c>
      <c r="D1551">
        <v>1548</v>
      </c>
      <c r="E1551" t="str">
        <f>VLOOKUP(B1551,Nuclides!A:F,5,FALSE)</f>
        <v>W164</v>
      </c>
      <c r="F1551">
        <f>VLOOKUP(B1551,Nuclides!A:F,4,FALSE)</f>
        <v>6.3</v>
      </c>
      <c r="G1551" s="3" t="str">
        <f t="shared" si="123"/>
        <v>6.3s</v>
      </c>
      <c r="H1551" s="3">
        <f t="shared" si="124"/>
        <v>0.11002336199364211</v>
      </c>
      <c r="I1551" s="3">
        <f t="shared" si="125"/>
        <v>0</v>
      </c>
      <c r="J1551" s="3">
        <f t="shared" si="126"/>
        <v>0</v>
      </c>
      <c r="K1551" s="3" t="str">
        <f t="shared" si="127"/>
        <v>W164</v>
      </c>
      <c r="L1551" s="3" cm="1">
        <f t="array" ref="L1551">SUM(($J1551*EXP(-$H1551*12*3600*_xlfn.SEQUENCE(L$1-1))))+$J1551</f>
        <v>0</v>
      </c>
      <c r="M1551" s="3"/>
      <c r="N1551" s="3"/>
    </row>
    <row r="1552" spans="2:14" hidden="1" x14ac:dyDescent="0.2">
      <c r="B1552" s="3">
        <v>74165</v>
      </c>
      <c r="C1552" s="3">
        <v>0</v>
      </c>
      <c r="D1552">
        <v>1549</v>
      </c>
      <c r="E1552" t="str">
        <f>VLOOKUP(B1552,Nuclides!A:F,5,FALSE)</f>
        <v>W165</v>
      </c>
      <c r="F1552">
        <f>VLOOKUP(B1552,Nuclides!A:F,4,FALSE)</f>
        <v>5.0999999999999996</v>
      </c>
      <c r="G1552" s="3" t="str">
        <f t="shared" si="123"/>
        <v>5.1s</v>
      </c>
      <c r="H1552" s="3">
        <f t="shared" si="124"/>
        <v>0.13591121187449909</v>
      </c>
      <c r="I1552" s="3">
        <f t="shared" si="125"/>
        <v>0</v>
      </c>
      <c r="J1552" s="3">
        <f t="shared" si="126"/>
        <v>0</v>
      </c>
      <c r="K1552" s="3" t="str">
        <f t="shared" si="127"/>
        <v>W165</v>
      </c>
      <c r="L1552" s="3" cm="1">
        <f t="array" ref="L1552">SUM(($J1552*EXP(-$H1552*12*3600*_xlfn.SEQUENCE(L$1-1))))+$J1552</f>
        <v>0</v>
      </c>
      <c r="M1552" s="3"/>
      <c r="N1552" s="3"/>
    </row>
    <row r="1553" spans="2:14" hidden="1" x14ac:dyDescent="0.2">
      <c r="B1553" s="3">
        <v>74166</v>
      </c>
      <c r="C1553" s="3">
        <v>0</v>
      </c>
      <c r="D1553">
        <v>1550</v>
      </c>
      <c r="E1553" t="str">
        <f>VLOOKUP(B1553,Nuclides!A:F,5,FALSE)</f>
        <v>W166</v>
      </c>
      <c r="F1553">
        <f>VLOOKUP(B1553,Nuclides!A:F,4,FALSE)</f>
        <v>19.2</v>
      </c>
      <c r="G1553" s="3" t="str">
        <f t="shared" si="123"/>
        <v>19.2s</v>
      </c>
      <c r="H1553" s="3">
        <f t="shared" si="124"/>
        <v>3.6101415654163818E-2</v>
      </c>
      <c r="I1553" s="3">
        <f t="shared" si="125"/>
        <v>0</v>
      </c>
      <c r="J1553" s="3">
        <f t="shared" si="126"/>
        <v>0</v>
      </c>
      <c r="K1553" s="3" t="str">
        <f t="shared" si="127"/>
        <v>W166</v>
      </c>
      <c r="L1553" s="3" cm="1">
        <f t="array" ref="L1553">SUM(($J1553*EXP(-$H1553*12*3600*_xlfn.SEQUENCE(L$1-1))))+$J1553</f>
        <v>0</v>
      </c>
      <c r="M1553" s="3"/>
      <c r="N1553" s="3"/>
    </row>
    <row r="1554" spans="2:14" hidden="1" x14ac:dyDescent="0.2">
      <c r="B1554" s="3">
        <v>74167</v>
      </c>
      <c r="C1554" s="3">
        <v>0</v>
      </c>
      <c r="D1554">
        <v>1551</v>
      </c>
      <c r="E1554" t="str">
        <f>VLOOKUP(B1554,Nuclides!A:F,5,FALSE)</f>
        <v>W167</v>
      </c>
      <c r="F1554">
        <f>VLOOKUP(B1554,Nuclides!A:F,4,FALSE)</f>
        <v>19.899999999999999</v>
      </c>
      <c r="G1554" s="3" t="str">
        <f t="shared" si="123"/>
        <v>19.9s</v>
      </c>
      <c r="H1554" s="3">
        <f t="shared" si="124"/>
        <v>3.4831516611052528E-2</v>
      </c>
      <c r="I1554" s="3">
        <f t="shared" si="125"/>
        <v>0</v>
      </c>
      <c r="J1554" s="3">
        <f t="shared" si="126"/>
        <v>0</v>
      </c>
      <c r="K1554" s="3" t="str">
        <f t="shared" si="127"/>
        <v>W167</v>
      </c>
      <c r="L1554" s="3" cm="1">
        <f t="array" ref="L1554">SUM(($J1554*EXP(-$H1554*12*3600*_xlfn.SEQUENCE(L$1-1))))+$J1554</f>
        <v>0</v>
      </c>
      <c r="M1554" s="3"/>
      <c r="N1554" s="3"/>
    </row>
    <row r="1555" spans="2:14" hidden="1" x14ac:dyDescent="0.2">
      <c r="B1555" s="3">
        <v>74168</v>
      </c>
      <c r="C1555" s="3">
        <v>0</v>
      </c>
      <c r="D1555">
        <v>1552</v>
      </c>
      <c r="E1555" t="str">
        <f>VLOOKUP(B1555,Nuclides!A:F,5,FALSE)</f>
        <v>W168</v>
      </c>
      <c r="F1555">
        <f>VLOOKUP(B1555,Nuclides!A:F,4,FALSE)</f>
        <v>50.9</v>
      </c>
      <c r="G1555" s="3" t="str">
        <f t="shared" si="123"/>
        <v>50.9s</v>
      </c>
      <c r="H1555" s="3">
        <f t="shared" si="124"/>
        <v>1.361782280078478E-2</v>
      </c>
      <c r="I1555" s="3">
        <f t="shared" si="125"/>
        <v>0</v>
      </c>
      <c r="J1555" s="3">
        <f t="shared" si="126"/>
        <v>0</v>
      </c>
      <c r="K1555" s="3" t="str">
        <f t="shared" si="127"/>
        <v>W168</v>
      </c>
      <c r="L1555" s="3" cm="1">
        <f t="array" ref="L1555">SUM(($J1555*EXP(-$H1555*12*3600*_xlfn.SEQUENCE(L$1-1))))+$J1555</f>
        <v>0</v>
      </c>
      <c r="M1555" s="3"/>
      <c r="N1555" s="3"/>
    </row>
    <row r="1556" spans="2:14" hidden="1" x14ac:dyDescent="0.2">
      <c r="B1556" s="3">
        <v>74169</v>
      </c>
      <c r="C1556" s="3">
        <v>0</v>
      </c>
      <c r="D1556">
        <v>1553</v>
      </c>
      <c r="E1556" t="str">
        <f>VLOOKUP(B1556,Nuclides!A:F,5,FALSE)</f>
        <v>W169</v>
      </c>
      <c r="F1556">
        <f>VLOOKUP(B1556,Nuclides!A:F,4,FALSE)</f>
        <v>74</v>
      </c>
      <c r="G1556" s="3" t="str">
        <f t="shared" si="123"/>
        <v>1.23min</v>
      </c>
      <c r="H1556" s="3">
        <f t="shared" si="124"/>
        <v>9.3668537913506114E-3</v>
      </c>
      <c r="I1556" s="3">
        <f t="shared" si="125"/>
        <v>0</v>
      </c>
      <c r="J1556" s="3">
        <f t="shared" si="126"/>
        <v>0</v>
      </c>
      <c r="K1556" s="3" t="str">
        <f t="shared" si="127"/>
        <v>W169</v>
      </c>
      <c r="L1556" s="3" cm="1">
        <f t="array" ref="L1556">SUM(($J1556*EXP(-$H1556*12*3600*_xlfn.SEQUENCE(L$1-1))))+$J1556</f>
        <v>0</v>
      </c>
      <c r="M1556" s="3"/>
      <c r="N1556" s="3"/>
    </row>
    <row r="1557" spans="2:14" hidden="1" x14ac:dyDescent="0.2">
      <c r="B1557" s="3">
        <v>74170</v>
      </c>
      <c r="C1557" s="3">
        <v>0</v>
      </c>
      <c r="D1557">
        <v>1554</v>
      </c>
      <c r="E1557" t="str">
        <f>VLOOKUP(B1557,Nuclides!A:F,5,FALSE)</f>
        <v>W170</v>
      </c>
      <c r="F1557">
        <f>VLOOKUP(B1557,Nuclides!A:F,4,FALSE)</f>
        <v>145.19999999999999</v>
      </c>
      <c r="G1557" s="3" t="str">
        <f t="shared" si="123"/>
        <v>2.42min</v>
      </c>
      <c r="H1557" s="3">
        <f t="shared" si="124"/>
        <v>4.7737409129472823E-3</v>
      </c>
      <c r="I1557" s="3">
        <f t="shared" si="125"/>
        <v>0</v>
      </c>
      <c r="J1557" s="3">
        <f t="shared" si="126"/>
        <v>0</v>
      </c>
      <c r="K1557" s="3" t="str">
        <f t="shared" si="127"/>
        <v>W170</v>
      </c>
      <c r="L1557" s="3" cm="1">
        <f t="array" ref="L1557">SUM(($J1557*EXP(-$H1557*12*3600*_xlfn.SEQUENCE(L$1-1))))+$J1557</f>
        <v>0</v>
      </c>
      <c r="M1557" s="3"/>
      <c r="N1557" s="3"/>
    </row>
    <row r="1558" spans="2:14" hidden="1" x14ac:dyDescent="0.2">
      <c r="B1558" s="3">
        <v>74171</v>
      </c>
      <c r="C1558" s="3">
        <v>0</v>
      </c>
      <c r="D1558">
        <v>1555</v>
      </c>
      <c r="E1558" t="str">
        <f>VLOOKUP(B1558,Nuclides!A:F,5,FALSE)</f>
        <v>W171</v>
      </c>
      <c r="F1558">
        <f>VLOOKUP(B1558,Nuclides!A:F,4,FALSE)</f>
        <v>142.79999999999899</v>
      </c>
      <c r="G1558" s="3" t="str">
        <f t="shared" si="123"/>
        <v>2.38min</v>
      </c>
      <c r="H1558" s="3">
        <f t="shared" si="124"/>
        <v>4.8539718526607158E-3</v>
      </c>
      <c r="I1558" s="3">
        <f t="shared" si="125"/>
        <v>0</v>
      </c>
      <c r="J1558" s="3">
        <f t="shared" si="126"/>
        <v>0</v>
      </c>
      <c r="K1558" s="3" t="str">
        <f t="shared" si="127"/>
        <v>W171</v>
      </c>
      <c r="L1558" s="3" cm="1">
        <f t="array" ref="L1558">SUM(($J1558*EXP(-$H1558*12*3600*_xlfn.SEQUENCE(L$1-1))))+$J1558</f>
        <v>0</v>
      </c>
      <c r="M1558" s="3"/>
      <c r="N1558" s="3"/>
    </row>
    <row r="1559" spans="2:14" hidden="1" x14ac:dyDescent="0.2">
      <c r="B1559" s="3">
        <v>74172</v>
      </c>
      <c r="C1559" s="3">
        <v>0</v>
      </c>
      <c r="D1559">
        <v>1556</v>
      </c>
      <c r="E1559" t="str">
        <f>VLOOKUP(B1559,Nuclides!A:F,5,FALSE)</f>
        <v>W172</v>
      </c>
      <c r="F1559">
        <f>VLOOKUP(B1559,Nuclides!A:F,4,FALSE)</f>
        <v>396</v>
      </c>
      <c r="G1559" s="3" t="str">
        <f t="shared" si="123"/>
        <v>6.6min</v>
      </c>
      <c r="H1559" s="3">
        <f t="shared" si="124"/>
        <v>1.7503716680806699E-3</v>
      </c>
      <c r="I1559" s="3">
        <f t="shared" si="125"/>
        <v>0</v>
      </c>
      <c r="J1559" s="3">
        <f t="shared" si="126"/>
        <v>0</v>
      </c>
      <c r="K1559" s="3" t="str">
        <f t="shared" si="127"/>
        <v>W172</v>
      </c>
      <c r="L1559" s="3" cm="1">
        <f t="array" ref="L1559">SUM(($J1559*EXP(-$H1559*12*3600*_xlfn.SEQUENCE(L$1-1))))+$J1559</f>
        <v>0</v>
      </c>
      <c r="M1559" s="3"/>
      <c r="N1559" s="3"/>
    </row>
    <row r="1560" spans="2:14" hidden="1" x14ac:dyDescent="0.2">
      <c r="B1560" s="3">
        <v>74173</v>
      </c>
      <c r="C1560" s="3">
        <v>0</v>
      </c>
      <c r="D1560">
        <v>1557</v>
      </c>
      <c r="E1560" t="str">
        <f>VLOOKUP(B1560,Nuclides!A:F,5,FALSE)</f>
        <v>W173</v>
      </c>
      <c r="F1560">
        <f>VLOOKUP(B1560,Nuclides!A:F,4,FALSE)</f>
        <v>456</v>
      </c>
      <c r="G1560" s="3" t="str">
        <f t="shared" si="123"/>
        <v>7.6min</v>
      </c>
      <c r="H1560" s="3">
        <f t="shared" si="124"/>
        <v>1.520059606491108E-3</v>
      </c>
      <c r="I1560" s="3">
        <f t="shared" si="125"/>
        <v>0</v>
      </c>
      <c r="J1560" s="3">
        <f t="shared" si="126"/>
        <v>0</v>
      </c>
      <c r="K1560" s="3" t="str">
        <f t="shared" si="127"/>
        <v>W173</v>
      </c>
      <c r="L1560" s="3" cm="1">
        <f t="array" ref="L1560">SUM(($J1560*EXP(-$H1560*12*3600*_xlfn.SEQUENCE(L$1-1))))+$J1560</f>
        <v>0</v>
      </c>
      <c r="M1560" s="3"/>
      <c r="N1560" s="3"/>
    </row>
    <row r="1561" spans="2:14" hidden="1" x14ac:dyDescent="0.2">
      <c r="B1561" s="3">
        <v>74174</v>
      </c>
      <c r="C1561" s="3">
        <v>0</v>
      </c>
      <c r="D1561">
        <v>1558</v>
      </c>
      <c r="E1561" t="str">
        <f>VLOOKUP(B1561,Nuclides!A:F,5,FALSE)</f>
        <v>W174</v>
      </c>
      <c r="F1561">
        <f>VLOOKUP(B1561,Nuclides!A:F,4,FALSE)</f>
        <v>1992</v>
      </c>
      <c r="G1561" s="3" t="str">
        <f t="shared" si="123"/>
        <v>33.2min</v>
      </c>
      <c r="H1561" s="3">
        <f t="shared" si="124"/>
        <v>3.4796545208832597E-4</v>
      </c>
      <c r="I1561" s="3">
        <f t="shared" si="125"/>
        <v>0</v>
      </c>
      <c r="J1561" s="3">
        <f t="shared" si="126"/>
        <v>0</v>
      </c>
      <c r="K1561" s="3" t="str">
        <f t="shared" si="127"/>
        <v>W174</v>
      </c>
      <c r="L1561" s="3" cm="1">
        <f t="array" ref="L1561">SUM(($J1561*EXP(-$H1561*12*3600*_xlfn.SEQUENCE(L$1-1))))+$J1561</f>
        <v>0</v>
      </c>
      <c r="M1561" s="3"/>
      <c r="N1561" s="3"/>
    </row>
    <row r="1562" spans="2:14" hidden="1" x14ac:dyDescent="0.2">
      <c r="B1562" s="3">
        <v>74175</v>
      </c>
      <c r="C1562" s="3">
        <v>0</v>
      </c>
      <c r="D1562">
        <v>1559</v>
      </c>
      <c r="E1562" t="str">
        <f>VLOOKUP(B1562,Nuclides!A:F,5,FALSE)</f>
        <v>W175</v>
      </c>
      <c r="F1562">
        <f>VLOOKUP(B1562,Nuclides!A:F,4,FALSE)</f>
        <v>2112</v>
      </c>
      <c r="G1562" s="3" t="str">
        <f t="shared" si="123"/>
        <v>35.2min</v>
      </c>
      <c r="H1562" s="3">
        <f t="shared" si="124"/>
        <v>3.2819468776512564E-4</v>
      </c>
      <c r="I1562" s="3">
        <f t="shared" si="125"/>
        <v>0</v>
      </c>
      <c r="J1562" s="3">
        <f t="shared" si="126"/>
        <v>0</v>
      </c>
      <c r="K1562" s="3" t="str">
        <f t="shared" si="127"/>
        <v>W175</v>
      </c>
      <c r="L1562" s="3" cm="1">
        <f t="array" ref="L1562">SUM(($J1562*EXP(-$H1562*12*3600*_xlfn.SEQUENCE(L$1-1))))+$J1562</f>
        <v>0</v>
      </c>
      <c r="M1562" s="3"/>
      <c r="N1562" s="3"/>
    </row>
    <row r="1563" spans="2:14" hidden="1" x14ac:dyDescent="0.2">
      <c r="B1563" s="3">
        <v>74176</v>
      </c>
      <c r="C1563" s="3">
        <v>0</v>
      </c>
      <c r="D1563">
        <v>1560</v>
      </c>
      <c r="E1563" t="str">
        <f>VLOOKUP(B1563,Nuclides!A:F,5,FALSE)</f>
        <v>W176</v>
      </c>
      <c r="F1563">
        <f>VLOOKUP(B1563,Nuclides!A:F,4,FALSE)</f>
        <v>9000</v>
      </c>
      <c r="G1563" s="3" t="str">
        <f t="shared" si="123"/>
        <v>2.5h</v>
      </c>
      <c r="H1563" s="3">
        <f t="shared" si="124"/>
        <v>7.7016353395549473E-5</v>
      </c>
      <c r="I1563" s="3">
        <f t="shared" si="125"/>
        <v>0</v>
      </c>
      <c r="J1563" s="3">
        <f t="shared" si="126"/>
        <v>0</v>
      </c>
      <c r="K1563" s="3" t="str">
        <f t="shared" si="127"/>
        <v>W176</v>
      </c>
      <c r="L1563" s="3" cm="1">
        <f t="array" ref="L1563">SUM(($J1563*EXP(-$H1563*12*3600*_xlfn.SEQUENCE(L$1-1))))+$J1563</f>
        <v>0</v>
      </c>
      <c r="M1563" s="3"/>
      <c r="N1563" s="3"/>
    </row>
    <row r="1564" spans="2:14" hidden="1" x14ac:dyDescent="0.2">
      <c r="B1564" s="3">
        <v>74177</v>
      </c>
      <c r="C1564" s="3">
        <v>0</v>
      </c>
      <c r="D1564">
        <v>1561</v>
      </c>
      <c r="E1564" t="str">
        <f>VLOOKUP(B1564,Nuclides!A:F,5,FALSE)</f>
        <v>W177</v>
      </c>
      <c r="F1564">
        <f>VLOOKUP(B1564,Nuclides!A:F,4,FALSE)</f>
        <v>7920</v>
      </c>
      <c r="G1564" s="3" t="str">
        <f t="shared" si="123"/>
        <v>2.2h</v>
      </c>
      <c r="H1564" s="3">
        <f t="shared" si="124"/>
        <v>8.7518583404033496E-5</v>
      </c>
      <c r="I1564" s="3">
        <f t="shared" si="125"/>
        <v>0</v>
      </c>
      <c r="J1564" s="3">
        <f t="shared" si="126"/>
        <v>0</v>
      </c>
      <c r="K1564" s="3" t="str">
        <f t="shared" si="127"/>
        <v>W177</v>
      </c>
      <c r="L1564" s="3" cm="1">
        <f t="array" ref="L1564">SUM(($J1564*EXP(-$H1564*12*3600*_xlfn.SEQUENCE(L$1-1))))+$J1564</f>
        <v>0</v>
      </c>
      <c r="M1564" s="3"/>
      <c r="N1564" s="3"/>
    </row>
    <row r="1565" spans="2:14" hidden="1" x14ac:dyDescent="0.2">
      <c r="B1565" s="3">
        <v>74178</v>
      </c>
      <c r="C1565" s="3">
        <v>0</v>
      </c>
      <c r="D1565">
        <v>1562</v>
      </c>
      <c r="E1565" t="str">
        <f>VLOOKUP(B1565,Nuclides!A:F,5,FALSE)</f>
        <v>W178</v>
      </c>
      <c r="F1565">
        <f>VLOOKUP(B1565,Nuclides!A:F,4,FALSE)</f>
        <v>1866240</v>
      </c>
      <c r="G1565" s="3" t="str">
        <f t="shared" si="123"/>
        <v>21.6d</v>
      </c>
      <c r="H1565" s="3">
        <f t="shared" si="124"/>
        <v>3.7141374129798167E-7</v>
      </c>
      <c r="I1565" s="3">
        <f t="shared" si="125"/>
        <v>0</v>
      </c>
      <c r="J1565" s="3">
        <f t="shared" si="126"/>
        <v>0</v>
      </c>
      <c r="K1565" s="3" t="str">
        <f t="shared" si="127"/>
        <v>W178</v>
      </c>
      <c r="L1565" s="3" cm="1">
        <f t="array" ref="L1565">SUM(($J1565*EXP(-$H1565*12*3600*_xlfn.SEQUENCE(L$1-1))))+$J1565</f>
        <v>0</v>
      </c>
      <c r="M1565" s="3"/>
      <c r="N1565" s="3"/>
    </row>
    <row r="1566" spans="2:14" hidden="1" x14ac:dyDescent="0.2">
      <c r="B1566" s="3">
        <v>74179</v>
      </c>
      <c r="C1566" s="3">
        <v>0</v>
      </c>
      <c r="D1566">
        <v>1563</v>
      </c>
      <c r="E1566" t="str">
        <f>VLOOKUP(B1566,Nuclides!A:F,5,FALSE)</f>
        <v>W179</v>
      </c>
      <c r="F1566">
        <f>VLOOKUP(B1566,Nuclides!A:F,4,FALSE)</f>
        <v>2223</v>
      </c>
      <c r="G1566" s="3" t="str">
        <f t="shared" si="123"/>
        <v>37.05min</v>
      </c>
      <c r="H1566" s="3">
        <f t="shared" si="124"/>
        <v>3.1180709876740679E-4</v>
      </c>
      <c r="I1566" s="3">
        <f t="shared" si="125"/>
        <v>0</v>
      </c>
      <c r="J1566" s="3">
        <f t="shared" si="126"/>
        <v>0</v>
      </c>
      <c r="K1566" s="3" t="str">
        <f t="shared" si="127"/>
        <v>W179</v>
      </c>
      <c r="L1566" s="3" cm="1">
        <f t="array" ref="L1566">SUM(($J1566*EXP(-$H1566*12*3600*_xlfn.SEQUENCE(L$1-1))))+$J1566</f>
        <v>0</v>
      </c>
      <c r="M1566" s="3"/>
      <c r="N1566" s="3"/>
    </row>
    <row r="1567" spans="2:14" hidden="1" x14ac:dyDescent="0.2">
      <c r="B1567" s="3">
        <v>74180</v>
      </c>
      <c r="C1567" s="3">
        <v>0</v>
      </c>
      <c r="D1567">
        <v>1564</v>
      </c>
      <c r="E1567" t="str">
        <f>VLOOKUP(B1567,Nuclides!A:F,5,FALSE)</f>
        <v>W180</v>
      </c>
      <c r="F1567">
        <f>VLOOKUP(B1567,Nuclides!A:F,4,FALSE)</f>
        <v>2.0828016E+25</v>
      </c>
      <c r="G1567" s="3" t="str">
        <f t="shared" si="123"/>
        <v>660452054794521000y</v>
      </c>
      <c r="H1567" s="3">
        <f t="shared" si="124"/>
        <v>3.3279558675197163E-26</v>
      </c>
      <c r="I1567" s="3">
        <f t="shared" si="125"/>
        <v>0</v>
      </c>
      <c r="J1567" s="3">
        <f t="shared" si="126"/>
        <v>0</v>
      </c>
      <c r="K1567" s="3" t="str">
        <f t="shared" si="127"/>
        <v>W180</v>
      </c>
      <c r="L1567" s="3" cm="1">
        <f t="array" ref="L1567">SUM(($J1567*EXP(-$H1567*12*3600*_xlfn.SEQUENCE(L$1-1))))+$J1567</f>
        <v>0</v>
      </c>
      <c r="M1567" s="3"/>
      <c r="N1567" s="3"/>
    </row>
    <row r="1568" spans="2:14" hidden="1" x14ac:dyDescent="0.2">
      <c r="B1568" s="3">
        <v>74181</v>
      </c>
      <c r="C1568" s="3">
        <v>0</v>
      </c>
      <c r="D1568">
        <v>1565</v>
      </c>
      <c r="E1568" t="str">
        <f>VLOOKUP(B1568,Nuclides!A:F,5,FALSE)</f>
        <v>W181</v>
      </c>
      <c r="F1568">
        <f>VLOOKUP(B1568,Nuclides!A:F,4,FALSE)</f>
        <v>10471680</v>
      </c>
      <c r="G1568" s="3" t="str">
        <f t="shared" si="123"/>
        <v>121.2d</v>
      </c>
      <c r="H1568" s="3">
        <f t="shared" si="124"/>
        <v>6.6192547954095742E-8</v>
      </c>
      <c r="I1568" s="3">
        <f t="shared" si="125"/>
        <v>0</v>
      </c>
      <c r="J1568" s="3">
        <f t="shared" si="126"/>
        <v>0</v>
      </c>
      <c r="K1568" s="3" t="str">
        <f t="shared" si="127"/>
        <v>W181</v>
      </c>
      <c r="L1568" s="3" cm="1">
        <f t="array" ref="L1568">SUM(($J1568*EXP(-$H1568*12*3600*_xlfn.SEQUENCE(L$1-1))))+$J1568</f>
        <v>0</v>
      </c>
      <c r="M1568" s="3"/>
      <c r="N1568" s="3"/>
    </row>
    <row r="1569" spans="2:14" hidden="1" x14ac:dyDescent="0.2">
      <c r="B1569" s="3">
        <v>74182</v>
      </c>
      <c r="C1569" s="3">
        <v>0</v>
      </c>
      <c r="D1569">
        <v>1566</v>
      </c>
      <c r="E1569" t="str">
        <f>VLOOKUP(B1569,Nuclides!A:F,5,FALSE)</f>
        <v>W182</v>
      </c>
      <c r="F1569" t="str">
        <f>VLOOKUP(B1569,Nuclides!A:F,4,FALSE)</f>
        <v>STABLE</v>
      </c>
      <c r="G1569" s="3" t="str">
        <f t="shared" si="123"/>
        <v>STABLE</v>
      </c>
      <c r="H1569" s="3" t="e">
        <f t="shared" si="124"/>
        <v>#VALUE!</v>
      </c>
      <c r="I1569" s="3" t="e">
        <f t="shared" si="125"/>
        <v>#VALUE!</v>
      </c>
      <c r="J1569" s="3" t="e">
        <f t="shared" si="126"/>
        <v>#VALUE!</v>
      </c>
      <c r="K1569" s="3" t="str">
        <f t="shared" si="127"/>
        <v>W182</v>
      </c>
      <c r="L1569" s="3" t="e" cm="1">
        <f t="array" ref="L1569">SUM(($J1569*EXP(-$H1569*12*3600*_xlfn.SEQUENCE(L$1-1))))+$J1569</f>
        <v>#VALUE!</v>
      </c>
      <c r="M1569" s="3"/>
      <c r="N1569" s="3"/>
    </row>
    <row r="1570" spans="2:14" hidden="1" x14ac:dyDescent="0.2">
      <c r="B1570" s="3">
        <v>74183</v>
      </c>
      <c r="C1570" s="3">
        <v>0</v>
      </c>
      <c r="D1570">
        <v>1567</v>
      </c>
      <c r="E1570" t="str">
        <f>VLOOKUP(B1570,Nuclides!A:F,5,FALSE)</f>
        <v>W183</v>
      </c>
      <c r="F1570">
        <f>VLOOKUP(B1570,Nuclides!A:F,4,FALSE)</f>
        <v>2.1143592000000001E+28</v>
      </c>
      <c r="G1570" s="3" t="str">
        <f t="shared" si="123"/>
        <v>6.70458904109589E+20y</v>
      </c>
      <c r="H1570" s="3">
        <f t="shared" si="124"/>
        <v>3.278284884422407E-29</v>
      </c>
      <c r="I1570" s="3">
        <f t="shared" si="125"/>
        <v>0</v>
      </c>
      <c r="J1570" s="3">
        <f t="shared" si="126"/>
        <v>0</v>
      </c>
      <c r="K1570" s="3" t="str">
        <f t="shared" si="127"/>
        <v>W183</v>
      </c>
      <c r="L1570" s="3" cm="1">
        <f t="array" ref="L1570">SUM(($J1570*EXP(-$H1570*12*3600*_xlfn.SEQUENCE(L$1-1))))+$J1570</f>
        <v>0</v>
      </c>
      <c r="M1570" s="3"/>
      <c r="N1570" s="3"/>
    </row>
    <row r="1571" spans="2:14" hidden="1" x14ac:dyDescent="0.2">
      <c r="B1571" s="3">
        <v>74184</v>
      </c>
      <c r="C1571" s="3">
        <v>0</v>
      </c>
      <c r="D1571">
        <v>1568</v>
      </c>
      <c r="E1571" t="str">
        <f>VLOOKUP(B1571,Nuclides!A:F,5,FALSE)</f>
        <v>W184</v>
      </c>
      <c r="F1571" t="str">
        <f>VLOOKUP(B1571,Nuclides!A:F,4,FALSE)</f>
        <v>STABLE</v>
      </c>
      <c r="G1571" s="3" t="str">
        <f t="shared" si="123"/>
        <v>STABLE</v>
      </c>
      <c r="H1571" s="3" t="e">
        <f t="shared" si="124"/>
        <v>#VALUE!</v>
      </c>
      <c r="I1571" s="3" t="e">
        <f t="shared" si="125"/>
        <v>#VALUE!</v>
      </c>
      <c r="J1571" s="3" t="e">
        <f t="shared" si="126"/>
        <v>#VALUE!</v>
      </c>
      <c r="K1571" s="3" t="str">
        <f t="shared" si="127"/>
        <v>W184</v>
      </c>
      <c r="L1571" s="3" t="e" cm="1">
        <f t="array" ref="L1571">SUM(($J1571*EXP(-$H1571*12*3600*_xlfn.SEQUENCE(L$1-1))))+$J1571</f>
        <v>#VALUE!</v>
      </c>
      <c r="M1571" s="3"/>
      <c r="N1571" s="3"/>
    </row>
    <row r="1572" spans="2:14" hidden="1" x14ac:dyDescent="0.2">
      <c r="B1572" s="3">
        <v>74185</v>
      </c>
      <c r="C1572" s="3">
        <v>0</v>
      </c>
      <c r="D1572">
        <v>1569</v>
      </c>
      <c r="E1572" t="str">
        <f>VLOOKUP(B1572,Nuclides!A:F,5,FALSE)</f>
        <v>W185</v>
      </c>
      <c r="F1572">
        <f>VLOOKUP(B1572,Nuclides!A:F,4,FALSE)</f>
        <v>6488639.9999999898</v>
      </c>
      <c r="G1572" s="3" t="str">
        <f t="shared" si="123"/>
        <v>75.1d</v>
      </c>
      <c r="H1572" s="3">
        <f t="shared" si="124"/>
        <v>1.0682472452778185E-7</v>
      </c>
      <c r="I1572" s="3">
        <f t="shared" si="125"/>
        <v>0</v>
      </c>
      <c r="J1572" s="3">
        <f t="shared" si="126"/>
        <v>0</v>
      </c>
      <c r="K1572" s="3" t="str">
        <f t="shared" si="127"/>
        <v>W185</v>
      </c>
      <c r="L1572" s="3" cm="1">
        <f t="array" ref="L1572">SUM(($J1572*EXP(-$H1572*12*3600*_xlfn.SEQUENCE(L$1-1))))+$J1572</f>
        <v>0</v>
      </c>
      <c r="M1572" s="3"/>
      <c r="N1572" s="3"/>
    </row>
    <row r="1573" spans="2:14" hidden="1" x14ac:dyDescent="0.2">
      <c r="B1573" s="3">
        <v>74186</v>
      </c>
      <c r="C1573" s="3">
        <v>0</v>
      </c>
      <c r="D1573">
        <v>1570</v>
      </c>
      <c r="E1573" t="str">
        <f>VLOOKUP(B1573,Nuclides!A:F,5,FALSE)</f>
        <v>W186</v>
      </c>
      <c r="F1573">
        <f>VLOOKUP(B1573,Nuclides!A:F,4,FALSE)</f>
        <v>7.2582479999999996E+26</v>
      </c>
      <c r="G1573" s="3" t="str">
        <f t="shared" si="123"/>
        <v>23015753424657500000y</v>
      </c>
      <c r="H1573" s="3">
        <f t="shared" si="124"/>
        <v>9.5497864024478821E-28</v>
      </c>
      <c r="I1573" s="3">
        <f t="shared" si="125"/>
        <v>0</v>
      </c>
      <c r="J1573" s="3">
        <f t="shared" si="126"/>
        <v>0</v>
      </c>
      <c r="K1573" s="3" t="str">
        <f t="shared" si="127"/>
        <v>W186</v>
      </c>
      <c r="L1573" s="3" cm="1">
        <f t="array" ref="L1573">SUM(($J1573*EXP(-$H1573*12*3600*_xlfn.SEQUENCE(L$1-1))))+$J1573</f>
        <v>0</v>
      </c>
      <c r="M1573" s="3"/>
      <c r="N1573" s="3"/>
    </row>
    <row r="1574" spans="2:14" hidden="1" x14ac:dyDescent="0.2">
      <c r="B1574" s="3">
        <v>74187</v>
      </c>
      <c r="C1574" s="3">
        <v>0</v>
      </c>
      <c r="D1574">
        <v>1571</v>
      </c>
      <c r="E1574" t="str">
        <f>VLOOKUP(B1574,Nuclides!A:F,5,FALSE)</f>
        <v>W187</v>
      </c>
      <c r="F1574">
        <f>VLOOKUP(B1574,Nuclides!A:F,4,FALSE)</f>
        <v>86400</v>
      </c>
      <c r="G1574" s="3" t="str">
        <f t="shared" si="123"/>
        <v>1d</v>
      </c>
      <c r="H1574" s="3">
        <f t="shared" si="124"/>
        <v>8.0225368120364038E-6</v>
      </c>
      <c r="I1574" s="3">
        <f t="shared" si="125"/>
        <v>0</v>
      </c>
      <c r="J1574" s="3">
        <f t="shared" si="126"/>
        <v>0</v>
      </c>
      <c r="K1574" s="3" t="str">
        <f t="shared" si="127"/>
        <v>W187</v>
      </c>
      <c r="L1574" s="3" cm="1">
        <f t="array" ref="L1574">SUM(($J1574*EXP(-$H1574*12*3600*_xlfn.SEQUENCE(L$1-1))))+$J1574</f>
        <v>0</v>
      </c>
      <c r="M1574" s="3"/>
      <c r="N1574" s="3"/>
    </row>
    <row r="1575" spans="2:14" hidden="1" x14ac:dyDescent="0.2">
      <c r="B1575" s="3">
        <v>74188</v>
      </c>
      <c r="C1575" s="3">
        <v>0</v>
      </c>
      <c r="D1575">
        <v>1572</v>
      </c>
      <c r="E1575" t="str">
        <f>VLOOKUP(B1575,Nuclides!A:F,5,FALSE)</f>
        <v>W188</v>
      </c>
      <c r="F1575">
        <f>VLOOKUP(B1575,Nuclides!A:F,4,FALSE)</f>
        <v>6028992</v>
      </c>
      <c r="G1575" s="3" t="str">
        <f t="shared" si="123"/>
        <v>69.78d</v>
      </c>
      <c r="H1575" s="3">
        <f t="shared" si="124"/>
        <v>1.1496899988587567E-7</v>
      </c>
      <c r="I1575" s="3">
        <f t="shared" si="125"/>
        <v>0</v>
      </c>
      <c r="J1575" s="3">
        <f t="shared" si="126"/>
        <v>0</v>
      </c>
      <c r="K1575" s="3" t="str">
        <f t="shared" si="127"/>
        <v>W188</v>
      </c>
      <c r="L1575" s="3" cm="1">
        <f t="array" ref="L1575">SUM(($J1575*EXP(-$H1575*12*3600*_xlfn.SEQUENCE(L$1-1))))+$J1575</f>
        <v>0</v>
      </c>
      <c r="M1575" s="3"/>
      <c r="N1575" s="3"/>
    </row>
    <row r="1576" spans="2:14" hidden="1" x14ac:dyDescent="0.2">
      <c r="B1576" s="3">
        <v>74189</v>
      </c>
      <c r="C1576" s="3">
        <v>0</v>
      </c>
      <c r="D1576">
        <v>1573</v>
      </c>
      <c r="E1576" t="str">
        <f>VLOOKUP(B1576,Nuclides!A:F,5,FALSE)</f>
        <v>W189</v>
      </c>
      <c r="F1576">
        <f>VLOOKUP(B1576,Nuclides!A:F,4,FALSE)</f>
        <v>642</v>
      </c>
      <c r="G1576" s="3" t="str">
        <f t="shared" si="123"/>
        <v>10.7min</v>
      </c>
      <c r="H1576" s="3">
        <f t="shared" si="124"/>
        <v>1.079668505545086E-3</v>
      </c>
      <c r="I1576" s="3">
        <f t="shared" si="125"/>
        <v>0</v>
      </c>
      <c r="J1576" s="3">
        <f t="shared" si="126"/>
        <v>0</v>
      </c>
      <c r="K1576" s="3" t="str">
        <f t="shared" si="127"/>
        <v>W189</v>
      </c>
      <c r="L1576" s="3" cm="1">
        <f t="array" ref="L1576">SUM(($J1576*EXP(-$H1576*12*3600*_xlfn.SEQUENCE(L$1-1))))+$J1576</f>
        <v>0</v>
      </c>
      <c r="M1576" s="3"/>
      <c r="N1576" s="3"/>
    </row>
    <row r="1577" spans="2:14" hidden="1" x14ac:dyDescent="0.2">
      <c r="B1577" s="3">
        <v>74190</v>
      </c>
      <c r="C1577" s="3">
        <v>0</v>
      </c>
      <c r="D1577">
        <v>1574</v>
      </c>
      <c r="E1577" t="str">
        <f>VLOOKUP(B1577,Nuclides!A:F,5,FALSE)</f>
        <v>W190</v>
      </c>
      <c r="F1577">
        <f>VLOOKUP(B1577,Nuclides!A:F,4,FALSE)</f>
        <v>1800</v>
      </c>
      <c r="G1577" s="3" t="str">
        <f t="shared" si="123"/>
        <v>30min</v>
      </c>
      <c r="H1577" s="3">
        <f t="shared" si="124"/>
        <v>3.8508176697774738E-4</v>
      </c>
      <c r="I1577" s="3">
        <f t="shared" si="125"/>
        <v>0</v>
      </c>
      <c r="J1577" s="3">
        <f t="shared" si="126"/>
        <v>0</v>
      </c>
      <c r="K1577" s="3" t="str">
        <f t="shared" si="127"/>
        <v>W190</v>
      </c>
      <c r="L1577" s="3" cm="1">
        <f t="array" ref="L1577">SUM(($J1577*EXP(-$H1577*12*3600*_xlfn.SEQUENCE(L$1-1))))+$J1577</f>
        <v>0</v>
      </c>
      <c r="M1577" s="3"/>
      <c r="N1577" s="3"/>
    </row>
    <row r="1578" spans="2:14" hidden="1" x14ac:dyDescent="0.2">
      <c r="B1578" s="3">
        <v>75161</v>
      </c>
      <c r="C1578" s="3">
        <v>0</v>
      </c>
      <c r="D1578">
        <v>1575</v>
      </c>
      <c r="E1578" t="str">
        <f>VLOOKUP(B1578,Nuclides!A:F,5,FALSE)</f>
        <v>Re161</v>
      </c>
      <c r="F1578">
        <f>VLOOKUP(B1578,Nuclides!A:F,4,FALSE)</f>
        <v>4.4000000000000002E-4</v>
      </c>
      <c r="G1578" s="3" t="str">
        <f t="shared" si="123"/>
        <v>0.00044s</v>
      </c>
      <c r="H1578" s="3">
        <f t="shared" si="124"/>
        <v>1575.3345012726029</v>
      </c>
      <c r="I1578" s="3">
        <f t="shared" si="125"/>
        <v>0</v>
      </c>
      <c r="J1578" s="3">
        <f t="shared" si="126"/>
        <v>0</v>
      </c>
      <c r="K1578" s="3" t="str">
        <f t="shared" si="127"/>
        <v>Re161</v>
      </c>
      <c r="L1578" s="3" cm="1">
        <f t="array" ref="L1578">SUM(($J1578*EXP(-$H1578*12*3600*_xlfn.SEQUENCE(L$1-1))))+$J1578</f>
        <v>0</v>
      </c>
      <c r="M1578" s="3"/>
      <c r="N1578" s="3"/>
    </row>
    <row r="1579" spans="2:14" hidden="1" x14ac:dyDescent="0.2">
      <c r="B1579" s="3">
        <v>75162</v>
      </c>
      <c r="C1579" s="3">
        <v>0</v>
      </c>
      <c r="D1579">
        <v>1576</v>
      </c>
      <c r="E1579" t="str">
        <f>VLOOKUP(B1579,Nuclides!A:F,5,FALSE)</f>
        <v>Re162</v>
      </c>
      <c r="F1579">
        <f>VLOOKUP(B1579,Nuclides!A:F,4,FALSE)</f>
        <v>0.107</v>
      </c>
      <c r="G1579" s="3" t="str">
        <f t="shared" si="123"/>
        <v>0.107s</v>
      </c>
      <c r="H1579" s="3">
        <f t="shared" si="124"/>
        <v>6.4780110332705165</v>
      </c>
      <c r="I1579" s="3">
        <f t="shared" si="125"/>
        <v>0</v>
      </c>
      <c r="J1579" s="3">
        <f t="shared" si="126"/>
        <v>0</v>
      </c>
      <c r="K1579" s="3" t="str">
        <f t="shared" si="127"/>
        <v>Re162</v>
      </c>
      <c r="L1579" s="3" cm="1">
        <f t="array" ref="L1579">SUM(($J1579*EXP(-$H1579*12*3600*_xlfn.SEQUENCE(L$1-1))))+$J1579</f>
        <v>0</v>
      </c>
      <c r="M1579" s="3"/>
      <c r="N1579" s="3"/>
    </row>
    <row r="1580" spans="2:14" hidden="1" x14ac:dyDescent="0.2">
      <c r="B1580" s="3">
        <v>75163</v>
      </c>
      <c r="C1580" s="3">
        <v>0</v>
      </c>
      <c r="D1580">
        <v>1577</v>
      </c>
      <c r="E1580" t="str">
        <f>VLOOKUP(B1580,Nuclides!A:F,5,FALSE)</f>
        <v>Re163</v>
      </c>
      <c r="F1580">
        <f>VLOOKUP(B1580,Nuclides!A:F,4,FALSE)</f>
        <v>0.39</v>
      </c>
      <c r="G1580" s="3" t="str">
        <f t="shared" si="123"/>
        <v>0.39s</v>
      </c>
      <c r="H1580" s="3">
        <f t="shared" si="124"/>
        <v>1.7773004629742186</v>
      </c>
      <c r="I1580" s="3">
        <f t="shared" si="125"/>
        <v>0</v>
      </c>
      <c r="J1580" s="3">
        <f t="shared" si="126"/>
        <v>0</v>
      </c>
      <c r="K1580" s="3" t="str">
        <f t="shared" si="127"/>
        <v>Re163</v>
      </c>
      <c r="L1580" s="3" cm="1">
        <f t="array" ref="L1580">SUM(($J1580*EXP(-$H1580*12*3600*_xlfn.SEQUENCE(L$1-1))))+$J1580</f>
        <v>0</v>
      </c>
      <c r="M1580" s="3"/>
      <c r="N1580" s="3"/>
    </row>
    <row r="1581" spans="2:14" hidden="1" x14ac:dyDescent="0.2">
      <c r="B1581" s="3">
        <v>75164</v>
      </c>
      <c r="C1581" s="3">
        <v>0</v>
      </c>
      <c r="D1581">
        <v>1578</v>
      </c>
      <c r="E1581" t="str">
        <f>VLOOKUP(B1581,Nuclides!A:F,5,FALSE)</f>
        <v>Re164</v>
      </c>
      <c r="F1581">
        <f>VLOOKUP(B1581,Nuclides!A:F,4,FALSE)</f>
        <v>0.85</v>
      </c>
      <c r="G1581" s="3" t="str">
        <f t="shared" si="123"/>
        <v>0.85s</v>
      </c>
      <c r="H1581" s="3">
        <f t="shared" si="124"/>
        <v>0.81546727124699447</v>
      </c>
      <c r="I1581" s="3">
        <f t="shared" si="125"/>
        <v>0</v>
      </c>
      <c r="J1581" s="3">
        <f t="shared" si="126"/>
        <v>0</v>
      </c>
      <c r="K1581" s="3" t="str">
        <f t="shared" si="127"/>
        <v>Re164</v>
      </c>
      <c r="L1581" s="3" cm="1">
        <f t="array" ref="L1581">SUM(($J1581*EXP(-$H1581*12*3600*_xlfn.SEQUENCE(L$1-1))))+$J1581</f>
        <v>0</v>
      </c>
      <c r="M1581" s="3"/>
      <c r="N1581" s="3"/>
    </row>
    <row r="1582" spans="2:14" hidden="1" x14ac:dyDescent="0.2">
      <c r="B1582" s="3">
        <v>75165</v>
      </c>
      <c r="C1582" s="3">
        <v>0</v>
      </c>
      <c r="D1582">
        <v>1579</v>
      </c>
      <c r="E1582" t="str">
        <f>VLOOKUP(B1582,Nuclides!A:F,5,FALSE)</f>
        <v>Re165</v>
      </c>
      <c r="F1582">
        <f>VLOOKUP(B1582,Nuclides!A:F,4,FALSE)</f>
        <v>1.6</v>
      </c>
      <c r="G1582" s="3" t="str">
        <f t="shared" si="123"/>
        <v>1.6s</v>
      </c>
      <c r="H1582" s="3">
        <f t="shared" si="124"/>
        <v>0.43321698784996576</v>
      </c>
      <c r="I1582" s="3">
        <f t="shared" si="125"/>
        <v>0</v>
      </c>
      <c r="J1582" s="3">
        <f t="shared" si="126"/>
        <v>0</v>
      </c>
      <c r="K1582" s="3" t="str">
        <f t="shared" si="127"/>
        <v>Re165</v>
      </c>
      <c r="L1582" s="3" cm="1">
        <f t="array" ref="L1582">SUM(($J1582*EXP(-$H1582*12*3600*_xlfn.SEQUENCE(L$1-1))))+$J1582</f>
        <v>0</v>
      </c>
      <c r="M1582" s="3"/>
      <c r="N1582" s="3"/>
    </row>
    <row r="1583" spans="2:14" hidden="1" x14ac:dyDescent="0.2">
      <c r="B1583" s="3">
        <v>75166</v>
      </c>
      <c r="C1583" s="3">
        <v>0</v>
      </c>
      <c r="D1583">
        <v>1580</v>
      </c>
      <c r="E1583" t="str">
        <f>VLOOKUP(B1583,Nuclides!A:F,5,FALSE)</f>
        <v>Re166</v>
      </c>
      <c r="F1583">
        <f>VLOOKUP(B1583,Nuclides!A:F,4,FALSE)</f>
        <v>2.25</v>
      </c>
      <c r="G1583" s="3" t="str">
        <f t="shared" si="123"/>
        <v>2.25s</v>
      </c>
      <c r="H1583" s="3">
        <f t="shared" si="124"/>
        <v>0.30806541358219791</v>
      </c>
      <c r="I1583" s="3">
        <f t="shared" si="125"/>
        <v>0</v>
      </c>
      <c r="J1583" s="3">
        <f t="shared" si="126"/>
        <v>0</v>
      </c>
      <c r="K1583" s="3" t="str">
        <f t="shared" si="127"/>
        <v>Re166</v>
      </c>
      <c r="L1583" s="3" cm="1">
        <f t="array" ref="L1583">SUM(($J1583*EXP(-$H1583*12*3600*_xlfn.SEQUENCE(L$1-1))))+$J1583</f>
        <v>0</v>
      </c>
      <c r="M1583" s="3"/>
      <c r="N1583" s="3"/>
    </row>
    <row r="1584" spans="2:14" hidden="1" x14ac:dyDescent="0.2">
      <c r="B1584" s="3">
        <v>75167</v>
      </c>
      <c r="C1584" s="3">
        <v>0</v>
      </c>
      <c r="D1584">
        <v>1581</v>
      </c>
      <c r="E1584" t="str">
        <f>VLOOKUP(B1584,Nuclides!A:F,5,FALSE)</f>
        <v>Re167</v>
      </c>
      <c r="F1584">
        <f>VLOOKUP(B1584,Nuclides!A:F,4,FALSE)</f>
        <v>5.9</v>
      </c>
      <c r="G1584" s="3" t="str">
        <f t="shared" si="123"/>
        <v>5.9s</v>
      </c>
      <c r="H1584" s="3">
        <f t="shared" si="124"/>
        <v>0.11748257297626191</v>
      </c>
      <c r="I1584" s="3">
        <f t="shared" si="125"/>
        <v>0</v>
      </c>
      <c r="J1584" s="3">
        <f t="shared" si="126"/>
        <v>0</v>
      </c>
      <c r="K1584" s="3" t="str">
        <f t="shared" si="127"/>
        <v>Re167</v>
      </c>
      <c r="L1584" s="3" cm="1">
        <f t="array" ref="L1584">SUM(($J1584*EXP(-$H1584*12*3600*_xlfn.SEQUENCE(L$1-1))))+$J1584</f>
        <v>0</v>
      </c>
      <c r="M1584" s="3"/>
      <c r="N1584" s="3"/>
    </row>
    <row r="1585" spans="2:14" hidden="1" x14ac:dyDescent="0.2">
      <c r="B1585" s="3">
        <v>75168</v>
      </c>
      <c r="C1585" s="3">
        <v>0</v>
      </c>
      <c r="D1585">
        <v>1582</v>
      </c>
      <c r="E1585" t="str">
        <f>VLOOKUP(B1585,Nuclides!A:F,5,FALSE)</f>
        <v>Re168</v>
      </c>
      <c r="F1585">
        <f>VLOOKUP(B1585,Nuclides!A:F,4,FALSE)</f>
        <v>4.4000000000000004</v>
      </c>
      <c r="G1585" s="3" t="str">
        <f t="shared" si="123"/>
        <v>4.4s</v>
      </c>
      <c r="H1585" s="3">
        <f t="shared" si="124"/>
        <v>0.15753345012726028</v>
      </c>
      <c r="I1585" s="3">
        <f t="shared" si="125"/>
        <v>0</v>
      </c>
      <c r="J1585" s="3">
        <f t="shared" si="126"/>
        <v>0</v>
      </c>
      <c r="K1585" s="3" t="str">
        <f t="shared" si="127"/>
        <v>Re168</v>
      </c>
      <c r="L1585" s="3" cm="1">
        <f t="array" ref="L1585">SUM(($J1585*EXP(-$H1585*12*3600*_xlfn.SEQUENCE(L$1-1))))+$J1585</f>
        <v>0</v>
      </c>
      <c r="M1585" s="3"/>
      <c r="N1585" s="3"/>
    </row>
    <row r="1586" spans="2:14" hidden="1" x14ac:dyDescent="0.2">
      <c r="B1586" s="3">
        <v>75169</v>
      </c>
      <c r="C1586" s="3">
        <v>0</v>
      </c>
      <c r="D1586">
        <v>1583</v>
      </c>
      <c r="E1586" t="str">
        <f>VLOOKUP(B1586,Nuclides!A:F,5,FALSE)</f>
        <v>Re169</v>
      </c>
      <c r="F1586">
        <f>VLOOKUP(B1586,Nuclides!A:F,4,FALSE)</f>
        <v>8.1</v>
      </c>
      <c r="G1586" s="3" t="str">
        <f t="shared" si="123"/>
        <v>8.1s</v>
      </c>
      <c r="H1586" s="3">
        <f t="shared" si="124"/>
        <v>8.5573725995054972E-2</v>
      </c>
      <c r="I1586" s="3">
        <f t="shared" si="125"/>
        <v>0</v>
      </c>
      <c r="J1586" s="3">
        <f t="shared" si="126"/>
        <v>0</v>
      </c>
      <c r="K1586" s="3" t="str">
        <f t="shared" si="127"/>
        <v>Re169</v>
      </c>
      <c r="L1586" s="3" cm="1">
        <f t="array" ref="L1586">SUM(($J1586*EXP(-$H1586*12*3600*_xlfn.SEQUENCE(L$1-1))))+$J1586</f>
        <v>0</v>
      </c>
      <c r="M1586" s="3"/>
      <c r="N1586" s="3"/>
    </row>
    <row r="1587" spans="2:14" hidden="1" x14ac:dyDescent="0.2">
      <c r="B1587" s="3">
        <v>75170</v>
      </c>
      <c r="C1587" s="3">
        <v>0</v>
      </c>
      <c r="D1587">
        <v>1584</v>
      </c>
      <c r="E1587" t="str">
        <f>VLOOKUP(B1587,Nuclides!A:F,5,FALSE)</f>
        <v>Re170</v>
      </c>
      <c r="F1587">
        <f>VLOOKUP(B1587,Nuclides!A:F,4,FALSE)</f>
        <v>9.1999999999999993</v>
      </c>
      <c r="G1587" s="3" t="str">
        <f t="shared" si="123"/>
        <v>9.2s</v>
      </c>
      <c r="H1587" s="3">
        <f t="shared" si="124"/>
        <v>7.5342084843472323E-2</v>
      </c>
      <c r="I1587" s="3">
        <f t="shared" si="125"/>
        <v>0</v>
      </c>
      <c r="J1587" s="3">
        <f t="shared" si="126"/>
        <v>0</v>
      </c>
      <c r="K1587" s="3" t="str">
        <f t="shared" si="127"/>
        <v>Re170</v>
      </c>
      <c r="L1587" s="3" cm="1">
        <f t="array" ref="L1587">SUM(($J1587*EXP(-$H1587*12*3600*_xlfn.SEQUENCE(L$1-1))))+$J1587</f>
        <v>0</v>
      </c>
      <c r="M1587" s="3"/>
      <c r="N1587" s="3"/>
    </row>
    <row r="1588" spans="2:14" hidden="1" x14ac:dyDescent="0.2">
      <c r="B1588" s="3">
        <v>75171</v>
      </c>
      <c r="C1588" s="3">
        <v>0</v>
      </c>
      <c r="D1588">
        <v>1585</v>
      </c>
      <c r="E1588" t="str">
        <f>VLOOKUP(B1588,Nuclides!A:F,5,FALSE)</f>
        <v>Re171</v>
      </c>
      <c r="F1588">
        <f>VLOOKUP(B1588,Nuclides!A:F,4,FALSE)</f>
        <v>15.2</v>
      </c>
      <c r="G1588" s="3" t="str">
        <f t="shared" si="123"/>
        <v>15.2s</v>
      </c>
      <c r="H1588" s="3">
        <f t="shared" si="124"/>
        <v>4.5601788194733248E-2</v>
      </c>
      <c r="I1588" s="3">
        <f t="shared" si="125"/>
        <v>0</v>
      </c>
      <c r="J1588" s="3">
        <f t="shared" si="126"/>
        <v>0</v>
      </c>
      <c r="K1588" s="3" t="str">
        <f t="shared" si="127"/>
        <v>Re171</v>
      </c>
      <c r="L1588" s="3" cm="1">
        <f t="array" ref="L1588">SUM(($J1588*EXP(-$H1588*12*3600*_xlfn.SEQUENCE(L$1-1))))+$J1588</f>
        <v>0</v>
      </c>
      <c r="M1588" s="3"/>
      <c r="N1588" s="3"/>
    </row>
    <row r="1589" spans="2:14" hidden="1" x14ac:dyDescent="0.2">
      <c r="B1589" s="3">
        <v>75172</v>
      </c>
      <c r="C1589" s="3">
        <v>0</v>
      </c>
      <c r="D1589">
        <v>1586</v>
      </c>
      <c r="E1589" t="str">
        <f>VLOOKUP(B1589,Nuclides!A:F,5,FALSE)</f>
        <v>Re172</v>
      </c>
      <c r="F1589">
        <f>VLOOKUP(B1589,Nuclides!A:F,4,FALSE)</f>
        <v>55</v>
      </c>
      <c r="G1589" s="3" t="str">
        <f t="shared" si="123"/>
        <v>55s</v>
      </c>
      <c r="H1589" s="3">
        <f t="shared" si="124"/>
        <v>1.2602676010180823E-2</v>
      </c>
      <c r="I1589" s="3">
        <f t="shared" si="125"/>
        <v>0</v>
      </c>
      <c r="J1589" s="3">
        <f t="shared" si="126"/>
        <v>0</v>
      </c>
      <c r="K1589" s="3" t="str">
        <f t="shared" si="127"/>
        <v>Re172</v>
      </c>
      <c r="L1589" s="3" cm="1">
        <f t="array" ref="L1589">SUM(($J1589*EXP(-$H1589*12*3600*_xlfn.SEQUENCE(L$1-1))))+$J1589</f>
        <v>0</v>
      </c>
      <c r="M1589" s="3"/>
      <c r="N1589" s="3"/>
    </row>
    <row r="1590" spans="2:14" hidden="1" x14ac:dyDescent="0.2">
      <c r="B1590" s="3">
        <v>75173</v>
      </c>
      <c r="C1590" s="3">
        <v>0</v>
      </c>
      <c r="D1590">
        <v>1587</v>
      </c>
      <c r="E1590" t="str">
        <f>VLOOKUP(B1590,Nuclides!A:F,5,FALSE)</f>
        <v>Re173</v>
      </c>
      <c r="F1590">
        <f>VLOOKUP(B1590,Nuclides!A:F,4,FALSE)</f>
        <v>118.8</v>
      </c>
      <c r="G1590" s="3" t="str">
        <f t="shared" si="123"/>
        <v>1.98min</v>
      </c>
      <c r="H1590" s="3">
        <f t="shared" si="124"/>
        <v>5.8345722269355664E-3</v>
      </c>
      <c r="I1590" s="3">
        <f t="shared" si="125"/>
        <v>0</v>
      </c>
      <c r="J1590" s="3">
        <f t="shared" si="126"/>
        <v>0</v>
      </c>
      <c r="K1590" s="3" t="str">
        <f t="shared" si="127"/>
        <v>Re173</v>
      </c>
      <c r="L1590" s="3" cm="1">
        <f t="array" ref="L1590">SUM(($J1590*EXP(-$H1590*12*3600*_xlfn.SEQUENCE(L$1-1))))+$J1590</f>
        <v>0</v>
      </c>
      <c r="M1590" s="3"/>
      <c r="N1590" s="3"/>
    </row>
    <row r="1591" spans="2:14" hidden="1" x14ac:dyDescent="0.2">
      <c r="B1591" s="3">
        <v>75174</v>
      </c>
      <c r="C1591" s="3">
        <v>0</v>
      </c>
      <c r="D1591">
        <v>1588</v>
      </c>
      <c r="E1591" t="str">
        <f>VLOOKUP(B1591,Nuclides!A:F,5,FALSE)</f>
        <v>Re174</v>
      </c>
      <c r="F1591">
        <f>VLOOKUP(B1591,Nuclides!A:F,4,FALSE)</f>
        <v>144</v>
      </c>
      <c r="G1591" s="3" t="str">
        <f t="shared" si="123"/>
        <v>2.4min</v>
      </c>
      <c r="H1591" s="3">
        <f t="shared" si="124"/>
        <v>4.8135220872218424E-3</v>
      </c>
      <c r="I1591" s="3">
        <f t="shared" si="125"/>
        <v>0</v>
      </c>
      <c r="J1591" s="3">
        <f t="shared" si="126"/>
        <v>0</v>
      </c>
      <c r="K1591" s="3" t="str">
        <f t="shared" si="127"/>
        <v>Re174</v>
      </c>
      <c r="L1591" s="3" cm="1">
        <f t="array" ref="L1591">SUM(($J1591*EXP(-$H1591*12*3600*_xlfn.SEQUENCE(L$1-1))))+$J1591</f>
        <v>0</v>
      </c>
      <c r="M1591" s="3"/>
      <c r="N1591" s="3"/>
    </row>
    <row r="1592" spans="2:14" hidden="1" x14ac:dyDescent="0.2">
      <c r="B1592" s="3">
        <v>75175</v>
      </c>
      <c r="C1592" s="3">
        <v>0</v>
      </c>
      <c r="D1592">
        <v>1589</v>
      </c>
      <c r="E1592" t="str">
        <f>VLOOKUP(B1592,Nuclides!A:F,5,FALSE)</f>
        <v>Re175</v>
      </c>
      <c r="F1592">
        <f>VLOOKUP(B1592,Nuclides!A:F,4,FALSE)</f>
        <v>353.4</v>
      </c>
      <c r="G1592" s="3" t="str">
        <f t="shared" si="123"/>
        <v>5.89min</v>
      </c>
      <c r="H1592" s="3">
        <f t="shared" si="124"/>
        <v>1.9613672341820751E-3</v>
      </c>
      <c r="I1592" s="3">
        <f t="shared" si="125"/>
        <v>0</v>
      </c>
      <c r="J1592" s="3">
        <f t="shared" si="126"/>
        <v>0</v>
      </c>
      <c r="K1592" s="3" t="str">
        <f t="shared" si="127"/>
        <v>Re175</v>
      </c>
      <c r="L1592" s="3" cm="1">
        <f t="array" ref="L1592">SUM(($J1592*EXP(-$H1592*12*3600*_xlfn.SEQUENCE(L$1-1))))+$J1592</f>
        <v>0</v>
      </c>
      <c r="M1592" s="3"/>
      <c r="N1592" s="3"/>
    </row>
    <row r="1593" spans="2:14" hidden="1" x14ac:dyDescent="0.2">
      <c r="B1593" s="3">
        <v>75176</v>
      </c>
      <c r="C1593" s="3">
        <v>0</v>
      </c>
      <c r="D1593">
        <v>1590</v>
      </c>
      <c r="E1593" t="str">
        <f>VLOOKUP(B1593,Nuclides!A:F,5,FALSE)</f>
        <v>Re176</v>
      </c>
      <c r="F1593">
        <f>VLOOKUP(B1593,Nuclides!A:F,4,FALSE)</f>
        <v>318</v>
      </c>
      <c r="G1593" s="3" t="str">
        <f t="shared" si="123"/>
        <v>5.3min</v>
      </c>
      <c r="H1593" s="3">
        <f t="shared" si="124"/>
        <v>2.1797081149683814E-3</v>
      </c>
      <c r="I1593" s="3">
        <f t="shared" si="125"/>
        <v>0</v>
      </c>
      <c r="J1593" s="3">
        <f t="shared" si="126"/>
        <v>0</v>
      </c>
      <c r="K1593" s="3" t="str">
        <f t="shared" si="127"/>
        <v>Re176</v>
      </c>
      <c r="L1593" s="3" cm="1">
        <f t="array" ref="L1593">SUM(($J1593*EXP(-$H1593*12*3600*_xlfn.SEQUENCE(L$1-1))))+$J1593</f>
        <v>0</v>
      </c>
      <c r="M1593" s="3"/>
      <c r="N1593" s="3"/>
    </row>
    <row r="1594" spans="2:14" hidden="1" x14ac:dyDescent="0.2">
      <c r="B1594" s="3">
        <v>75177</v>
      </c>
      <c r="C1594" s="3">
        <v>0</v>
      </c>
      <c r="D1594">
        <v>1591</v>
      </c>
      <c r="E1594" t="str">
        <f>VLOOKUP(B1594,Nuclides!A:F,5,FALSE)</f>
        <v>Re177</v>
      </c>
      <c r="F1594">
        <f>VLOOKUP(B1594,Nuclides!A:F,4,FALSE)</f>
        <v>840</v>
      </c>
      <c r="G1594" s="3" t="str">
        <f t="shared" si="123"/>
        <v>14min</v>
      </c>
      <c r="H1594" s="3">
        <f t="shared" si="124"/>
        <v>8.2517521495231586E-4</v>
      </c>
      <c r="I1594" s="3">
        <f t="shared" si="125"/>
        <v>0</v>
      </c>
      <c r="J1594" s="3">
        <f t="shared" si="126"/>
        <v>0</v>
      </c>
      <c r="K1594" s="3" t="str">
        <f t="shared" si="127"/>
        <v>Re177</v>
      </c>
      <c r="L1594" s="3" cm="1">
        <f t="array" ref="L1594">SUM(($J1594*EXP(-$H1594*12*3600*_xlfn.SEQUENCE(L$1-1))))+$J1594</f>
        <v>0</v>
      </c>
      <c r="M1594" s="3"/>
      <c r="N1594" s="3"/>
    </row>
    <row r="1595" spans="2:14" hidden="1" x14ac:dyDescent="0.2">
      <c r="B1595" s="3">
        <v>75178</v>
      </c>
      <c r="C1595" s="3">
        <v>0</v>
      </c>
      <c r="D1595">
        <v>1592</v>
      </c>
      <c r="E1595" t="str">
        <f>VLOOKUP(B1595,Nuclides!A:F,5,FALSE)</f>
        <v>Re178</v>
      </c>
      <c r="F1595">
        <f>VLOOKUP(B1595,Nuclides!A:F,4,FALSE)</f>
        <v>792</v>
      </c>
      <c r="G1595" s="3" t="str">
        <f t="shared" si="123"/>
        <v>13.2min</v>
      </c>
      <c r="H1595" s="3">
        <f t="shared" si="124"/>
        <v>8.7518583404033496E-4</v>
      </c>
      <c r="I1595" s="3">
        <f t="shared" si="125"/>
        <v>0</v>
      </c>
      <c r="J1595" s="3">
        <f t="shared" si="126"/>
        <v>0</v>
      </c>
      <c r="K1595" s="3" t="str">
        <f t="shared" si="127"/>
        <v>Re178</v>
      </c>
      <c r="L1595" s="3" cm="1">
        <f t="array" ref="L1595">SUM(($J1595*EXP(-$H1595*12*3600*_xlfn.SEQUENCE(L$1-1))))+$J1595</f>
        <v>0</v>
      </c>
      <c r="M1595" s="3"/>
      <c r="N1595" s="3"/>
    </row>
    <row r="1596" spans="2:14" hidden="1" x14ac:dyDescent="0.2">
      <c r="B1596" s="3">
        <v>75179</v>
      </c>
      <c r="C1596" s="3">
        <v>0</v>
      </c>
      <c r="D1596">
        <v>1593</v>
      </c>
      <c r="E1596" t="str">
        <f>VLOOKUP(B1596,Nuclides!A:F,5,FALSE)</f>
        <v>Re179</v>
      </c>
      <c r="F1596">
        <f>VLOOKUP(B1596,Nuclides!A:F,4,FALSE)</f>
        <v>1170</v>
      </c>
      <c r="G1596" s="3" t="str">
        <f t="shared" si="123"/>
        <v>19.5min</v>
      </c>
      <c r="H1596" s="3">
        <f t="shared" si="124"/>
        <v>5.9243348765807284E-4</v>
      </c>
      <c r="I1596" s="3">
        <f t="shared" si="125"/>
        <v>0</v>
      </c>
      <c r="J1596" s="3">
        <f t="shared" si="126"/>
        <v>0</v>
      </c>
      <c r="K1596" s="3" t="str">
        <f t="shared" si="127"/>
        <v>Re179</v>
      </c>
      <c r="L1596" s="3" cm="1">
        <f t="array" ref="L1596">SUM(($J1596*EXP(-$H1596*12*3600*_xlfn.SEQUENCE(L$1-1))))+$J1596</f>
        <v>0</v>
      </c>
      <c r="M1596" s="3"/>
      <c r="N1596" s="3"/>
    </row>
    <row r="1597" spans="2:14" hidden="1" x14ac:dyDescent="0.2">
      <c r="B1597" s="3">
        <v>75180</v>
      </c>
      <c r="C1597" s="3">
        <v>0</v>
      </c>
      <c r="D1597">
        <v>1594</v>
      </c>
      <c r="E1597" t="str">
        <f>VLOOKUP(B1597,Nuclides!A:F,5,FALSE)</f>
        <v>Re180</v>
      </c>
      <c r="F1597">
        <f>VLOOKUP(B1597,Nuclides!A:F,4,FALSE)</f>
        <v>147.6</v>
      </c>
      <c r="G1597" s="3" t="str">
        <f t="shared" si="123"/>
        <v>2.46min</v>
      </c>
      <c r="H1597" s="3">
        <f t="shared" si="124"/>
        <v>4.6961191094847246E-3</v>
      </c>
      <c r="I1597" s="3">
        <f t="shared" si="125"/>
        <v>0</v>
      </c>
      <c r="J1597" s="3">
        <f t="shared" si="126"/>
        <v>0</v>
      </c>
      <c r="K1597" s="3" t="str">
        <f t="shared" si="127"/>
        <v>Re180</v>
      </c>
      <c r="L1597" s="3" cm="1">
        <f t="array" ref="L1597">SUM(($J1597*EXP(-$H1597*12*3600*_xlfn.SEQUENCE(L$1-1))))+$J1597</f>
        <v>0</v>
      </c>
      <c r="M1597" s="3"/>
      <c r="N1597" s="3"/>
    </row>
    <row r="1598" spans="2:14" hidden="1" x14ac:dyDescent="0.2">
      <c r="B1598" s="3">
        <v>75181</v>
      </c>
      <c r="C1598" s="3">
        <v>0</v>
      </c>
      <c r="D1598">
        <v>1595</v>
      </c>
      <c r="E1598" t="str">
        <f>VLOOKUP(B1598,Nuclides!A:F,5,FALSE)</f>
        <v>Re181</v>
      </c>
      <c r="F1598">
        <f>VLOOKUP(B1598,Nuclides!A:F,4,FALSE)</f>
        <v>71640</v>
      </c>
      <c r="G1598" s="3" t="str">
        <f t="shared" si="123"/>
        <v>19.9h</v>
      </c>
      <c r="H1598" s="3">
        <f t="shared" si="124"/>
        <v>9.6754212808479239E-6</v>
      </c>
      <c r="I1598" s="3">
        <f t="shared" si="125"/>
        <v>0</v>
      </c>
      <c r="J1598" s="3">
        <f t="shared" si="126"/>
        <v>0</v>
      </c>
      <c r="K1598" s="3" t="str">
        <f t="shared" si="127"/>
        <v>Re181</v>
      </c>
      <c r="L1598" s="3" cm="1">
        <f t="array" ref="L1598">SUM(($J1598*EXP(-$H1598*12*3600*_xlfn.SEQUENCE(L$1-1))))+$J1598</f>
        <v>0</v>
      </c>
      <c r="M1598" s="3"/>
      <c r="N1598" s="3"/>
    </row>
    <row r="1599" spans="2:14" hidden="1" x14ac:dyDescent="0.2">
      <c r="B1599" s="3">
        <v>75182</v>
      </c>
      <c r="C1599" s="3">
        <v>0</v>
      </c>
      <c r="D1599">
        <v>1596</v>
      </c>
      <c r="E1599" t="str">
        <f>VLOOKUP(B1599,Nuclides!A:F,5,FALSE)</f>
        <v>Re182</v>
      </c>
      <c r="F1599">
        <f>VLOOKUP(B1599,Nuclides!A:F,4,FALSE)</f>
        <v>231120</v>
      </c>
      <c r="G1599" s="3" t="str">
        <f t="shared" si="123"/>
        <v>2.68d</v>
      </c>
      <c r="H1599" s="3">
        <f t="shared" si="124"/>
        <v>2.9990791820696836E-6</v>
      </c>
      <c r="I1599" s="3">
        <f t="shared" si="125"/>
        <v>0</v>
      </c>
      <c r="J1599" s="3">
        <f t="shared" si="126"/>
        <v>0</v>
      </c>
      <c r="K1599" s="3" t="str">
        <f t="shared" si="127"/>
        <v>Re182</v>
      </c>
      <c r="L1599" s="3" cm="1">
        <f t="array" ref="L1599">SUM(($J1599*EXP(-$H1599*12*3600*_xlfn.SEQUENCE(L$1-1))))+$J1599</f>
        <v>0</v>
      </c>
      <c r="M1599" s="3"/>
      <c r="N1599" s="3"/>
    </row>
    <row r="1600" spans="2:14" hidden="1" x14ac:dyDescent="0.2">
      <c r="B1600" s="3">
        <v>75183</v>
      </c>
      <c r="C1600" s="3">
        <v>0</v>
      </c>
      <c r="D1600">
        <v>1597</v>
      </c>
      <c r="E1600" t="str">
        <f>VLOOKUP(B1600,Nuclides!A:F,5,FALSE)</f>
        <v>Re183</v>
      </c>
      <c r="F1600">
        <f>VLOOKUP(B1600,Nuclides!A:F,4,FALSE)</f>
        <v>6048000</v>
      </c>
      <c r="G1600" s="3" t="str">
        <f t="shared" si="123"/>
        <v>70d</v>
      </c>
      <c r="H1600" s="3">
        <f t="shared" si="124"/>
        <v>1.146076687433772E-7</v>
      </c>
      <c r="I1600" s="3">
        <f t="shared" si="125"/>
        <v>0</v>
      </c>
      <c r="J1600" s="3">
        <f t="shared" si="126"/>
        <v>0</v>
      </c>
      <c r="K1600" s="3" t="str">
        <f t="shared" si="127"/>
        <v>Re183</v>
      </c>
      <c r="L1600" s="3" cm="1">
        <f t="array" ref="L1600">SUM(($J1600*EXP(-$H1600*12*3600*_xlfn.SEQUENCE(L$1-1))))+$J1600</f>
        <v>0</v>
      </c>
      <c r="M1600" s="3"/>
      <c r="N1600" s="3"/>
    </row>
    <row r="1601" spans="2:14" hidden="1" x14ac:dyDescent="0.2">
      <c r="B1601" s="3">
        <v>75184</v>
      </c>
      <c r="C1601" s="3">
        <v>0</v>
      </c>
      <c r="D1601">
        <v>1598</v>
      </c>
      <c r="E1601" t="str">
        <f>VLOOKUP(B1601,Nuclides!A:F,5,FALSE)</f>
        <v>Re184</v>
      </c>
      <c r="F1601">
        <f>VLOOKUP(B1601,Nuclides!A:F,4,FALSE)</f>
        <v>3058560</v>
      </c>
      <c r="G1601" s="3" t="str">
        <f t="shared" si="123"/>
        <v>35.4d</v>
      </c>
      <c r="H1601" s="3">
        <f t="shared" si="124"/>
        <v>2.2662533367334473E-7</v>
      </c>
      <c r="I1601" s="3">
        <f t="shared" si="125"/>
        <v>0</v>
      </c>
      <c r="J1601" s="3">
        <f t="shared" si="126"/>
        <v>0</v>
      </c>
      <c r="K1601" s="3" t="str">
        <f t="shared" si="127"/>
        <v>Re184</v>
      </c>
      <c r="L1601" s="3" cm="1">
        <f t="array" ref="L1601">SUM(($J1601*EXP(-$H1601*12*3600*_xlfn.SEQUENCE(L$1-1))))+$J1601</f>
        <v>0</v>
      </c>
      <c r="M1601" s="3"/>
      <c r="N1601" s="3"/>
    </row>
    <row r="1602" spans="2:14" hidden="1" x14ac:dyDescent="0.2">
      <c r="B1602" s="3">
        <v>75185</v>
      </c>
      <c r="C1602" s="3">
        <v>0</v>
      </c>
      <c r="D1602">
        <v>1599</v>
      </c>
      <c r="E1602" t="str">
        <f>VLOOKUP(B1602,Nuclides!A:F,5,FALSE)</f>
        <v>Re185</v>
      </c>
      <c r="F1602" t="str">
        <f>VLOOKUP(B1602,Nuclides!A:F,4,FALSE)</f>
        <v>STABLE</v>
      </c>
      <c r="G1602" s="3" t="str">
        <f t="shared" si="123"/>
        <v>STABLE</v>
      </c>
      <c r="H1602" s="3" t="e">
        <f t="shared" si="124"/>
        <v>#VALUE!</v>
      </c>
      <c r="I1602" s="3" t="e">
        <f t="shared" si="125"/>
        <v>#VALUE!</v>
      </c>
      <c r="J1602" s="3" t="e">
        <f t="shared" si="126"/>
        <v>#VALUE!</v>
      </c>
      <c r="K1602" s="3" t="str">
        <f t="shared" si="127"/>
        <v>Re185</v>
      </c>
      <c r="L1602" s="3" t="e" cm="1">
        <f t="array" ref="L1602">SUM(($J1602*EXP(-$H1602*12*3600*_xlfn.SEQUENCE(L$1-1))))+$J1602</f>
        <v>#VALUE!</v>
      </c>
      <c r="M1602" s="3"/>
      <c r="N1602" s="3"/>
    </row>
    <row r="1603" spans="2:14" hidden="1" x14ac:dyDescent="0.2">
      <c r="B1603" s="3">
        <v>75186</v>
      </c>
      <c r="C1603" s="3">
        <v>0</v>
      </c>
      <c r="D1603">
        <v>1600</v>
      </c>
      <c r="E1603" t="str">
        <f>VLOOKUP(B1603,Nuclides!A:F,5,FALSE)</f>
        <v>Re186</v>
      </c>
      <c r="F1603">
        <f>VLOOKUP(B1603,Nuclides!A:F,4,FALSE)</f>
        <v>321287.03999999998</v>
      </c>
      <c r="G1603" s="3" t="str">
        <f t="shared" si="123"/>
        <v>3.72d</v>
      </c>
      <c r="H1603" s="3">
        <f t="shared" si="124"/>
        <v>2.1574078448976507E-6</v>
      </c>
      <c r="I1603" s="3">
        <f t="shared" si="125"/>
        <v>0</v>
      </c>
      <c r="J1603" s="3">
        <f t="shared" si="126"/>
        <v>0</v>
      </c>
      <c r="K1603" s="3" t="str">
        <f t="shared" si="127"/>
        <v>Re186</v>
      </c>
      <c r="L1603" s="3" cm="1">
        <f t="array" ref="L1603">SUM(($J1603*EXP(-$H1603*12*3600*_xlfn.SEQUENCE(L$1-1))))+$J1603</f>
        <v>0</v>
      </c>
      <c r="M1603" s="3"/>
      <c r="N1603" s="3"/>
    </row>
    <row r="1604" spans="2:14" hidden="1" x14ac:dyDescent="0.2">
      <c r="B1604" s="3">
        <v>75187</v>
      </c>
      <c r="C1604" s="3">
        <v>0</v>
      </c>
      <c r="D1604">
        <v>1601</v>
      </c>
      <c r="E1604" t="str">
        <f>VLOOKUP(B1604,Nuclides!A:F,5,FALSE)</f>
        <v>Re187</v>
      </c>
      <c r="F1604">
        <f>VLOOKUP(B1604,Nuclides!A:F,4,FALSE)</f>
        <v>1.36644408E+18</v>
      </c>
      <c r="G1604" s="3" t="str">
        <f t="shared" ref="G1604:G1667" si="128">IF(F1604="STABLE", "STABLE", IF(F1604&lt;60, F1604&amp;"s", IF(F1604&lt;3600, ROUND(F1604/60,2)&amp;"min", IF(F1604&lt;86400, ROUND(F1604/3600,2)&amp;"h", IF(F1604&lt;31536000, ROUND(F1604/86400,2)&amp;"d", ROUND(F1604/31536000,2)&amp;"y")))))</f>
        <v>43329657534.25y</v>
      </c>
      <c r="H1604" s="3">
        <f t="shared" ref="H1604:H1667" si="129">LN(2)/F1604</f>
        <v>5.0726348096143475E-19</v>
      </c>
      <c r="I1604" s="3">
        <f t="shared" ref="I1604:I1667" si="130">100*6240000000000*C1604*(1-EXP(-H1604*2*3600))</f>
        <v>0</v>
      </c>
      <c r="J1604" s="3">
        <f t="shared" ref="J1604:J1667" si="131">I1604*EXP(-H1604*10*3600)</f>
        <v>0</v>
      </c>
      <c r="K1604" s="3" t="str">
        <f t="shared" ref="K1604:K1667" si="132">E1604</f>
        <v>Re187</v>
      </c>
      <c r="L1604" s="3" cm="1">
        <f t="array" ref="L1604">SUM(($J1604*EXP(-$H1604*12*3600*_xlfn.SEQUENCE(L$1-1))))+$J1604</f>
        <v>0</v>
      </c>
      <c r="M1604" s="3"/>
      <c r="N1604" s="3"/>
    </row>
    <row r="1605" spans="2:14" hidden="1" x14ac:dyDescent="0.2">
      <c r="B1605" s="3">
        <v>75188</v>
      </c>
      <c r="C1605" s="3">
        <v>0</v>
      </c>
      <c r="D1605">
        <v>1602</v>
      </c>
      <c r="E1605" t="str">
        <f>VLOOKUP(B1605,Nuclides!A:F,5,FALSE)</f>
        <v>Re188</v>
      </c>
      <c r="F1605">
        <f>VLOOKUP(B1605,Nuclides!A:F,4,FALSE)</f>
        <v>61210.8</v>
      </c>
      <c r="G1605" s="3" t="str">
        <f t="shared" si="128"/>
        <v>17h</v>
      </c>
      <c r="H1605" s="3">
        <f t="shared" si="129"/>
        <v>1.1323935981231177E-5</v>
      </c>
      <c r="I1605" s="3">
        <f t="shared" si="130"/>
        <v>0</v>
      </c>
      <c r="J1605" s="3">
        <f t="shared" si="131"/>
        <v>0</v>
      </c>
      <c r="K1605" s="3" t="str">
        <f t="shared" si="132"/>
        <v>Re188</v>
      </c>
      <c r="L1605" s="3" cm="1">
        <f t="array" ref="L1605">SUM(($J1605*EXP(-$H1605*12*3600*_xlfn.SEQUENCE(L$1-1))))+$J1605</f>
        <v>0</v>
      </c>
      <c r="M1605" s="3"/>
      <c r="N1605" s="3"/>
    </row>
    <row r="1606" spans="2:14" hidden="1" x14ac:dyDescent="0.2">
      <c r="B1606" s="3">
        <v>75189</v>
      </c>
      <c r="C1606" s="3">
        <v>0</v>
      </c>
      <c r="D1606">
        <v>1603</v>
      </c>
      <c r="E1606" t="str">
        <f>VLOOKUP(B1606,Nuclides!A:F,5,FALSE)</f>
        <v>Re189</v>
      </c>
      <c r="F1606">
        <f>VLOOKUP(B1606,Nuclides!A:F,4,FALSE)</f>
        <v>87480</v>
      </c>
      <c r="G1606" s="3" t="str">
        <f t="shared" si="128"/>
        <v>1.01d</v>
      </c>
      <c r="H1606" s="3">
        <f t="shared" si="129"/>
        <v>7.9234931476902745E-6</v>
      </c>
      <c r="I1606" s="3">
        <f t="shared" si="130"/>
        <v>0</v>
      </c>
      <c r="J1606" s="3">
        <f t="shared" si="131"/>
        <v>0</v>
      </c>
      <c r="K1606" s="3" t="str">
        <f t="shared" si="132"/>
        <v>Re189</v>
      </c>
      <c r="L1606" s="3" cm="1">
        <f t="array" ref="L1606">SUM(($J1606*EXP(-$H1606*12*3600*_xlfn.SEQUENCE(L$1-1))))+$J1606</f>
        <v>0</v>
      </c>
      <c r="M1606" s="3"/>
      <c r="N1606" s="3"/>
    </row>
    <row r="1607" spans="2:14" hidden="1" x14ac:dyDescent="0.2">
      <c r="B1607" s="3">
        <v>75190</v>
      </c>
      <c r="C1607" s="3">
        <v>0</v>
      </c>
      <c r="D1607">
        <v>1604</v>
      </c>
      <c r="E1607" t="str">
        <f>VLOOKUP(B1607,Nuclides!A:F,5,FALSE)</f>
        <v>Re190</v>
      </c>
      <c r="F1607">
        <f>VLOOKUP(B1607,Nuclides!A:F,4,FALSE)</f>
        <v>186</v>
      </c>
      <c r="G1607" s="3" t="str">
        <f t="shared" si="128"/>
        <v>3.1min</v>
      </c>
      <c r="H1607" s="3">
        <f t="shared" si="129"/>
        <v>3.7265977449459425E-3</v>
      </c>
      <c r="I1607" s="3">
        <f t="shared" si="130"/>
        <v>0</v>
      </c>
      <c r="J1607" s="3">
        <f t="shared" si="131"/>
        <v>0</v>
      </c>
      <c r="K1607" s="3" t="str">
        <f t="shared" si="132"/>
        <v>Re190</v>
      </c>
      <c r="L1607" s="3" cm="1">
        <f t="array" ref="L1607">SUM(($J1607*EXP(-$H1607*12*3600*_xlfn.SEQUENCE(L$1-1))))+$J1607</f>
        <v>0</v>
      </c>
      <c r="M1607" s="3"/>
      <c r="N1607" s="3"/>
    </row>
    <row r="1608" spans="2:14" hidden="1" x14ac:dyDescent="0.2">
      <c r="B1608" s="3">
        <v>75191</v>
      </c>
      <c r="C1608" s="3">
        <v>0</v>
      </c>
      <c r="D1608">
        <v>1605</v>
      </c>
      <c r="E1608" t="str">
        <f>VLOOKUP(B1608,Nuclides!A:F,5,FALSE)</f>
        <v>Re191</v>
      </c>
      <c r="F1608">
        <f>VLOOKUP(B1608,Nuclides!A:F,4,FALSE)</f>
        <v>588</v>
      </c>
      <c r="G1608" s="3" t="str">
        <f t="shared" si="128"/>
        <v>9.8min</v>
      </c>
      <c r="H1608" s="3">
        <f t="shared" si="129"/>
        <v>1.1788217356461655E-3</v>
      </c>
      <c r="I1608" s="3">
        <f t="shared" si="130"/>
        <v>0</v>
      </c>
      <c r="J1608" s="3">
        <f t="shared" si="131"/>
        <v>0</v>
      </c>
      <c r="K1608" s="3" t="str">
        <f t="shared" si="132"/>
        <v>Re191</v>
      </c>
      <c r="L1608" s="3" cm="1">
        <f t="array" ref="L1608">SUM(($J1608*EXP(-$H1608*12*3600*_xlfn.SEQUENCE(L$1-1))))+$J1608</f>
        <v>0</v>
      </c>
      <c r="M1608" s="3"/>
      <c r="N1608" s="3"/>
    </row>
    <row r="1609" spans="2:14" hidden="1" x14ac:dyDescent="0.2">
      <c r="B1609" s="3">
        <v>75192</v>
      </c>
      <c r="C1609" s="3">
        <v>0</v>
      </c>
      <c r="D1609">
        <v>1606</v>
      </c>
      <c r="E1609" t="str">
        <f>VLOOKUP(B1609,Nuclides!A:F,5,FALSE)</f>
        <v>Re192</v>
      </c>
      <c r="F1609">
        <f>VLOOKUP(B1609,Nuclides!A:F,4,FALSE)</f>
        <v>16</v>
      </c>
      <c r="G1609" s="3" t="str">
        <f t="shared" si="128"/>
        <v>16s</v>
      </c>
      <c r="H1609" s="3">
        <f t="shared" si="129"/>
        <v>4.332169878499658E-2</v>
      </c>
      <c r="I1609" s="3">
        <f t="shared" si="130"/>
        <v>0</v>
      </c>
      <c r="J1609" s="3">
        <f t="shared" si="131"/>
        <v>0</v>
      </c>
      <c r="K1609" s="3" t="str">
        <f t="shared" si="132"/>
        <v>Re192</v>
      </c>
      <c r="L1609" s="3" cm="1">
        <f t="array" ref="L1609">SUM(($J1609*EXP(-$H1609*12*3600*_xlfn.SEQUENCE(L$1-1))))+$J1609</f>
        <v>0</v>
      </c>
      <c r="M1609" s="3"/>
      <c r="N1609" s="3"/>
    </row>
    <row r="1610" spans="2:14" hidden="1" x14ac:dyDescent="0.2">
      <c r="B1610" s="3">
        <v>76163</v>
      </c>
      <c r="C1610" s="3">
        <v>0</v>
      </c>
      <c r="D1610">
        <v>1607</v>
      </c>
      <c r="E1610" t="str">
        <f>VLOOKUP(B1610,Nuclides!A:F,5,FALSE)</f>
        <v>Os163</v>
      </c>
      <c r="F1610">
        <f>VLOOKUP(B1610,Nuclides!A:F,4,FALSE)</f>
        <v>5.4999999999999997E-3</v>
      </c>
      <c r="G1610" s="3" t="str">
        <f t="shared" si="128"/>
        <v>0.0055s</v>
      </c>
      <c r="H1610" s="3">
        <f t="shared" si="129"/>
        <v>126.02676010180824</v>
      </c>
      <c r="I1610" s="3">
        <f t="shared" si="130"/>
        <v>0</v>
      </c>
      <c r="J1610" s="3">
        <f t="shared" si="131"/>
        <v>0</v>
      </c>
      <c r="K1610" s="3" t="str">
        <f t="shared" si="132"/>
        <v>Os163</v>
      </c>
      <c r="L1610" s="3" cm="1">
        <f t="array" ref="L1610">SUM(($J1610*EXP(-$H1610*12*3600*_xlfn.SEQUENCE(L$1-1))))+$J1610</f>
        <v>0</v>
      </c>
      <c r="M1610" s="3"/>
      <c r="N1610" s="3"/>
    </row>
    <row r="1611" spans="2:14" hidden="1" x14ac:dyDescent="0.2">
      <c r="B1611" s="3">
        <v>76164</v>
      </c>
      <c r="C1611" s="3">
        <v>0</v>
      </c>
      <c r="D1611">
        <v>1608</v>
      </c>
      <c r="E1611" t="str">
        <f>VLOOKUP(B1611,Nuclides!A:F,5,FALSE)</f>
        <v>Os164</v>
      </c>
      <c r="F1611">
        <f>VLOOKUP(B1611,Nuclides!A:F,4,FALSE)</f>
        <v>2.1000000000000001E-2</v>
      </c>
      <c r="G1611" s="3" t="str">
        <f t="shared" si="128"/>
        <v>0.021s</v>
      </c>
      <c r="H1611" s="3">
        <f t="shared" si="129"/>
        <v>33.007008598092632</v>
      </c>
      <c r="I1611" s="3">
        <f t="shared" si="130"/>
        <v>0</v>
      </c>
      <c r="J1611" s="3">
        <f t="shared" si="131"/>
        <v>0</v>
      </c>
      <c r="K1611" s="3" t="str">
        <f t="shared" si="132"/>
        <v>Os164</v>
      </c>
      <c r="L1611" s="3" cm="1">
        <f t="array" ref="L1611">SUM(($J1611*EXP(-$H1611*12*3600*_xlfn.SEQUENCE(L$1-1))))+$J1611</f>
        <v>0</v>
      </c>
      <c r="M1611" s="3"/>
      <c r="N1611" s="3"/>
    </row>
    <row r="1612" spans="2:14" hidden="1" x14ac:dyDescent="0.2">
      <c r="B1612" s="3">
        <v>76165</v>
      </c>
      <c r="C1612" s="3">
        <v>0</v>
      </c>
      <c r="D1612">
        <v>1609</v>
      </c>
      <c r="E1612" t="str">
        <f>VLOOKUP(B1612,Nuclides!A:F,5,FALSE)</f>
        <v>Os165</v>
      </c>
      <c r="F1612">
        <f>VLOOKUP(B1612,Nuclides!A:F,4,FALSE)</f>
        <v>7.0999999999999994E-2</v>
      </c>
      <c r="G1612" s="3" t="str">
        <f t="shared" si="128"/>
        <v>0.071s</v>
      </c>
      <c r="H1612" s="3">
        <f t="shared" si="129"/>
        <v>9.7626363459147232</v>
      </c>
      <c r="I1612" s="3">
        <f t="shared" si="130"/>
        <v>0</v>
      </c>
      <c r="J1612" s="3">
        <f t="shared" si="131"/>
        <v>0</v>
      </c>
      <c r="K1612" s="3" t="str">
        <f t="shared" si="132"/>
        <v>Os165</v>
      </c>
      <c r="L1612" s="3" cm="1">
        <f t="array" ref="L1612">SUM(($J1612*EXP(-$H1612*12*3600*_xlfn.SEQUENCE(L$1-1))))+$J1612</f>
        <v>0</v>
      </c>
      <c r="M1612" s="3"/>
      <c r="N1612" s="3"/>
    </row>
    <row r="1613" spans="2:14" hidden="1" x14ac:dyDescent="0.2">
      <c r="B1613" s="3">
        <v>76166</v>
      </c>
      <c r="C1613" s="3">
        <v>0</v>
      </c>
      <c r="D1613">
        <v>1610</v>
      </c>
      <c r="E1613" t="str">
        <f>VLOOKUP(B1613,Nuclides!A:F,5,FALSE)</f>
        <v>Os166</v>
      </c>
      <c r="F1613">
        <f>VLOOKUP(B1613,Nuclides!A:F,4,FALSE)</f>
        <v>0.20799999999999999</v>
      </c>
      <c r="G1613" s="3" t="str">
        <f t="shared" si="128"/>
        <v>0.208s</v>
      </c>
      <c r="H1613" s="3">
        <f t="shared" si="129"/>
        <v>3.3324383680766601</v>
      </c>
      <c r="I1613" s="3">
        <f t="shared" si="130"/>
        <v>0</v>
      </c>
      <c r="J1613" s="3">
        <f t="shared" si="131"/>
        <v>0</v>
      </c>
      <c r="K1613" s="3" t="str">
        <f t="shared" si="132"/>
        <v>Os166</v>
      </c>
      <c r="L1613" s="3" cm="1">
        <f t="array" ref="L1613">SUM(($J1613*EXP(-$H1613*12*3600*_xlfn.SEQUENCE(L$1-1))))+$J1613</f>
        <v>0</v>
      </c>
      <c r="M1613" s="3"/>
      <c r="N1613" s="3"/>
    </row>
    <row r="1614" spans="2:14" hidden="1" x14ac:dyDescent="0.2">
      <c r="B1614" s="3">
        <v>76167</v>
      </c>
      <c r="C1614" s="3">
        <v>0</v>
      </c>
      <c r="D1614">
        <v>1611</v>
      </c>
      <c r="E1614" t="str">
        <f>VLOOKUP(B1614,Nuclides!A:F,5,FALSE)</f>
        <v>Os167</v>
      </c>
      <c r="F1614">
        <f>VLOOKUP(B1614,Nuclides!A:F,4,FALSE)</f>
        <v>0.81</v>
      </c>
      <c r="G1614" s="3" t="str">
        <f t="shared" si="128"/>
        <v>0.81s</v>
      </c>
      <c r="H1614" s="3">
        <f t="shared" si="129"/>
        <v>0.85573725995054972</v>
      </c>
      <c r="I1614" s="3">
        <f t="shared" si="130"/>
        <v>0</v>
      </c>
      <c r="J1614" s="3">
        <f t="shared" si="131"/>
        <v>0</v>
      </c>
      <c r="K1614" s="3" t="str">
        <f t="shared" si="132"/>
        <v>Os167</v>
      </c>
      <c r="L1614" s="3" cm="1">
        <f t="array" ref="L1614">SUM(($J1614*EXP(-$H1614*12*3600*_xlfn.SEQUENCE(L$1-1))))+$J1614</f>
        <v>0</v>
      </c>
      <c r="M1614" s="3"/>
      <c r="N1614" s="3"/>
    </row>
    <row r="1615" spans="2:14" hidden="1" x14ac:dyDescent="0.2">
      <c r="B1615" s="3">
        <v>76168</v>
      </c>
      <c r="C1615" s="3">
        <v>0</v>
      </c>
      <c r="D1615">
        <v>1612</v>
      </c>
      <c r="E1615" t="str">
        <f>VLOOKUP(B1615,Nuclides!A:F,5,FALSE)</f>
        <v>Os168</v>
      </c>
      <c r="F1615">
        <f>VLOOKUP(B1615,Nuclides!A:F,4,FALSE)</f>
        <v>2.1</v>
      </c>
      <c r="G1615" s="3" t="str">
        <f t="shared" si="128"/>
        <v>2.1s</v>
      </c>
      <c r="H1615" s="3">
        <f t="shared" si="129"/>
        <v>0.3300700859809263</v>
      </c>
      <c r="I1615" s="3">
        <f t="shared" si="130"/>
        <v>0</v>
      </c>
      <c r="J1615" s="3">
        <f t="shared" si="131"/>
        <v>0</v>
      </c>
      <c r="K1615" s="3" t="str">
        <f t="shared" si="132"/>
        <v>Os168</v>
      </c>
      <c r="L1615" s="3" cm="1">
        <f t="array" ref="L1615">SUM(($J1615*EXP(-$H1615*12*3600*_xlfn.SEQUENCE(L$1-1))))+$J1615</f>
        <v>0</v>
      </c>
      <c r="M1615" s="3"/>
      <c r="N1615" s="3"/>
    </row>
    <row r="1616" spans="2:14" hidden="1" x14ac:dyDescent="0.2">
      <c r="B1616" s="3">
        <v>76169</v>
      </c>
      <c r="C1616" s="3">
        <v>0</v>
      </c>
      <c r="D1616">
        <v>1613</v>
      </c>
      <c r="E1616" t="str">
        <f>VLOOKUP(B1616,Nuclides!A:F,5,FALSE)</f>
        <v>Os169</v>
      </c>
      <c r="F1616">
        <f>VLOOKUP(B1616,Nuclides!A:F,4,FALSE)</f>
        <v>3.43</v>
      </c>
      <c r="G1616" s="3" t="str">
        <f t="shared" si="128"/>
        <v>3.43s</v>
      </c>
      <c r="H1616" s="3">
        <f t="shared" si="129"/>
        <v>0.20208372611077122</v>
      </c>
      <c r="I1616" s="3">
        <f t="shared" si="130"/>
        <v>0</v>
      </c>
      <c r="J1616" s="3">
        <f t="shared" si="131"/>
        <v>0</v>
      </c>
      <c r="K1616" s="3" t="str">
        <f t="shared" si="132"/>
        <v>Os169</v>
      </c>
      <c r="L1616" s="3" cm="1">
        <f t="array" ref="L1616">SUM(($J1616*EXP(-$H1616*12*3600*_xlfn.SEQUENCE(L$1-1))))+$J1616</f>
        <v>0</v>
      </c>
      <c r="M1616" s="3"/>
      <c r="N1616" s="3"/>
    </row>
    <row r="1617" spans="2:14" hidden="1" x14ac:dyDescent="0.2">
      <c r="B1617" s="3">
        <v>76170</v>
      </c>
      <c r="C1617" s="3">
        <v>0</v>
      </c>
      <c r="D1617">
        <v>1614</v>
      </c>
      <c r="E1617" t="str">
        <f>VLOOKUP(B1617,Nuclides!A:F,5,FALSE)</f>
        <v>Os170</v>
      </c>
      <c r="F1617">
        <f>VLOOKUP(B1617,Nuclides!A:F,4,FALSE)</f>
        <v>7.37</v>
      </c>
      <c r="G1617" s="3" t="str">
        <f t="shared" si="128"/>
        <v>7.37s</v>
      </c>
      <c r="H1617" s="3">
        <f t="shared" si="129"/>
        <v>9.4049820971498679E-2</v>
      </c>
      <c r="I1617" s="3">
        <f t="shared" si="130"/>
        <v>0</v>
      </c>
      <c r="J1617" s="3">
        <f t="shared" si="131"/>
        <v>0</v>
      </c>
      <c r="K1617" s="3" t="str">
        <f t="shared" si="132"/>
        <v>Os170</v>
      </c>
      <c r="L1617" s="3" cm="1">
        <f t="array" ref="L1617">SUM(($J1617*EXP(-$H1617*12*3600*_xlfn.SEQUENCE(L$1-1))))+$J1617</f>
        <v>0</v>
      </c>
      <c r="M1617" s="3"/>
      <c r="N1617" s="3"/>
    </row>
    <row r="1618" spans="2:14" hidden="1" x14ac:dyDescent="0.2">
      <c r="B1618" s="3">
        <v>76171</v>
      </c>
      <c r="C1618" s="3">
        <v>0</v>
      </c>
      <c r="D1618">
        <v>1615</v>
      </c>
      <c r="E1618" t="str">
        <f>VLOOKUP(B1618,Nuclides!A:F,5,FALSE)</f>
        <v>Os171</v>
      </c>
      <c r="F1618">
        <f>VLOOKUP(B1618,Nuclides!A:F,4,FALSE)</f>
        <v>8.3000000000000007</v>
      </c>
      <c r="G1618" s="3" t="str">
        <f t="shared" si="128"/>
        <v>8.3s</v>
      </c>
      <c r="H1618" s="3">
        <f t="shared" si="129"/>
        <v>8.3511708501198226E-2</v>
      </c>
      <c r="I1618" s="3">
        <f t="shared" si="130"/>
        <v>0</v>
      </c>
      <c r="J1618" s="3">
        <f t="shared" si="131"/>
        <v>0</v>
      </c>
      <c r="K1618" s="3" t="str">
        <f t="shared" si="132"/>
        <v>Os171</v>
      </c>
      <c r="L1618" s="3" cm="1">
        <f t="array" ref="L1618">SUM(($J1618*EXP(-$H1618*12*3600*_xlfn.SEQUENCE(L$1-1))))+$J1618</f>
        <v>0</v>
      </c>
      <c r="M1618" s="3"/>
      <c r="N1618" s="3"/>
    </row>
    <row r="1619" spans="2:14" hidden="1" x14ac:dyDescent="0.2">
      <c r="B1619" s="3">
        <v>76172</v>
      </c>
      <c r="C1619" s="3">
        <v>0</v>
      </c>
      <c r="D1619">
        <v>1616</v>
      </c>
      <c r="E1619" t="str">
        <f>VLOOKUP(B1619,Nuclides!A:F,5,FALSE)</f>
        <v>Os172</v>
      </c>
      <c r="F1619">
        <f>VLOOKUP(B1619,Nuclides!A:F,4,FALSE)</f>
        <v>19.2</v>
      </c>
      <c r="G1619" s="3" t="str">
        <f t="shared" si="128"/>
        <v>19.2s</v>
      </c>
      <c r="H1619" s="3">
        <f t="shared" si="129"/>
        <v>3.6101415654163818E-2</v>
      </c>
      <c r="I1619" s="3">
        <f t="shared" si="130"/>
        <v>0</v>
      </c>
      <c r="J1619" s="3">
        <f t="shared" si="131"/>
        <v>0</v>
      </c>
      <c r="K1619" s="3" t="str">
        <f t="shared" si="132"/>
        <v>Os172</v>
      </c>
      <c r="L1619" s="3" cm="1">
        <f t="array" ref="L1619">SUM(($J1619*EXP(-$H1619*12*3600*_xlfn.SEQUENCE(L$1-1))))+$J1619</f>
        <v>0</v>
      </c>
      <c r="M1619" s="3"/>
      <c r="N1619" s="3"/>
    </row>
    <row r="1620" spans="2:14" hidden="1" x14ac:dyDescent="0.2">
      <c r="B1620" s="3">
        <v>76173</v>
      </c>
      <c r="C1620" s="3">
        <v>0</v>
      </c>
      <c r="D1620">
        <v>1617</v>
      </c>
      <c r="E1620" t="str">
        <f>VLOOKUP(B1620,Nuclides!A:F,5,FALSE)</f>
        <v>Os173</v>
      </c>
      <c r="F1620">
        <f>VLOOKUP(B1620,Nuclides!A:F,4,FALSE)</f>
        <v>22.4</v>
      </c>
      <c r="G1620" s="3" t="str">
        <f t="shared" si="128"/>
        <v>22.4s</v>
      </c>
      <c r="H1620" s="3">
        <f t="shared" si="129"/>
        <v>3.0944070560711846E-2</v>
      </c>
      <c r="I1620" s="3">
        <f t="shared" si="130"/>
        <v>0</v>
      </c>
      <c r="J1620" s="3">
        <f t="shared" si="131"/>
        <v>0</v>
      </c>
      <c r="K1620" s="3" t="str">
        <f t="shared" si="132"/>
        <v>Os173</v>
      </c>
      <c r="L1620" s="3" cm="1">
        <f t="array" ref="L1620">SUM(($J1620*EXP(-$H1620*12*3600*_xlfn.SEQUENCE(L$1-1))))+$J1620</f>
        <v>0</v>
      </c>
      <c r="M1620" s="3"/>
      <c r="N1620" s="3"/>
    </row>
    <row r="1621" spans="2:14" hidden="1" x14ac:dyDescent="0.2">
      <c r="B1621" s="3">
        <v>76174</v>
      </c>
      <c r="C1621" s="3">
        <v>0</v>
      </c>
      <c r="D1621">
        <v>1618</v>
      </c>
      <c r="E1621" t="str">
        <f>VLOOKUP(B1621,Nuclides!A:F,5,FALSE)</f>
        <v>Os174</v>
      </c>
      <c r="F1621">
        <f>VLOOKUP(B1621,Nuclides!A:F,4,FALSE)</f>
        <v>44</v>
      </c>
      <c r="G1621" s="3" t="str">
        <f t="shared" si="128"/>
        <v>44s</v>
      </c>
      <c r="H1621" s="3">
        <f t="shared" si="129"/>
        <v>1.575334501272603E-2</v>
      </c>
      <c r="I1621" s="3">
        <f t="shared" si="130"/>
        <v>0</v>
      </c>
      <c r="J1621" s="3">
        <f t="shared" si="131"/>
        <v>0</v>
      </c>
      <c r="K1621" s="3" t="str">
        <f t="shared" si="132"/>
        <v>Os174</v>
      </c>
      <c r="L1621" s="3" cm="1">
        <f t="array" ref="L1621">SUM(($J1621*EXP(-$H1621*12*3600*_xlfn.SEQUENCE(L$1-1))))+$J1621</f>
        <v>0</v>
      </c>
      <c r="M1621" s="3"/>
      <c r="N1621" s="3"/>
    </row>
    <row r="1622" spans="2:14" hidden="1" x14ac:dyDescent="0.2">
      <c r="B1622" s="3">
        <v>76175</v>
      </c>
      <c r="C1622" s="3">
        <v>0</v>
      </c>
      <c r="D1622">
        <v>1619</v>
      </c>
      <c r="E1622" t="str">
        <f>VLOOKUP(B1622,Nuclides!A:F,5,FALSE)</f>
        <v>Os175</v>
      </c>
      <c r="F1622">
        <f>VLOOKUP(B1622,Nuclides!A:F,4,FALSE)</f>
        <v>84</v>
      </c>
      <c r="G1622" s="3" t="str">
        <f t="shared" si="128"/>
        <v>1.4min</v>
      </c>
      <c r="H1622" s="3">
        <f t="shared" si="129"/>
        <v>8.2517521495231588E-3</v>
      </c>
      <c r="I1622" s="3">
        <f t="shared" si="130"/>
        <v>0</v>
      </c>
      <c r="J1622" s="3">
        <f t="shared" si="131"/>
        <v>0</v>
      </c>
      <c r="K1622" s="3" t="str">
        <f t="shared" si="132"/>
        <v>Os175</v>
      </c>
      <c r="L1622" s="3" cm="1">
        <f t="array" ref="L1622">SUM(($J1622*EXP(-$H1622*12*3600*_xlfn.SEQUENCE(L$1-1))))+$J1622</f>
        <v>0</v>
      </c>
      <c r="M1622" s="3"/>
      <c r="N1622" s="3"/>
    </row>
    <row r="1623" spans="2:14" hidden="1" x14ac:dyDescent="0.2">
      <c r="B1623" s="3">
        <v>76176</v>
      </c>
      <c r="C1623" s="3">
        <v>0</v>
      </c>
      <c r="D1623">
        <v>1620</v>
      </c>
      <c r="E1623" t="str">
        <f>VLOOKUP(B1623,Nuclides!A:F,5,FALSE)</f>
        <v>Os176</v>
      </c>
      <c r="F1623">
        <f>VLOOKUP(B1623,Nuclides!A:F,4,FALSE)</f>
        <v>216</v>
      </c>
      <c r="G1623" s="3" t="str">
        <f t="shared" si="128"/>
        <v>3.6min</v>
      </c>
      <c r="H1623" s="3">
        <f t="shared" si="129"/>
        <v>3.2090147248145617E-3</v>
      </c>
      <c r="I1623" s="3">
        <f t="shared" si="130"/>
        <v>0</v>
      </c>
      <c r="J1623" s="3">
        <f t="shared" si="131"/>
        <v>0</v>
      </c>
      <c r="K1623" s="3" t="str">
        <f t="shared" si="132"/>
        <v>Os176</v>
      </c>
      <c r="L1623" s="3" cm="1">
        <f t="array" ref="L1623">SUM(($J1623*EXP(-$H1623*12*3600*_xlfn.SEQUENCE(L$1-1))))+$J1623</f>
        <v>0</v>
      </c>
      <c r="M1623" s="3"/>
      <c r="N1623" s="3"/>
    </row>
    <row r="1624" spans="2:14" hidden="1" x14ac:dyDescent="0.2">
      <c r="B1624" s="3">
        <v>76177</v>
      </c>
      <c r="C1624" s="3">
        <v>0</v>
      </c>
      <c r="D1624">
        <v>1621</v>
      </c>
      <c r="E1624" t="str">
        <f>VLOOKUP(B1624,Nuclides!A:F,5,FALSE)</f>
        <v>Os177</v>
      </c>
      <c r="F1624">
        <f>VLOOKUP(B1624,Nuclides!A:F,4,FALSE)</f>
        <v>180</v>
      </c>
      <c r="G1624" s="3" t="str">
        <f t="shared" si="128"/>
        <v>3min</v>
      </c>
      <c r="H1624" s="3">
        <f t="shared" si="129"/>
        <v>3.8508176697774738E-3</v>
      </c>
      <c r="I1624" s="3">
        <f t="shared" si="130"/>
        <v>0</v>
      </c>
      <c r="J1624" s="3">
        <f t="shared" si="131"/>
        <v>0</v>
      </c>
      <c r="K1624" s="3" t="str">
        <f t="shared" si="132"/>
        <v>Os177</v>
      </c>
      <c r="L1624" s="3" cm="1">
        <f t="array" ref="L1624">SUM(($J1624*EXP(-$H1624*12*3600*_xlfn.SEQUENCE(L$1-1))))+$J1624</f>
        <v>0</v>
      </c>
      <c r="M1624" s="3"/>
      <c r="N1624" s="3"/>
    </row>
    <row r="1625" spans="2:14" hidden="1" x14ac:dyDescent="0.2">
      <c r="B1625" s="3">
        <v>76178</v>
      </c>
      <c r="C1625" s="3">
        <v>0</v>
      </c>
      <c r="D1625">
        <v>1622</v>
      </c>
      <c r="E1625" t="str">
        <f>VLOOKUP(B1625,Nuclides!A:F,5,FALSE)</f>
        <v>Os178</v>
      </c>
      <c r="F1625">
        <f>VLOOKUP(B1625,Nuclides!A:F,4,FALSE)</f>
        <v>300</v>
      </c>
      <c r="G1625" s="3" t="str">
        <f t="shared" si="128"/>
        <v>5min</v>
      </c>
      <c r="H1625" s="3">
        <f t="shared" si="129"/>
        <v>2.3104906018664843E-3</v>
      </c>
      <c r="I1625" s="3">
        <f t="shared" si="130"/>
        <v>0</v>
      </c>
      <c r="J1625" s="3">
        <f t="shared" si="131"/>
        <v>0</v>
      </c>
      <c r="K1625" s="3" t="str">
        <f t="shared" si="132"/>
        <v>Os178</v>
      </c>
      <c r="L1625" s="3" cm="1">
        <f t="array" ref="L1625">SUM(($J1625*EXP(-$H1625*12*3600*_xlfn.SEQUENCE(L$1-1))))+$J1625</f>
        <v>0</v>
      </c>
      <c r="M1625" s="3"/>
      <c r="N1625" s="3"/>
    </row>
    <row r="1626" spans="2:14" hidden="1" x14ac:dyDescent="0.2">
      <c r="B1626" s="3">
        <v>76179</v>
      </c>
      <c r="C1626" s="3">
        <v>0</v>
      </c>
      <c r="D1626">
        <v>1623</v>
      </c>
      <c r="E1626" t="str">
        <f>VLOOKUP(B1626,Nuclides!A:F,5,FALSE)</f>
        <v>Os179</v>
      </c>
      <c r="F1626">
        <f>VLOOKUP(B1626,Nuclides!A:F,4,FALSE)</f>
        <v>390</v>
      </c>
      <c r="G1626" s="3" t="str">
        <f t="shared" si="128"/>
        <v>6.5min</v>
      </c>
      <c r="H1626" s="3">
        <f t="shared" si="129"/>
        <v>1.7773004629742187E-3</v>
      </c>
      <c r="I1626" s="3">
        <f t="shared" si="130"/>
        <v>0</v>
      </c>
      <c r="J1626" s="3">
        <f t="shared" si="131"/>
        <v>0</v>
      </c>
      <c r="K1626" s="3" t="str">
        <f t="shared" si="132"/>
        <v>Os179</v>
      </c>
      <c r="L1626" s="3" cm="1">
        <f t="array" ref="L1626">SUM(($J1626*EXP(-$H1626*12*3600*_xlfn.SEQUENCE(L$1-1))))+$J1626</f>
        <v>0</v>
      </c>
      <c r="M1626" s="3"/>
      <c r="N1626" s="3"/>
    </row>
    <row r="1627" spans="2:14" hidden="1" x14ac:dyDescent="0.2">
      <c r="B1627" s="3">
        <v>76180</v>
      </c>
      <c r="C1627" s="3">
        <v>0</v>
      </c>
      <c r="D1627">
        <v>1624</v>
      </c>
      <c r="E1627" t="str">
        <f>VLOOKUP(B1627,Nuclides!A:F,5,FALSE)</f>
        <v>Os180</v>
      </c>
      <c r="F1627">
        <f>VLOOKUP(B1627,Nuclides!A:F,4,FALSE)</f>
        <v>1290</v>
      </c>
      <c r="G1627" s="3" t="str">
        <f t="shared" si="128"/>
        <v>21.5min</v>
      </c>
      <c r="H1627" s="3">
        <f t="shared" si="129"/>
        <v>5.3732339578290334E-4</v>
      </c>
      <c r="I1627" s="3">
        <f t="shared" si="130"/>
        <v>0</v>
      </c>
      <c r="J1627" s="3">
        <f t="shared" si="131"/>
        <v>0</v>
      </c>
      <c r="K1627" s="3" t="str">
        <f t="shared" si="132"/>
        <v>Os180</v>
      </c>
      <c r="L1627" s="3" cm="1">
        <f t="array" ref="L1627">SUM(($J1627*EXP(-$H1627*12*3600*_xlfn.SEQUENCE(L$1-1))))+$J1627</f>
        <v>0</v>
      </c>
      <c r="M1627" s="3"/>
      <c r="N1627" s="3"/>
    </row>
    <row r="1628" spans="2:14" hidden="1" x14ac:dyDescent="0.2">
      <c r="B1628" s="3">
        <v>76181</v>
      </c>
      <c r="C1628" s="3">
        <v>0</v>
      </c>
      <c r="D1628">
        <v>1625</v>
      </c>
      <c r="E1628" t="str">
        <f>VLOOKUP(B1628,Nuclides!A:F,5,FALSE)</f>
        <v>Os181</v>
      </c>
      <c r="F1628">
        <f>VLOOKUP(B1628,Nuclides!A:F,4,FALSE)</f>
        <v>6300</v>
      </c>
      <c r="G1628" s="3" t="str">
        <f t="shared" si="128"/>
        <v>1.75h</v>
      </c>
      <c r="H1628" s="3">
        <f t="shared" si="129"/>
        <v>1.1002336199364211E-4</v>
      </c>
      <c r="I1628" s="3">
        <f t="shared" si="130"/>
        <v>0</v>
      </c>
      <c r="J1628" s="3">
        <f t="shared" si="131"/>
        <v>0</v>
      </c>
      <c r="K1628" s="3" t="str">
        <f t="shared" si="132"/>
        <v>Os181</v>
      </c>
      <c r="L1628" s="3" cm="1">
        <f t="array" ref="L1628">SUM(($J1628*EXP(-$H1628*12*3600*_xlfn.SEQUENCE(L$1-1))))+$J1628</f>
        <v>0</v>
      </c>
      <c r="M1628" s="3"/>
      <c r="N1628" s="3"/>
    </row>
    <row r="1629" spans="2:14" hidden="1" x14ac:dyDescent="0.2">
      <c r="B1629" s="3">
        <v>76182</v>
      </c>
      <c r="C1629" s="3">
        <v>0</v>
      </c>
      <c r="D1629">
        <v>1626</v>
      </c>
      <c r="E1629" t="str">
        <f>VLOOKUP(B1629,Nuclides!A:F,5,FALSE)</f>
        <v>Os182</v>
      </c>
      <c r="F1629">
        <f>VLOOKUP(B1629,Nuclides!A:F,4,FALSE)</f>
        <v>78624</v>
      </c>
      <c r="G1629" s="3" t="str">
        <f t="shared" si="128"/>
        <v>21.84h</v>
      </c>
      <c r="H1629" s="3">
        <f t="shared" si="129"/>
        <v>8.8159745187213223E-6</v>
      </c>
      <c r="I1629" s="3">
        <f t="shared" si="130"/>
        <v>0</v>
      </c>
      <c r="J1629" s="3">
        <f t="shared" si="131"/>
        <v>0</v>
      </c>
      <c r="K1629" s="3" t="str">
        <f t="shared" si="132"/>
        <v>Os182</v>
      </c>
      <c r="L1629" s="3" cm="1">
        <f t="array" ref="L1629">SUM(($J1629*EXP(-$H1629*12*3600*_xlfn.SEQUENCE(L$1-1))))+$J1629</f>
        <v>0</v>
      </c>
      <c r="M1629" s="3"/>
      <c r="N1629" s="3"/>
    </row>
    <row r="1630" spans="2:14" hidden="1" x14ac:dyDescent="0.2">
      <c r="B1630" s="3">
        <v>76183</v>
      </c>
      <c r="C1630" s="3">
        <v>0</v>
      </c>
      <c r="D1630">
        <v>1627</v>
      </c>
      <c r="E1630" t="str">
        <f>VLOOKUP(B1630,Nuclides!A:F,5,FALSE)</f>
        <v>Os183</v>
      </c>
      <c r="F1630">
        <f>VLOOKUP(B1630,Nuclides!A:F,4,FALSE)</f>
        <v>46800</v>
      </c>
      <c r="G1630" s="3" t="str">
        <f t="shared" si="128"/>
        <v>13h</v>
      </c>
      <c r="H1630" s="3">
        <f t="shared" si="129"/>
        <v>1.4810837191451823E-5</v>
      </c>
      <c r="I1630" s="3">
        <f t="shared" si="130"/>
        <v>0</v>
      </c>
      <c r="J1630" s="3">
        <f t="shared" si="131"/>
        <v>0</v>
      </c>
      <c r="K1630" s="3" t="str">
        <f t="shared" si="132"/>
        <v>Os183</v>
      </c>
      <c r="L1630" s="3" cm="1">
        <f t="array" ref="L1630">SUM(($J1630*EXP(-$H1630*12*3600*_xlfn.SEQUENCE(L$1-1))))+$J1630</f>
        <v>0</v>
      </c>
      <c r="M1630" s="3"/>
      <c r="N1630" s="3"/>
    </row>
    <row r="1631" spans="2:14" hidden="1" x14ac:dyDescent="0.2">
      <c r="B1631" s="3">
        <v>76184</v>
      </c>
      <c r="C1631" s="3">
        <v>0</v>
      </c>
      <c r="D1631">
        <v>1628</v>
      </c>
      <c r="E1631" t="str">
        <f>VLOOKUP(B1631,Nuclides!A:F,5,FALSE)</f>
        <v>Os184</v>
      </c>
      <c r="F1631">
        <f>VLOOKUP(B1631,Nuclides!A:F,4,FALSE)</f>
        <v>1.7672256E+21</v>
      </c>
      <c r="G1631" s="3" t="str">
        <f t="shared" si="128"/>
        <v>56038356164383.6y</v>
      </c>
      <c r="H1631" s="3">
        <f t="shared" si="129"/>
        <v>3.9222337010053796E-22</v>
      </c>
      <c r="I1631" s="3">
        <f t="shared" si="130"/>
        <v>0</v>
      </c>
      <c r="J1631" s="3">
        <f t="shared" si="131"/>
        <v>0</v>
      </c>
      <c r="K1631" s="3" t="str">
        <f t="shared" si="132"/>
        <v>Os184</v>
      </c>
      <c r="L1631" s="3" cm="1">
        <f t="array" ref="L1631">SUM(($J1631*EXP(-$H1631*12*3600*_xlfn.SEQUENCE(L$1-1))))+$J1631</f>
        <v>0</v>
      </c>
      <c r="M1631" s="3"/>
      <c r="N1631" s="3"/>
    </row>
    <row r="1632" spans="2:14" hidden="1" x14ac:dyDescent="0.2">
      <c r="B1632" s="3">
        <v>76185</v>
      </c>
      <c r="C1632" s="3">
        <v>0</v>
      </c>
      <c r="D1632">
        <v>1629</v>
      </c>
      <c r="E1632" t="str">
        <f>VLOOKUP(B1632,Nuclides!A:F,5,FALSE)</f>
        <v>Os185</v>
      </c>
      <c r="F1632">
        <f>VLOOKUP(B1632,Nuclides!A:F,4,FALSE)</f>
        <v>8087039.9999999898</v>
      </c>
      <c r="G1632" s="3" t="str">
        <f t="shared" si="128"/>
        <v>93.6d</v>
      </c>
      <c r="H1632" s="3">
        <f t="shared" si="129"/>
        <v>8.5710863376457413E-8</v>
      </c>
      <c r="I1632" s="3">
        <f t="shared" si="130"/>
        <v>0</v>
      </c>
      <c r="J1632" s="3">
        <f t="shared" si="131"/>
        <v>0</v>
      </c>
      <c r="K1632" s="3" t="str">
        <f t="shared" si="132"/>
        <v>Os185</v>
      </c>
      <c r="L1632" s="3" cm="1">
        <f t="array" ref="L1632">SUM(($J1632*EXP(-$H1632*12*3600*_xlfn.SEQUENCE(L$1-1))))+$J1632</f>
        <v>0</v>
      </c>
      <c r="M1632" s="3"/>
      <c r="N1632" s="3"/>
    </row>
    <row r="1633" spans="2:14" hidden="1" x14ac:dyDescent="0.2">
      <c r="B1633" s="3">
        <v>76186</v>
      </c>
      <c r="C1633" s="3">
        <v>0</v>
      </c>
      <c r="D1633">
        <v>1630</v>
      </c>
      <c r="E1633" t="str">
        <f>VLOOKUP(B1633,Nuclides!A:F,5,FALSE)</f>
        <v>Os186</v>
      </c>
      <c r="F1633">
        <f>VLOOKUP(B1633,Nuclides!A:F,4,FALSE)</f>
        <v>6.3115200000000002E+22</v>
      </c>
      <c r="G1633" s="3" t="str">
        <f t="shared" si="128"/>
        <v>2001369863013700y</v>
      </c>
      <c r="H1633" s="3">
        <f t="shared" si="129"/>
        <v>1.0982254362815063E-23</v>
      </c>
      <c r="I1633" s="3">
        <f t="shared" si="130"/>
        <v>0</v>
      </c>
      <c r="J1633" s="3">
        <f t="shared" si="131"/>
        <v>0</v>
      </c>
      <c r="K1633" s="3" t="str">
        <f t="shared" si="132"/>
        <v>Os186</v>
      </c>
      <c r="L1633" s="3" cm="1">
        <f t="array" ref="L1633">SUM(($J1633*EXP(-$H1633*12*3600*_xlfn.SEQUENCE(L$1-1))))+$J1633</f>
        <v>0</v>
      </c>
      <c r="M1633" s="3"/>
      <c r="N1633" s="3"/>
    </row>
    <row r="1634" spans="2:14" hidden="1" x14ac:dyDescent="0.2">
      <c r="B1634" s="3">
        <v>76187</v>
      </c>
      <c r="C1634" s="3">
        <v>0</v>
      </c>
      <c r="D1634">
        <v>1631</v>
      </c>
      <c r="E1634" t="str">
        <f>VLOOKUP(B1634,Nuclides!A:F,5,FALSE)</f>
        <v>Os187</v>
      </c>
      <c r="F1634" t="str">
        <f>VLOOKUP(B1634,Nuclides!A:F,4,FALSE)</f>
        <v>STABLE</v>
      </c>
      <c r="G1634" s="3" t="str">
        <f t="shared" si="128"/>
        <v>STABLE</v>
      </c>
      <c r="H1634" s="3" t="e">
        <f t="shared" si="129"/>
        <v>#VALUE!</v>
      </c>
      <c r="I1634" s="3" t="e">
        <f t="shared" si="130"/>
        <v>#VALUE!</v>
      </c>
      <c r="J1634" s="3" t="e">
        <f t="shared" si="131"/>
        <v>#VALUE!</v>
      </c>
      <c r="K1634" s="3" t="str">
        <f t="shared" si="132"/>
        <v>Os187</v>
      </c>
      <c r="L1634" s="3" t="e" cm="1">
        <f t="array" ref="L1634">SUM(($J1634*EXP(-$H1634*12*3600*_xlfn.SEQUENCE(L$1-1))))+$J1634</f>
        <v>#VALUE!</v>
      </c>
      <c r="M1634" s="3"/>
      <c r="N1634" s="3"/>
    </row>
    <row r="1635" spans="2:14" hidden="1" x14ac:dyDescent="0.2">
      <c r="B1635" s="3">
        <v>76188</v>
      </c>
      <c r="C1635" s="3">
        <v>0</v>
      </c>
      <c r="D1635">
        <v>1632</v>
      </c>
      <c r="E1635" t="str">
        <f>VLOOKUP(B1635,Nuclides!A:F,5,FALSE)</f>
        <v>Os188</v>
      </c>
      <c r="F1635" t="str">
        <f>VLOOKUP(B1635,Nuclides!A:F,4,FALSE)</f>
        <v>STABLE</v>
      </c>
      <c r="G1635" s="3" t="str">
        <f t="shared" si="128"/>
        <v>STABLE</v>
      </c>
      <c r="H1635" s="3" t="e">
        <f t="shared" si="129"/>
        <v>#VALUE!</v>
      </c>
      <c r="I1635" s="3" t="e">
        <f t="shared" si="130"/>
        <v>#VALUE!</v>
      </c>
      <c r="J1635" s="3" t="e">
        <f t="shared" si="131"/>
        <v>#VALUE!</v>
      </c>
      <c r="K1635" s="3" t="str">
        <f t="shared" si="132"/>
        <v>Os188</v>
      </c>
      <c r="L1635" s="3" t="e" cm="1">
        <f t="array" ref="L1635">SUM(($J1635*EXP(-$H1635*12*3600*_xlfn.SEQUENCE(L$1-1))))+$J1635</f>
        <v>#VALUE!</v>
      </c>
      <c r="M1635" s="3"/>
      <c r="N1635" s="3"/>
    </row>
    <row r="1636" spans="2:14" hidden="1" x14ac:dyDescent="0.2">
      <c r="B1636" s="3">
        <v>76189</v>
      </c>
      <c r="C1636" s="3">
        <v>0</v>
      </c>
      <c r="D1636">
        <v>1633</v>
      </c>
      <c r="E1636" t="str">
        <f>VLOOKUP(B1636,Nuclides!A:F,5,FALSE)</f>
        <v>Os189</v>
      </c>
      <c r="F1636" t="str">
        <f>VLOOKUP(B1636,Nuclides!A:F,4,FALSE)</f>
        <v>STABLE</v>
      </c>
      <c r="G1636" s="3" t="str">
        <f t="shared" si="128"/>
        <v>STABLE</v>
      </c>
      <c r="H1636" s="3" t="e">
        <f t="shared" si="129"/>
        <v>#VALUE!</v>
      </c>
      <c r="I1636" s="3" t="e">
        <f t="shared" si="130"/>
        <v>#VALUE!</v>
      </c>
      <c r="J1636" s="3" t="e">
        <f t="shared" si="131"/>
        <v>#VALUE!</v>
      </c>
      <c r="K1636" s="3" t="str">
        <f t="shared" si="132"/>
        <v>Os189</v>
      </c>
      <c r="L1636" s="3" t="e" cm="1">
        <f t="array" ref="L1636">SUM(($J1636*EXP(-$H1636*12*3600*_xlfn.SEQUENCE(L$1-1))))+$J1636</f>
        <v>#VALUE!</v>
      </c>
      <c r="M1636" s="3"/>
      <c r="N1636" s="3"/>
    </row>
    <row r="1637" spans="2:14" hidden="1" x14ac:dyDescent="0.2">
      <c r="B1637" s="3">
        <v>76190</v>
      </c>
      <c r="C1637" s="3">
        <v>0</v>
      </c>
      <c r="D1637">
        <v>1634</v>
      </c>
      <c r="E1637" t="str">
        <f>VLOOKUP(B1637,Nuclides!A:F,5,FALSE)</f>
        <v>Os190</v>
      </c>
      <c r="F1637" t="str">
        <f>VLOOKUP(B1637,Nuclides!A:F,4,FALSE)</f>
        <v>STABLE</v>
      </c>
      <c r="G1637" s="3" t="str">
        <f t="shared" si="128"/>
        <v>STABLE</v>
      </c>
      <c r="H1637" s="3" t="e">
        <f t="shared" si="129"/>
        <v>#VALUE!</v>
      </c>
      <c r="I1637" s="3" t="e">
        <f t="shared" si="130"/>
        <v>#VALUE!</v>
      </c>
      <c r="J1637" s="3" t="e">
        <f t="shared" si="131"/>
        <v>#VALUE!</v>
      </c>
      <c r="K1637" s="3" t="str">
        <f t="shared" si="132"/>
        <v>Os190</v>
      </c>
      <c r="L1637" s="3" t="e" cm="1">
        <f t="array" ref="L1637">SUM(($J1637*EXP(-$H1637*12*3600*_xlfn.SEQUENCE(L$1-1))))+$J1637</f>
        <v>#VALUE!</v>
      </c>
      <c r="M1637" s="3"/>
      <c r="N1637" s="3"/>
    </row>
    <row r="1638" spans="2:14" hidden="1" x14ac:dyDescent="0.2">
      <c r="B1638" s="3">
        <v>76191</v>
      </c>
      <c r="C1638" s="3">
        <v>0</v>
      </c>
      <c r="D1638">
        <v>1635</v>
      </c>
      <c r="E1638" t="str">
        <f>VLOOKUP(B1638,Nuclides!A:F,5,FALSE)</f>
        <v>Os191</v>
      </c>
      <c r="F1638">
        <f>VLOOKUP(B1638,Nuclides!A:F,4,FALSE)</f>
        <v>1330560</v>
      </c>
      <c r="G1638" s="3" t="str">
        <f t="shared" si="128"/>
        <v>15.4d</v>
      </c>
      <c r="H1638" s="3">
        <f t="shared" si="129"/>
        <v>5.2094394883353276E-7</v>
      </c>
      <c r="I1638" s="3">
        <f t="shared" si="130"/>
        <v>0</v>
      </c>
      <c r="J1638" s="3">
        <f t="shared" si="131"/>
        <v>0</v>
      </c>
      <c r="K1638" s="3" t="str">
        <f t="shared" si="132"/>
        <v>Os191</v>
      </c>
      <c r="L1638" s="3" cm="1">
        <f t="array" ref="L1638">SUM(($J1638*EXP(-$H1638*12*3600*_xlfn.SEQUENCE(L$1-1))))+$J1638</f>
        <v>0</v>
      </c>
      <c r="M1638" s="3"/>
      <c r="N1638" s="3"/>
    </row>
    <row r="1639" spans="2:14" hidden="1" x14ac:dyDescent="0.2">
      <c r="B1639" s="3">
        <v>76192</v>
      </c>
      <c r="C1639" s="3">
        <v>0</v>
      </c>
      <c r="D1639">
        <v>1636</v>
      </c>
      <c r="E1639" t="str">
        <f>VLOOKUP(B1639,Nuclides!A:F,5,FALSE)</f>
        <v>Os192</v>
      </c>
      <c r="F1639" t="str">
        <f>VLOOKUP(B1639,Nuclides!A:F,4,FALSE)</f>
        <v>STABLE</v>
      </c>
      <c r="G1639" s="3" t="str">
        <f t="shared" si="128"/>
        <v>STABLE</v>
      </c>
      <c r="H1639" s="3" t="e">
        <f t="shared" si="129"/>
        <v>#VALUE!</v>
      </c>
      <c r="I1639" s="3" t="e">
        <f t="shared" si="130"/>
        <v>#VALUE!</v>
      </c>
      <c r="J1639" s="3" t="e">
        <f t="shared" si="131"/>
        <v>#VALUE!</v>
      </c>
      <c r="K1639" s="3" t="str">
        <f t="shared" si="132"/>
        <v>Os192</v>
      </c>
      <c r="L1639" s="3" t="e" cm="1">
        <f t="array" ref="L1639">SUM(($J1639*EXP(-$H1639*12*3600*_xlfn.SEQUENCE(L$1-1))))+$J1639</f>
        <v>#VALUE!</v>
      </c>
      <c r="M1639" s="3"/>
      <c r="N1639" s="3"/>
    </row>
    <row r="1640" spans="2:14" hidden="1" x14ac:dyDescent="0.2">
      <c r="B1640" s="3">
        <v>76193</v>
      </c>
      <c r="C1640" s="3">
        <v>0</v>
      </c>
      <c r="D1640">
        <v>1637</v>
      </c>
      <c r="E1640" t="str">
        <f>VLOOKUP(B1640,Nuclides!A:F,5,FALSE)</f>
        <v>Os193</v>
      </c>
      <c r="F1640">
        <f>VLOOKUP(B1640,Nuclides!A:F,4,FALSE)</f>
        <v>108396</v>
      </c>
      <c r="G1640" s="3" t="str">
        <f t="shared" si="128"/>
        <v>1.25d</v>
      </c>
      <c r="H1640" s="3">
        <f t="shared" si="129"/>
        <v>6.39458264659162E-6</v>
      </c>
      <c r="I1640" s="3">
        <f t="shared" si="130"/>
        <v>0</v>
      </c>
      <c r="J1640" s="3">
        <f t="shared" si="131"/>
        <v>0</v>
      </c>
      <c r="K1640" s="3" t="str">
        <f t="shared" si="132"/>
        <v>Os193</v>
      </c>
      <c r="L1640" s="3" cm="1">
        <f t="array" ref="L1640">SUM(($J1640*EXP(-$H1640*12*3600*_xlfn.SEQUENCE(L$1-1))))+$J1640</f>
        <v>0</v>
      </c>
      <c r="M1640" s="3"/>
      <c r="N1640" s="3"/>
    </row>
    <row r="1641" spans="2:14" hidden="1" x14ac:dyDescent="0.2">
      <c r="B1641" s="3">
        <v>76194</v>
      </c>
      <c r="C1641" s="3">
        <v>0</v>
      </c>
      <c r="D1641">
        <v>1638</v>
      </c>
      <c r="E1641" t="str">
        <f>VLOOKUP(B1641,Nuclides!A:F,5,FALSE)</f>
        <v>Os194</v>
      </c>
      <c r="F1641">
        <f>VLOOKUP(B1641,Nuclides!A:F,4,FALSE)</f>
        <v>189345600</v>
      </c>
      <c r="G1641" s="3" t="str">
        <f t="shared" si="128"/>
        <v>6y</v>
      </c>
      <c r="H1641" s="3">
        <f t="shared" si="129"/>
        <v>3.6607514542716879E-9</v>
      </c>
      <c r="I1641" s="3">
        <f t="shared" si="130"/>
        <v>0</v>
      </c>
      <c r="J1641" s="3">
        <f t="shared" si="131"/>
        <v>0</v>
      </c>
      <c r="K1641" s="3" t="str">
        <f t="shared" si="132"/>
        <v>Os194</v>
      </c>
      <c r="L1641" s="3" cm="1">
        <f t="array" ref="L1641">SUM(($J1641*EXP(-$H1641*12*3600*_xlfn.SEQUENCE(L$1-1))))+$J1641</f>
        <v>0</v>
      </c>
      <c r="M1641" s="3"/>
      <c r="N1641" s="3"/>
    </row>
    <row r="1642" spans="2:14" hidden="1" x14ac:dyDescent="0.2">
      <c r="B1642" s="3">
        <v>76195</v>
      </c>
      <c r="C1642" s="3">
        <v>0</v>
      </c>
      <c r="D1642">
        <v>1639</v>
      </c>
      <c r="E1642" t="str">
        <f>VLOOKUP(B1642,Nuclides!A:F,5,FALSE)</f>
        <v>Os195</v>
      </c>
      <c r="F1642">
        <f>VLOOKUP(B1642,Nuclides!A:F,4,FALSE)</f>
        <v>540</v>
      </c>
      <c r="G1642" s="3" t="str">
        <f t="shared" si="128"/>
        <v>9min</v>
      </c>
      <c r="H1642" s="3">
        <f t="shared" si="129"/>
        <v>1.2836058899258246E-3</v>
      </c>
      <c r="I1642" s="3">
        <f t="shared" si="130"/>
        <v>0</v>
      </c>
      <c r="J1642" s="3">
        <f t="shared" si="131"/>
        <v>0</v>
      </c>
      <c r="K1642" s="3" t="str">
        <f t="shared" si="132"/>
        <v>Os195</v>
      </c>
      <c r="L1642" s="3" cm="1">
        <f t="array" ref="L1642">SUM(($J1642*EXP(-$H1642*12*3600*_xlfn.SEQUENCE(L$1-1))))+$J1642</f>
        <v>0</v>
      </c>
      <c r="M1642" s="3"/>
      <c r="N1642" s="3"/>
    </row>
    <row r="1643" spans="2:14" hidden="1" x14ac:dyDescent="0.2">
      <c r="B1643" s="3">
        <v>76196</v>
      </c>
      <c r="C1643" s="3">
        <v>0</v>
      </c>
      <c r="D1643">
        <v>1640</v>
      </c>
      <c r="E1643" t="str">
        <f>VLOOKUP(B1643,Nuclides!A:F,5,FALSE)</f>
        <v>Os196</v>
      </c>
      <c r="F1643">
        <f>VLOOKUP(B1643,Nuclides!A:F,4,FALSE)</f>
        <v>2094</v>
      </c>
      <c r="G1643" s="3" t="str">
        <f t="shared" si="128"/>
        <v>34.9min</v>
      </c>
      <c r="H1643" s="3">
        <f t="shared" si="129"/>
        <v>3.3101584553961092E-4</v>
      </c>
      <c r="I1643" s="3">
        <f t="shared" si="130"/>
        <v>0</v>
      </c>
      <c r="J1643" s="3">
        <f t="shared" si="131"/>
        <v>0</v>
      </c>
      <c r="K1643" s="3" t="str">
        <f t="shared" si="132"/>
        <v>Os196</v>
      </c>
      <c r="L1643" s="3" cm="1">
        <f t="array" ref="L1643">SUM(($J1643*EXP(-$H1643*12*3600*_xlfn.SEQUENCE(L$1-1))))+$J1643</f>
        <v>0</v>
      </c>
      <c r="M1643" s="3"/>
      <c r="N1643" s="3"/>
    </row>
    <row r="1644" spans="2:14" hidden="1" x14ac:dyDescent="0.2">
      <c r="B1644" s="3">
        <v>77166</v>
      </c>
      <c r="C1644" s="3">
        <v>0</v>
      </c>
      <c r="D1644">
        <v>1641</v>
      </c>
      <c r="E1644" t="str">
        <f>VLOOKUP(B1644,Nuclides!A:F,5,FALSE)</f>
        <v>Ir166</v>
      </c>
      <c r="F1644">
        <f>VLOOKUP(B1644,Nuclides!A:F,4,FALSE)</f>
        <v>1.0500000000000001E-2</v>
      </c>
      <c r="G1644" s="3" t="str">
        <f t="shared" si="128"/>
        <v>0.0105s</v>
      </c>
      <c r="H1644" s="3">
        <f t="shared" si="129"/>
        <v>66.014017196185264</v>
      </c>
      <c r="I1644" s="3">
        <f t="shared" si="130"/>
        <v>0</v>
      </c>
      <c r="J1644" s="3">
        <f t="shared" si="131"/>
        <v>0</v>
      </c>
      <c r="K1644" s="3" t="str">
        <f t="shared" si="132"/>
        <v>Ir166</v>
      </c>
      <c r="L1644" s="3" cm="1">
        <f t="array" ref="L1644">SUM(($J1644*EXP(-$H1644*12*3600*_xlfn.SEQUENCE(L$1-1))))+$J1644</f>
        <v>0</v>
      </c>
      <c r="M1644" s="3"/>
      <c r="N1644" s="3"/>
    </row>
    <row r="1645" spans="2:14" hidden="1" x14ac:dyDescent="0.2">
      <c r="B1645" s="3">
        <v>77167</v>
      </c>
      <c r="C1645" s="3">
        <v>0</v>
      </c>
      <c r="D1645">
        <v>1642</v>
      </c>
      <c r="E1645" t="str">
        <f>VLOOKUP(B1645,Nuclides!A:F,5,FALSE)</f>
        <v>Ir167</v>
      </c>
      <c r="F1645">
        <f>VLOOKUP(B1645,Nuclides!A:F,4,FALSE)</f>
        <v>0.03</v>
      </c>
      <c r="G1645" s="3" t="str">
        <f t="shared" si="128"/>
        <v>0.03s</v>
      </c>
      <c r="H1645" s="3">
        <f t="shared" si="129"/>
        <v>23.104906018664845</v>
      </c>
      <c r="I1645" s="3">
        <f t="shared" si="130"/>
        <v>0</v>
      </c>
      <c r="J1645" s="3">
        <f t="shared" si="131"/>
        <v>0</v>
      </c>
      <c r="K1645" s="3" t="str">
        <f t="shared" si="132"/>
        <v>Ir167</v>
      </c>
      <c r="L1645" s="3" cm="1">
        <f t="array" ref="L1645">SUM(($J1645*EXP(-$H1645*12*3600*_xlfn.SEQUENCE(L$1-1))))+$J1645</f>
        <v>0</v>
      </c>
      <c r="M1645" s="3"/>
      <c r="N1645" s="3"/>
    </row>
    <row r="1646" spans="2:14" hidden="1" x14ac:dyDescent="0.2">
      <c r="B1646" s="3">
        <v>77168</v>
      </c>
      <c r="C1646" s="3">
        <v>0</v>
      </c>
      <c r="D1646">
        <v>1643</v>
      </c>
      <c r="E1646" t="str">
        <f>VLOOKUP(B1646,Nuclides!A:F,5,FALSE)</f>
        <v>Ir168</v>
      </c>
      <c r="F1646">
        <f>VLOOKUP(B1646,Nuclides!A:F,4,FALSE)</f>
        <v>0.222</v>
      </c>
      <c r="G1646" s="3" t="str">
        <f t="shared" si="128"/>
        <v>0.222s</v>
      </c>
      <c r="H1646" s="3">
        <f t="shared" si="129"/>
        <v>3.1222845971168707</v>
      </c>
      <c r="I1646" s="3">
        <f t="shared" si="130"/>
        <v>0</v>
      </c>
      <c r="J1646" s="3">
        <f t="shared" si="131"/>
        <v>0</v>
      </c>
      <c r="K1646" s="3" t="str">
        <f t="shared" si="132"/>
        <v>Ir168</v>
      </c>
      <c r="L1646" s="3" cm="1">
        <f t="array" ref="L1646">SUM(($J1646*EXP(-$H1646*12*3600*_xlfn.SEQUENCE(L$1-1))))+$J1646</f>
        <v>0</v>
      </c>
      <c r="M1646" s="3"/>
      <c r="N1646" s="3"/>
    </row>
    <row r="1647" spans="2:14" hidden="1" x14ac:dyDescent="0.2">
      <c r="B1647" s="3">
        <v>77169</v>
      </c>
      <c r="C1647" s="3">
        <v>0</v>
      </c>
      <c r="D1647">
        <v>1644</v>
      </c>
      <c r="E1647" t="str">
        <f>VLOOKUP(B1647,Nuclides!A:F,5,FALSE)</f>
        <v>Ir169</v>
      </c>
      <c r="F1647">
        <f>VLOOKUP(B1647,Nuclides!A:F,4,FALSE)</f>
        <v>0.56999999999999995</v>
      </c>
      <c r="G1647" s="3" t="str">
        <f t="shared" si="128"/>
        <v>0.57s</v>
      </c>
      <c r="H1647" s="3">
        <f t="shared" si="129"/>
        <v>1.2160476851928865</v>
      </c>
      <c r="I1647" s="3">
        <f t="shared" si="130"/>
        <v>0</v>
      </c>
      <c r="J1647" s="3">
        <f t="shared" si="131"/>
        <v>0</v>
      </c>
      <c r="K1647" s="3" t="str">
        <f t="shared" si="132"/>
        <v>Ir169</v>
      </c>
      <c r="L1647" s="3" cm="1">
        <f t="array" ref="L1647">SUM(($J1647*EXP(-$H1647*12*3600*_xlfn.SEQUENCE(L$1-1))))+$J1647</f>
        <v>0</v>
      </c>
      <c r="M1647" s="3"/>
      <c r="N1647" s="3"/>
    </row>
    <row r="1648" spans="2:14" hidden="1" x14ac:dyDescent="0.2">
      <c r="B1648" s="3">
        <v>77170</v>
      </c>
      <c r="C1648" s="3">
        <v>0</v>
      </c>
      <c r="D1648">
        <v>1645</v>
      </c>
      <c r="E1648" t="str">
        <f>VLOOKUP(B1648,Nuclides!A:F,5,FALSE)</f>
        <v>Ir170</v>
      </c>
      <c r="F1648">
        <f>VLOOKUP(B1648,Nuclides!A:F,4,FALSE)</f>
        <v>0.87</v>
      </c>
      <c r="G1648" s="3" t="str">
        <f t="shared" si="128"/>
        <v>0.87s</v>
      </c>
      <c r="H1648" s="3">
        <f t="shared" si="129"/>
        <v>0.79672089719533945</v>
      </c>
      <c r="I1648" s="3">
        <f t="shared" si="130"/>
        <v>0</v>
      </c>
      <c r="J1648" s="3">
        <f t="shared" si="131"/>
        <v>0</v>
      </c>
      <c r="K1648" s="3" t="str">
        <f t="shared" si="132"/>
        <v>Ir170</v>
      </c>
      <c r="L1648" s="3" cm="1">
        <f t="array" ref="L1648">SUM(($J1648*EXP(-$H1648*12*3600*_xlfn.SEQUENCE(L$1-1))))+$J1648</f>
        <v>0</v>
      </c>
      <c r="M1648" s="3"/>
      <c r="N1648" s="3"/>
    </row>
    <row r="1649" spans="2:14" hidden="1" x14ac:dyDescent="0.2">
      <c r="B1649" s="3">
        <v>77171</v>
      </c>
      <c r="C1649" s="3">
        <v>0</v>
      </c>
      <c r="D1649">
        <v>1646</v>
      </c>
      <c r="E1649" t="str">
        <f>VLOOKUP(B1649,Nuclides!A:F,5,FALSE)</f>
        <v>Ir171</v>
      </c>
      <c r="F1649">
        <f>VLOOKUP(B1649,Nuclides!A:F,4,FALSE)</f>
        <v>3.2</v>
      </c>
      <c r="G1649" s="3" t="str">
        <f t="shared" si="128"/>
        <v>3.2s</v>
      </c>
      <c r="H1649" s="3">
        <f t="shared" si="129"/>
        <v>0.21660849392498288</v>
      </c>
      <c r="I1649" s="3">
        <f t="shared" si="130"/>
        <v>0</v>
      </c>
      <c r="J1649" s="3">
        <f t="shared" si="131"/>
        <v>0</v>
      </c>
      <c r="K1649" s="3" t="str">
        <f t="shared" si="132"/>
        <v>Ir171</v>
      </c>
      <c r="L1649" s="3" cm="1">
        <f t="array" ref="L1649">SUM(($J1649*EXP(-$H1649*12*3600*_xlfn.SEQUENCE(L$1-1))))+$J1649</f>
        <v>0</v>
      </c>
      <c r="M1649" s="3"/>
      <c r="N1649" s="3"/>
    </row>
    <row r="1650" spans="2:14" hidden="1" x14ac:dyDescent="0.2">
      <c r="B1650" s="3">
        <v>77172</v>
      </c>
      <c r="C1650" s="3">
        <v>0</v>
      </c>
      <c r="D1650">
        <v>1647</v>
      </c>
      <c r="E1650" t="str">
        <f>VLOOKUP(B1650,Nuclides!A:F,5,FALSE)</f>
        <v>Ir172</v>
      </c>
      <c r="F1650">
        <f>VLOOKUP(B1650,Nuclides!A:F,4,FALSE)</f>
        <v>4.4000000000000004</v>
      </c>
      <c r="G1650" s="3" t="str">
        <f t="shared" si="128"/>
        <v>4.4s</v>
      </c>
      <c r="H1650" s="3">
        <f t="shared" si="129"/>
        <v>0.15753345012726028</v>
      </c>
      <c r="I1650" s="3">
        <f t="shared" si="130"/>
        <v>0</v>
      </c>
      <c r="J1650" s="3">
        <f t="shared" si="131"/>
        <v>0</v>
      </c>
      <c r="K1650" s="3" t="str">
        <f t="shared" si="132"/>
        <v>Ir172</v>
      </c>
      <c r="L1650" s="3" cm="1">
        <f t="array" ref="L1650">SUM(($J1650*EXP(-$H1650*12*3600*_xlfn.SEQUENCE(L$1-1))))+$J1650</f>
        <v>0</v>
      </c>
      <c r="M1650" s="3"/>
      <c r="N1650" s="3"/>
    </row>
    <row r="1651" spans="2:14" hidden="1" x14ac:dyDescent="0.2">
      <c r="B1651" s="3">
        <v>77173</v>
      </c>
      <c r="C1651" s="3">
        <v>0</v>
      </c>
      <c r="D1651">
        <v>1648</v>
      </c>
      <c r="E1651" t="str">
        <f>VLOOKUP(B1651,Nuclides!A:F,5,FALSE)</f>
        <v>Ir173</v>
      </c>
      <c r="F1651">
        <f>VLOOKUP(B1651,Nuclides!A:F,4,FALSE)</f>
        <v>9</v>
      </c>
      <c r="G1651" s="3" t="str">
        <f t="shared" si="128"/>
        <v>9s</v>
      </c>
      <c r="H1651" s="3">
        <f t="shared" si="129"/>
        <v>7.7016353395549478E-2</v>
      </c>
      <c r="I1651" s="3">
        <f t="shared" si="130"/>
        <v>0</v>
      </c>
      <c r="J1651" s="3">
        <f t="shared" si="131"/>
        <v>0</v>
      </c>
      <c r="K1651" s="3" t="str">
        <f t="shared" si="132"/>
        <v>Ir173</v>
      </c>
      <c r="L1651" s="3" cm="1">
        <f t="array" ref="L1651">SUM(($J1651*EXP(-$H1651*12*3600*_xlfn.SEQUENCE(L$1-1))))+$J1651</f>
        <v>0</v>
      </c>
      <c r="M1651" s="3"/>
      <c r="N1651" s="3"/>
    </row>
    <row r="1652" spans="2:14" hidden="1" x14ac:dyDescent="0.2">
      <c r="B1652" s="3">
        <v>77174</v>
      </c>
      <c r="C1652" s="3">
        <v>0</v>
      </c>
      <c r="D1652">
        <v>1649</v>
      </c>
      <c r="E1652" t="str">
        <f>VLOOKUP(B1652,Nuclides!A:F,5,FALSE)</f>
        <v>Ir174</v>
      </c>
      <c r="F1652">
        <f>VLOOKUP(B1652,Nuclides!A:F,4,FALSE)</f>
        <v>7.9</v>
      </c>
      <c r="G1652" s="3" t="str">
        <f t="shared" si="128"/>
        <v>7.9s</v>
      </c>
      <c r="H1652" s="3">
        <f t="shared" si="129"/>
        <v>8.7740149437967749E-2</v>
      </c>
      <c r="I1652" s="3">
        <f t="shared" si="130"/>
        <v>0</v>
      </c>
      <c r="J1652" s="3">
        <f t="shared" si="131"/>
        <v>0</v>
      </c>
      <c r="K1652" s="3" t="str">
        <f t="shared" si="132"/>
        <v>Ir174</v>
      </c>
      <c r="L1652" s="3" cm="1">
        <f t="array" ref="L1652">SUM(($J1652*EXP(-$H1652*12*3600*_xlfn.SEQUENCE(L$1-1))))+$J1652</f>
        <v>0</v>
      </c>
      <c r="M1652" s="3"/>
      <c r="N1652" s="3"/>
    </row>
    <row r="1653" spans="2:14" hidden="1" x14ac:dyDescent="0.2">
      <c r="B1653" s="3">
        <v>77175</v>
      </c>
      <c r="C1653" s="3">
        <v>0</v>
      </c>
      <c r="D1653">
        <v>1650</v>
      </c>
      <c r="E1653" t="str">
        <f>VLOOKUP(B1653,Nuclides!A:F,5,FALSE)</f>
        <v>Ir175</v>
      </c>
      <c r="F1653">
        <f>VLOOKUP(B1653,Nuclides!A:F,4,FALSE)</f>
        <v>9</v>
      </c>
      <c r="G1653" s="3" t="str">
        <f t="shared" si="128"/>
        <v>9s</v>
      </c>
      <c r="H1653" s="3">
        <f t="shared" si="129"/>
        <v>7.7016353395549478E-2</v>
      </c>
      <c r="I1653" s="3">
        <f t="shared" si="130"/>
        <v>0</v>
      </c>
      <c r="J1653" s="3">
        <f t="shared" si="131"/>
        <v>0</v>
      </c>
      <c r="K1653" s="3" t="str">
        <f t="shared" si="132"/>
        <v>Ir175</v>
      </c>
      <c r="L1653" s="3" cm="1">
        <f t="array" ref="L1653">SUM(($J1653*EXP(-$H1653*12*3600*_xlfn.SEQUENCE(L$1-1))))+$J1653</f>
        <v>0</v>
      </c>
      <c r="M1653" s="3"/>
      <c r="N1653" s="3"/>
    </row>
    <row r="1654" spans="2:14" hidden="1" x14ac:dyDescent="0.2">
      <c r="B1654" s="3">
        <v>77176</v>
      </c>
      <c r="C1654" s="3">
        <v>0</v>
      </c>
      <c r="D1654">
        <v>1651</v>
      </c>
      <c r="E1654" t="str">
        <f>VLOOKUP(B1654,Nuclides!A:F,5,FALSE)</f>
        <v>Ir176</v>
      </c>
      <c r="F1654">
        <f>VLOOKUP(B1654,Nuclides!A:F,4,FALSE)</f>
        <v>8.6</v>
      </c>
      <c r="G1654" s="3" t="str">
        <f t="shared" si="128"/>
        <v>8.6s</v>
      </c>
      <c r="H1654" s="3">
        <f t="shared" si="129"/>
        <v>8.0598509367435497E-2</v>
      </c>
      <c r="I1654" s="3">
        <f t="shared" si="130"/>
        <v>0</v>
      </c>
      <c r="J1654" s="3">
        <f t="shared" si="131"/>
        <v>0</v>
      </c>
      <c r="K1654" s="3" t="str">
        <f t="shared" si="132"/>
        <v>Ir176</v>
      </c>
      <c r="L1654" s="3" cm="1">
        <f t="array" ref="L1654">SUM(($J1654*EXP(-$H1654*12*3600*_xlfn.SEQUENCE(L$1-1))))+$J1654</f>
        <v>0</v>
      </c>
      <c r="M1654" s="3"/>
      <c r="N1654" s="3"/>
    </row>
    <row r="1655" spans="2:14" hidden="1" x14ac:dyDescent="0.2">
      <c r="B1655" s="3">
        <v>77177</v>
      </c>
      <c r="C1655" s="3">
        <v>0</v>
      </c>
      <c r="D1655">
        <v>1652</v>
      </c>
      <c r="E1655" t="str">
        <f>VLOOKUP(B1655,Nuclides!A:F,5,FALSE)</f>
        <v>Ir177</v>
      </c>
      <c r="F1655">
        <f>VLOOKUP(B1655,Nuclides!A:F,4,FALSE)</f>
        <v>30</v>
      </c>
      <c r="G1655" s="3" t="str">
        <f t="shared" si="128"/>
        <v>30s</v>
      </c>
      <c r="H1655" s="3">
        <f t="shared" si="129"/>
        <v>2.3104906018664842E-2</v>
      </c>
      <c r="I1655" s="3">
        <f t="shared" si="130"/>
        <v>0</v>
      </c>
      <c r="J1655" s="3">
        <f t="shared" si="131"/>
        <v>0</v>
      </c>
      <c r="K1655" s="3" t="str">
        <f t="shared" si="132"/>
        <v>Ir177</v>
      </c>
      <c r="L1655" s="3" cm="1">
        <f t="array" ref="L1655">SUM(($J1655*EXP(-$H1655*12*3600*_xlfn.SEQUENCE(L$1-1))))+$J1655</f>
        <v>0</v>
      </c>
      <c r="M1655" s="3"/>
      <c r="N1655" s="3"/>
    </row>
    <row r="1656" spans="2:14" hidden="1" x14ac:dyDescent="0.2">
      <c r="B1656" s="3">
        <v>77178</v>
      </c>
      <c r="C1656" s="3">
        <v>0</v>
      </c>
      <c r="D1656">
        <v>1653</v>
      </c>
      <c r="E1656" t="str">
        <f>VLOOKUP(B1656,Nuclides!A:F,5,FALSE)</f>
        <v>Ir178</v>
      </c>
      <c r="F1656">
        <f>VLOOKUP(B1656,Nuclides!A:F,4,FALSE)</f>
        <v>12</v>
      </c>
      <c r="G1656" s="3" t="str">
        <f t="shared" si="128"/>
        <v>12s</v>
      </c>
      <c r="H1656" s="3">
        <f t="shared" si="129"/>
        <v>5.7762265046662105E-2</v>
      </c>
      <c r="I1656" s="3">
        <f t="shared" si="130"/>
        <v>0</v>
      </c>
      <c r="J1656" s="3">
        <f t="shared" si="131"/>
        <v>0</v>
      </c>
      <c r="K1656" s="3" t="str">
        <f t="shared" si="132"/>
        <v>Ir178</v>
      </c>
      <c r="L1656" s="3" cm="1">
        <f t="array" ref="L1656">SUM(($J1656*EXP(-$H1656*12*3600*_xlfn.SEQUENCE(L$1-1))))+$J1656</f>
        <v>0</v>
      </c>
      <c r="M1656" s="3"/>
      <c r="N1656" s="3"/>
    </row>
    <row r="1657" spans="2:14" hidden="1" x14ac:dyDescent="0.2">
      <c r="B1657" s="3">
        <v>77179</v>
      </c>
      <c r="C1657" s="3">
        <v>0</v>
      </c>
      <c r="D1657">
        <v>1654</v>
      </c>
      <c r="E1657" t="str">
        <f>VLOOKUP(B1657,Nuclides!A:F,5,FALSE)</f>
        <v>Ir179</v>
      </c>
      <c r="F1657">
        <f>VLOOKUP(B1657,Nuclides!A:F,4,FALSE)</f>
        <v>79</v>
      </c>
      <c r="G1657" s="3" t="str">
        <f t="shared" si="128"/>
        <v>1.32min</v>
      </c>
      <c r="H1657" s="3">
        <f t="shared" si="129"/>
        <v>8.7740149437967752E-3</v>
      </c>
      <c r="I1657" s="3">
        <f t="shared" si="130"/>
        <v>0</v>
      </c>
      <c r="J1657" s="3">
        <f t="shared" si="131"/>
        <v>0</v>
      </c>
      <c r="K1657" s="3" t="str">
        <f t="shared" si="132"/>
        <v>Ir179</v>
      </c>
      <c r="L1657" s="3" cm="1">
        <f t="array" ref="L1657">SUM(($J1657*EXP(-$H1657*12*3600*_xlfn.SEQUENCE(L$1-1))))+$J1657</f>
        <v>0</v>
      </c>
      <c r="M1657" s="3"/>
      <c r="N1657" s="3"/>
    </row>
    <row r="1658" spans="2:14" hidden="1" x14ac:dyDescent="0.2">
      <c r="B1658" s="3">
        <v>77180</v>
      </c>
      <c r="C1658" s="3">
        <v>0</v>
      </c>
      <c r="D1658">
        <v>1655</v>
      </c>
      <c r="E1658" t="str">
        <f>VLOOKUP(B1658,Nuclides!A:F,5,FALSE)</f>
        <v>Ir180</v>
      </c>
      <c r="F1658">
        <f>VLOOKUP(B1658,Nuclides!A:F,4,FALSE)</f>
        <v>90</v>
      </c>
      <c r="G1658" s="3" t="str">
        <f t="shared" si="128"/>
        <v>1.5min</v>
      </c>
      <c r="H1658" s="3">
        <f t="shared" si="129"/>
        <v>7.7016353395549476E-3</v>
      </c>
      <c r="I1658" s="3">
        <f t="shared" si="130"/>
        <v>0</v>
      </c>
      <c r="J1658" s="3">
        <f t="shared" si="131"/>
        <v>0</v>
      </c>
      <c r="K1658" s="3" t="str">
        <f t="shared" si="132"/>
        <v>Ir180</v>
      </c>
      <c r="L1658" s="3" cm="1">
        <f t="array" ref="L1658">SUM(($J1658*EXP(-$H1658*12*3600*_xlfn.SEQUENCE(L$1-1))))+$J1658</f>
        <v>0</v>
      </c>
      <c r="M1658" s="3"/>
      <c r="N1658" s="3"/>
    </row>
    <row r="1659" spans="2:14" hidden="1" x14ac:dyDescent="0.2">
      <c r="B1659" s="3">
        <v>77181</v>
      </c>
      <c r="C1659" s="3">
        <v>0</v>
      </c>
      <c r="D1659">
        <v>1656</v>
      </c>
      <c r="E1659" t="str">
        <f>VLOOKUP(B1659,Nuclides!A:F,5,FALSE)</f>
        <v>Ir181</v>
      </c>
      <c r="F1659">
        <f>VLOOKUP(B1659,Nuclides!A:F,4,FALSE)</f>
        <v>294</v>
      </c>
      <c r="G1659" s="3" t="str">
        <f t="shared" si="128"/>
        <v>4.9min</v>
      </c>
      <c r="H1659" s="3">
        <f t="shared" si="129"/>
        <v>2.3576434712923311E-3</v>
      </c>
      <c r="I1659" s="3">
        <f t="shared" si="130"/>
        <v>0</v>
      </c>
      <c r="J1659" s="3">
        <f t="shared" si="131"/>
        <v>0</v>
      </c>
      <c r="K1659" s="3" t="str">
        <f t="shared" si="132"/>
        <v>Ir181</v>
      </c>
      <c r="L1659" s="3" cm="1">
        <f t="array" ref="L1659">SUM(($J1659*EXP(-$H1659*12*3600*_xlfn.SEQUENCE(L$1-1))))+$J1659</f>
        <v>0</v>
      </c>
      <c r="M1659" s="3"/>
      <c r="N1659" s="3"/>
    </row>
    <row r="1660" spans="2:14" hidden="1" x14ac:dyDescent="0.2">
      <c r="B1660" s="3">
        <v>77182</v>
      </c>
      <c r="C1660" s="3">
        <v>0</v>
      </c>
      <c r="D1660">
        <v>1657</v>
      </c>
      <c r="E1660" t="str">
        <f>VLOOKUP(B1660,Nuclides!A:F,5,FALSE)</f>
        <v>Ir182</v>
      </c>
      <c r="F1660">
        <f>VLOOKUP(B1660,Nuclides!A:F,4,FALSE)</f>
        <v>900</v>
      </c>
      <c r="G1660" s="3" t="str">
        <f t="shared" si="128"/>
        <v>15min</v>
      </c>
      <c r="H1660" s="3">
        <f t="shared" si="129"/>
        <v>7.7016353395549476E-4</v>
      </c>
      <c r="I1660" s="3">
        <f t="shared" si="130"/>
        <v>0</v>
      </c>
      <c r="J1660" s="3">
        <f t="shared" si="131"/>
        <v>0</v>
      </c>
      <c r="K1660" s="3" t="str">
        <f t="shared" si="132"/>
        <v>Ir182</v>
      </c>
      <c r="L1660" s="3" cm="1">
        <f t="array" ref="L1660">SUM(($J1660*EXP(-$H1660*12*3600*_xlfn.SEQUENCE(L$1-1))))+$J1660</f>
        <v>0</v>
      </c>
      <c r="M1660" s="3"/>
      <c r="N1660" s="3"/>
    </row>
    <row r="1661" spans="2:14" hidden="1" x14ac:dyDescent="0.2">
      <c r="B1661" s="3">
        <v>77183</v>
      </c>
      <c r="C1661" s="3">
        <v>0</v>
      </c>
      <c r="D1661">
        <v>1658</v>
      </c>
      <c r="E1661" t="str">
        <f>VLOOKUP(B1661,Nuclides!A:F,5,FALSE)</f>
        <v>Ir183</v>
      </c>
      <c r="F1661">
        <f>VLOOKUP(B1661,Nuclides!A:F,4,FALSE)</f>
        <v>3480</v>
      </c>
      <c r="G1661" s="3" t="str">
        <f t="shared" si="128"/>
        <v>58min</v>
      </c>
      <c r="H1661" s="3">
        <f t="shared" si="129"/>
        <v>1.9918022429883485E-4</v>
      </c>
      <c r="I1661" s="3">
        <f t="shared" si="130"/>
        <v>0</v>
      </c>
      <c r="J1661" s="3">
        <f t="shared" si="131"/>
        <v>0</v>
      </c>
      <c r="K1661" s="3" t="str">
        <f t="shared" si="132"/>
        <v>Ir183</v>
      </c>
      <c r="L1661" s="3" cm="1">
        <f t="array" ref="L1661">SUM(($J1661*EXP(-$H1661*12*3600*_xlfn.SEQUENCE(L$1-1))))+$J1661</f>
        <v>0</v>
      </c>
      <c r="M1661" s="3"/>
      <c r="N1661" s="3"/>
    </row>
    <row r="1662" spans="2:14" hidden="1" x14ac:dyDescent="0.2">
      <c r="B1662" s="3">
        <v>77184</v>
      </c>
      <c r="C1662" s="3">
        <v>0</v>
      </c>
      <c r="D1662">
        <v>1659</v>
      </c>
      <c r="E1662" t="str">
        <f>VLOOKUP(B1662,Nuclides!A:F,5,FALSE)</f>
        <v>Ir184</v>
      </c>
      <c r="F1662">
        <f>VLOOKUP(B1662,Nuclides!A:F,4,FALSE)</f>
        <v>11124</v>
      </c>
      <c r="G1662" s="3" t="str">
        <f t="shared" si="128"/>
        <v>3.09h</v>
      </c>
      <c r="H1662" s="3">
        <f t="shared" si="129"/>
        <v>6.2310965530379829E-5</v>
      </c>
      <c r="I1662" s="3">
        <f t="shared" si="130"/>
        <v>0</v>
      </c>
      <c r="J1662" s="3">
        <f t="shared" si="131"/>
        <v>0</v>
      </c>
      <c r="K1662" s="3" t="str">
        <f t="shared" si="132"/>
        <v>Ir184</v>
      </c>
      <c r="L1662" s="3" cm="1">
        <f t="array" ref="L1662">SUM(($J1662*EXP(-$H1662*12*3600*_xlfn.SEQUENCE(L$1-1))))+$J1662</f>
        <v>0</v>
      </c>
      <c r="M1662" s="3"/>
      <c r="N1662" s="3"/>
    </row>
    <row r="1663" spans="2:14" hidden="1" x14ac:dyDescent="0.2">
      <c r="B1663" s="3">
        <v>77185</v>
      </c>
      <c r="C1663" s="3">
        <v>0</v>
      </c>
      <c r="D1663">
        <v>1660</v>
      </c>
      <c r="E1663" t="str">
        <f>VLOOKUP(B1663,Nuclides!A:F,5,FALSE)</f>
        <v>Ir185</v>
      </c>
      <c r="F1663">
        <f>VLOOKUP(B1663,Nuclides!A:F,4,FALSE)</f>
        <v>51840</v>
      </c>
      <c r="G1663" s="3" t="str">
        <f t="shared" si="128"/>
        <v>14.4h</v>
      </c>
      <c r="H1663" s="3">
        <f t="shared" si="129"/>
        <v>1.337089468672734E-5</v>
      </c>
      <c r="I1663" s="3">
        <f t="shared" si="130"/>
        <v>0</v>
      </c>
      <c r="J1663" s="3">
        <f t="shared" si="131"/>
        <v>0</v>
      </c>
      <c r="K1663" s="3" t="str">
        <f t="shared" si="132"/>
        <v>Ir185</v>
      </c>
      <c r="L1663" s="3" cm="1">
        <f t="array" ref="L1663">SUM(($J1663*EXP(-$H1663*12*3600*_xlfn.SEQUENCE(L$1-1))))+$J1663</f>
        <v>0</v>
      </c>
      <c r="M1663" s="3"/>
      <c r="N1663" s="3"/>
    </row>
    <row r="1664" spans="2:14" hidden="1" x14ac:dyDescent="0.2">
      <c r="B1664" s="3">
        <v>77186</v>
      </c>
      <c r="C1664" s="3">
        <v>0</v>
      </c>
      <c r="D1664">
        <v>1661</v>
      </c>
      <c r="E1664" t="str">
        <f>VLOOKUP(B1664,Nuclides!A:F,5,FALSE)</f>
        <v>Ir186</v>
      </c>
      <c r="F1664">
        <f>VLOOKUP(B1664,Nuclides!A:F,4,FALSE)</f>
        <v>59904</v>
      </c>
      <c r="G1664" s="3" t="str">
        <f t="shared" si="128"/>
        <v>16.64h</v>
      </c>
      <c r="H1664" s="3">
        <f t="shared" si="129"/>
        <v>1.1570966555821736E-5</v>
      </c>
      <c r="I1664" s="3">
        <f t="shared" si="130"/>
        <v>0</v>
      </c>
      <c r="J1664" s="3">
        <f t="shared" si="131"/>
        <v>0</v>
      </c>
      <c r="K1664" s="3" t="str">
        <f t="shared" si="132"/>
        <v>Ir186</v>
      </c>
      <c r="L1664" s="3" cm="1">
        <f t="array" ref="L1664">SUM(($J1664*EXP(-$H1664*12*3600*_xlfn.SEQUENCE(L$1-1))))+$J1664</f>
        <v>0</v>
      </c>
      <c r="M1664" s="3"/>
      <c r="N1664" s="3"/>
    </row>
    <row r="1665" spans="2:14" hidden="1" x14ac:dyDescent="0.2">
      <c r="B1665" s="3">
        <v>77187</v>
      </c>
      <c r="C1665" s="3">
        <v>0</v>
      </c>
      <c r="D1665">
        <v>1662</v>
      </c>
      <c r="E1665" t="str">
        <f>VLOOKUP(B1665,Nuclides!A:F,5,FALSE)</f>
        <v>Ir187</v>
      </c>
      <c r="F1665">
        <f>VLOOKUP(B1665,Nuclides!A:F,4,FALSE)</f>
        <v>37800</v>
      </c>
      <c r="G1665" s="3" t="str">
        <f t="shared" si="128"/>
        <v>10.5h</v>
      </c>
      <c r="H1665" s="3">
        <f t="shared" si="129"/>
        <v>1.833722699894035E-5</v>
      </c>
      <c r="I1665" s="3">
        <f t="shared" si="130"/>
        <v>0</v>
      </c>
      <c r="J1665" s="3">
        <f t="shared" si="131"/>
        <v>0</v>
      </c>
      <c r="K1665" s="3" t="str">
        <f t="shared" si="132"/>
        <v>Ir187</v>
      </c>
      <c r="L1665" s="3" cm="1">
        <f t="array" ref="L1665">SUM(($J1665*EXP(-$H1665*12*3600*_xlfn.SEQUENCE(L$1-1))))+$J1665</f>
        <v>0</v>
      </c>
      <c r="M1665" s="3"/>
      <c r="N1665" s="3"/>
    </row>
    <row r="1666" spans="2:14" hidden="1" x14ac:dyDescent="0.2">
      <c r="B1666" s="3">
        <v>77188</v>
      </c>
      <c r="C1666" s="3">
        <v>0</v>
      </c>
      <c r="D1666">
        <v>1663</v>
      </c>
      <c r="E1666" t="str">
        <f>VLOOKUP(B1666,Nuclides!A:F,5,FALSE)</f>
        <v>Ir188</v>
      </c>
      <c r="F1666">
        <f>VLOOKUP(B1666,Nuclides!A:F,4,FALSE)</f>
        <v>149400</v>
      </c>
      <c r="G1666" s="3" t="str">
        <f t="shared" si="128"/>
        <v>1.73d</v>
      </c>
      <c r="H1666" s="3">
        <f t="shared" si="129"/>
        <v>4.6395393611776789E-6</v>
      </c>
      <c r="I1666" s="3">
        <f t="shared" si="130"/>
        <v>0</v>
      </c>
      <c r="J1666" s="3">
        <f t="shared" si="131"/>
        <v>0</v>
      </c>
      <c r="K1666" s="3" t="str">
        <f t="shared" si="132"/>
        <v>Ir188</v>
      </c>
      <c r="L1666" s="3" cm="1">
        <f t="array" ref="L1666">SUM(($J1666*EXP(-$H1666*12*3600*_xlfn.SEQUENCE(L$1-1))))+$J1666</f>
        <v>0</v>
      </c>
      <c r="M1666" s="3"/>
      <c r="N1666" s="3"/>
    </row>
    <row r="1667" spans="2:14" hidden="1" x14ac:dyDescent="0.2">
      <c r="B1667" s="3">
        <v>77189</v>
      </c>
      <c r="C1667" s="3">
        <v>0</v>
      </c>
      <c r="D1667">
        <v>1664</v>
      </c>
      <c r="E1667" t="str">
        <f>VLOOKUP(B1667,Nuclides!A:F,5,FALSE)</f>
        <v>Ir189</v>
      </c>
      <c r="F1667">
        <f>VLOOKUP(B1667,Nuclides!A:F,4,FALSE)</f>
        <v>1140480</v>
      </c>
      <c r="G1667" s="3" t="str">
        <f t="shared" si="128"/>
        <v>13.2d</v>
      </c>
      <c r="H1667" s="3">
        <f t="shared" si="129"/>
        <v>6.077679403057882E-7</v>
      </c>
      <c r="I1667" s="3">
        <f t="shared" si="130"/>
        <v>0</v>
      </c>
      <c r="J1667" s="3">
        <f t="shared" si="131"/>
        <v>0</v>
      </c>
      <c r="K1667" s="3" t="str">
        <f t="shared" si="132"/>
        <v>Ir189</v>
      </c>
      <c r="L1667" s="3" cm="1">
        <f t="array" ref="L1667">SUM(($J1667*EXP(-$H1667*12*3600*_xlfn.SEQUENCE(L$1-1))))+$J1667</f>
        <v>0</v>
      </c>
      <c r="M1667" s="3"/>
      <c r="N1667" s="3"/>
    </row>
    <row r="1668" spans="2:14" hidden="1" x14ac:dyDescent="0.2">
      <c r="B1668" s="3">
        <v>77190</v>
      </c>
      <c r="C1668" s="3">
        <v>0</v>
      </c>
      <c r="D1668">
        <v>1665</v>
      </c>
      <c r="E1668" t="str">
        <f>VLOOKUP(B1668,Nuclides!A:F,5,FALSE)</f>
        <v>Ir190</v>
      </c>
      <c r="F1668">
        <f>VLOOKUP(B1668,Nuclides!A:F,4,FALSE)</f>
        <v>1017792</v>
      </c>
      <c r="G1668" s="3" t="str">
        <f t="shared" ref="G1668:G1731" si="133">IF(F1668="STABLE", "STABLE", IF(F1668&lt;60, F1668&amp;"s", IF(F1668&lt;3600, ROUND(F1668/60,2)&amp;"min", IF(F1668&lt;86400, ROUND(F1668/3600,2)&amp;"h", IF(F1668&lt;31536000, ROUND(F1668/86400,2)&amp;"d", ROUND(F1668/31536000,2)&amp;"y")))))</f>
        <v>11.78d</v>
      </c>
      <c r="H1668" s="3">
        <f t="shared" ref="H1668:H1731" si="134">LN(2)/F1668</f>
        <v>6.8103028964655379E-7</v>
      </c>
      <c r="I1668" s="3">
        <f t="shared" ref="I1668:I1731" si="135">100*6240000000000*C1668*(1-EXP(-H1668*2*3600))</f>
        <v>0</v>
      </c>
      <c r="J1668" s="3">
        <f t="shared" ref="J1668:J1731" si="136">I1668*EXP(-H1668*10*3600)</f>
        <v>0</v>
      </c>
      <c r="K1668" s="3" t="str">
        <f t="shared" ref="K1668:K1731" si="137">E1668</f>
        <v>Ir190</v>
      </c>
      <c r="L1668" s="3" cm="1">
        <f t="array" ref="L1668">SUM(($J1668*EXP(-$H1668*12*3600*_xlfn.SEQUENCE(L$1-1))))+$J1668</f>
        <v>0</v>
      </c>
      <c r="M1668" s="3"/>
      <c r="N1668" s="3"/>
    </row>
    <row r="1669" spans="2:14" hidden="1" x14ac:dyDescent="0.2">
      <c r="B1669" s="3">
        <v>77191</v>
      </c>
      <c r="C1669" s="3">
        <v>0</v>
      </c>
      <c r="D1669">
        <v>1666</v>
      </c>
      <c r="E1669" t="str">
        <f>VLOOKUP(B1669,Nuclides!A:F,5,FALSE)</f>
        <v>Ir191</v>
      </c>
      <c r="F1669" t="str">
        <f>VLOOKUP(B1669,Nuclides!A:F,4,FALSE)</f>
        <v>STABLE</v>
      </c>
      <c r="G1669" s="3" t="str">
        <f t="shared" si="133"/>
        <v>STABLE</v>
      </c>
      <c r="H1669" s="3" t="e">
        <f t="shared" si="134"/>
        <v>#VALUE!</v>
      </c>
      <c r="I1669" s="3" t="e">
        <f t="shared" si="135"/>
        <v>#VALUE!</v>
      </c>
      <c r="J1669" s="3" t="e">
        <f t="shared" si="136"/>
        <v>#VALUE!</v>
      </c>
      <c r="K1669" s="3" t="str">
        <f t="shared" si="137"/>
        <v>Ir191</v>
      </c>
      <c r="L1669" s="3" t="e" cm="1">
        <f t="array" ref="L1669">SUM(($J1669*EXP(-$H1669*12*3600*_xlfn.SEQUENCE(L$1-1))))+$J1669</f>
        <v>#VALUE!</v>
      </c>
      <c r="M1669" s="3"/>
      <c r="N1669" s="3"/>
    </row>
    <row r="1670" spans="2:14" hidden="1" x14ac:dyDescent="0.2">
      <c r="B1670" s="3">
        <v>77192</v>
      </c>
      <c r="C1670" s="3">
        <v>0</v>
      </c>
      <c r="D1670">
        <v>1667</v>
      </c>
      <c r="E1670" t="str">
        <f>VLOOKUP(B1670,Nuclides!A:F,5,FALSE)</f>
        <v>Ir192</v>
      </c>
      <c r="F1670">
        <f>VLOOKUP(B1670,Nuclides!A:F,4,FALSE)</f>
        <v>6378825.5999999996</v>
      </c>
      <c r="G1670" s="3" t="str">
        <f t="shared" si="133"/>
        <v>73.83d</v>
      </c>
      <c r="H1670" s="3">
        <f t="shared" si="134"/>
        <v>1.0866376101581227E-7</v>
      </c>
      <c r="I1670" s="3">
        <f t="shared" si="135"/>
        <v>0</v>
      </c>
      <c r="J1670" s="3">
        <f t="shared" si="136"/>
        <v>0</v>
      </c>
      <c r="K1670" s="3" t="str">
        <f t="shared" si="137"/>
        <v>Ir192</v>
      </c>
      <c r="L1670" s="3" cm="1">
        <f t="array" ref="L1670">SUM(($J1670*EXP(-$H1670*12*3600*_xlfn.SEQUENCE(L$1-1))))+$J1670</f>
        <v>0</v>
      </c>
      <c r="M1670" s="3"/>
      <c r="N1670" s="3"/>
    </row>
    <row r="1671" spans="2:14" hidden="1" x14ac:dyDescent="0.2">
      <c r="B1671" s="3">
        <v>77193</v>
      </c>
      <c r="C1671" s="3">
        <v>0</v>
      </c>
      <c r="D1671">
        <v>1668</v>
      </c>
      <c r="E1671" t="str">
        <f>VLOOKUP(B1671,Nuclides!A:F,5,FALSE)</f>
        <v>Ir193</v>
      </c>
      <c r="F1671" t="str">
        <f>VLOOKUP(B1671,Nuclides!A:F,4,FALSE)</f>
        <v>STABLE</v>
      </c>
      <c r="G1671" s="3" t="str">
        <f t="shared" si="133"/>
        <v>STABLE</v>
      </c>
      <c r="H1671" s="3" t="e">
        <f t="shared" si="134"/>
        <v>#VALUE!</v>
      </c>
      <c r="I1671" s="3" t="e">
        <f t="shared" si="135"/>
        <v>#VALUE!</v>
      </c>
      <c r="J1671" s="3" t="e">
        <f t="shared" si="136"/>
        <v>#VALUE!</v>
      </c>
      <c r="K1671" s="3" t="str">
        <f t="shared" si="137"/>
        <v>Ir193</v>
      </c>
      <c r="L1671" s="3" t="e" cm="1">
        <f t="array" ref="L1671">SUM(($J1671*EXP(-$H1671*12*3600*_xlfn.SEQUENCE(L$1-1))))+$J1671</f>
        <v>#VALUE!</v>
      </c>
      <c r="M1671" s="3"/>
      <c r="N1671" s="3"/>
    </row>
    <row r="1672" spans="2:14" hidden="1" x14ac:dyDescent="0.2">
      <c r="B1672" s="3">
        <v>77194</v>
      </c>
      <c r="C1672" s="3">
        <v>0</v>
      </c>
      <c r="D1672">
        <v>1669</v>
      </c>
      <c r="E1672" t="str">
        <f>VLOOKUP(B1672,Nuclides!A:F,5,FALSE)</f>
        <v>Ir194</v>
      </c>
      <c r="F1672">
        <f>VLOOKUP(B1672,Nuclides!A:F,4,FALSE)</f>
        <v>69408</v>
      </c>
      <c r="G1672" s="3" t="str">
        <f t="shared" si="133"/>
        <v>19.28h</v>
      </c>
      <c r="H1672" s="3">
        <f t="shared" si="134"/>
        <v>9.9865603469332831E-6</v>
      </c>
      <c r="I1672" s="3">
        <f t="shared" si="135"/>
        <v>0</v>
      </c>
      <c r="J1672" s="3">
        <f t="shared" si="136"/>
        <v>0</v>
      </c>
      <c r="K1672" s="3" t="str">
        <f t="shared" si="137"/>
        <v>Ir194</v>
      </c>
      <c r="L1672" s="3" cm="1">
        <f t="array" ref="L1672">SUM(($J1672*EXP(-$H1672*12*3600*_xlfn.SEQUENCE(L$1-1))))+$J1672</f>
        <v>0</v>
      </c>
      <c r="M1672" s="3"/>
      <c r="N1672" s="3"/>
    </row>
    <row r="1673" spans="2:14" hidden="1" x14ac:dyDescent="0.2">
      <c r="B1673" s="3">
        <v>77195</v>
      </c>
      <c r="C1673" s="3">
        <v>0</v>
      </c>
      <c r="D1673">
        <v>1670</v>
      </c>
      <c r="E1673" t="str">
        <f>VLOOKUP(B1673,Nuclides!A:F,5,FALSE)</f>
        <v>Ir195</v>
      </c>
      <c r="F1673">
        <f>VLOOKUP(B1673,Nuclides!A:F,4,FALSE)</f>
        <v>8244</v>
      </c>
      <c r="G1673" s="3" t="str">
        <f t="shared" si="133"/>
        <v>2.29h</v>
      </c>
      <c r="H1673" s="3">
        <f t="shared" si="134"/>
        <v>8.4078988423088945E-5</v>
      </c>
      <c r="I1673" s="3">
        <f t="shared" si="135"/>
        <v>0</v>
      </c>
      <c r="J1673" s="3">
        <f t="shared" si="136"/>
        <v>0</v>
      </c>
      <c r="K1673" s="3" t="str">
        <f t="shared" si="137"/>
        <v>Ir195</v>
      </c>
      <c r="L1673" s="3" cm="1">
        <f t="array" ref="L1673">SUM(($J1673*EXP(-$H1673*12*3600*_xlfn.SEQUENCE(L$1-1))))+$J1673</f>
        <v>0</v>
      </c>
      <c r="M1673" s="3"/>
      <c r="N1673" s="3"/>
    </row>
    <row r="1674" spans="2:14" hidden="1" x14ac:dyDescent="0.2">
      <c r="B1674" s="3">
        <v>77196</v>
      </c>
      <c r="C1674" s="3">
        <v>0</v>
      </c>
      <c r="D1674">
        <v>1671</v>
      </c>
      <c r="E1674" t="str">
        <f>VLOOKUP(B1674,Nuclides!A:F,5,FALSE)</f>
        <v>Ir196</v>
      </c>
      <c r="F1674">
        <f>VLOOKUP(B1674,Nuclides!A:F,4,FALSE)</f>
        <v>52</v>
      </c>
      <c r="G1674" s="3" t="str">
        <f t="shared" si="133"/>
        <v>52s</v>
      </c>
      <c r="H1674" s="3">
        <f t="shared" si="134"/>
        <v>1.332975347230664E-2</v>
      </c>
      <c r="I1674" s="3">
        <f t="shared" si="135"/>
        <v>0</v>
      </c>
      <c r="J1674" s="3">
        <f t="shared" si="136"/>
        <v>0</v>
      </c>
      <c r="K1674" s="3" t="str">
        <f t="shared" si="137"/>
        <v>Ir196</v>
      </c>
      <c r="L1674" s="3" cm="1">
        <f t="array" ref="L1674">SUM(($J1674*EXP(-$H1674*12*3600*_xlfn.SEQUENCE(L$1-1))))+$J1674</f>
        <v>0</v>
      </c>
      <c r="M1674" s="3"/>
      <c r="N1674" s="3"/>
    </row>
    <row r="1675" spans="2:14" hidden="1" x14ac:dyDescent="0.2">
      <c r="B1675" s="3">
        <v>77197</v>
      </c>
      <c r="C1675" s="3">
        <v>0</v>
      </c>
      <c r="D1675">
        <v>1672</v>
      </c>
      <c r="E1675" t="str">
        <f>VLOOKUP(B1675,Nuclides!A:F,5,FALSE)</f>
        <v>Ir197</v>
      </c>
      <c r="F1675">
        <f>VLOOKUP(B1675,Nuclides!A:F,4,FALSE)</f>
        <v>348</v>
      </c>
      <c r="G1675" s="3" t="str">
        <f t="shared" si="133"/>
        <v>5.8min</v>
      </c>
      <c r="H1675" s="3">
        <f t="shared" si="134"/>
        <v>1.9918022429883486E-3</v>
      </c>
      <c r="I1675" s="3">
        <f t="shared" si="135"/>
        <v>0</v>
      </c>
      <c r="J1675" s="3">
        <f t="shared" si="136"/>
        <v>0</v>
      </c>
      <c r="K1675" s="3" t="str">
        <f t="shared" si="137"/>
        <v>Ir197</v>
      </c>
      <c r="L1675" s="3" cm="1">
        <f t="array" ref="L1675">SUM(($J1675*EXP(-$H1675*12*3600*_xlfn.SEQUENCE(L$1-1))))+$J1675</f>
        <v>0</v>
      </c>
      <c r="M1675" s="3"/>
      <c r="N1675" s="3"/>
    </row>
    <row r="1676" spans="2:14" hidden="1" x14ac:dyDescent="0.2">
      <c r="B1676" s="3">
        <v>77198</v>
      </c>
      <c r="C1676" s="3">
        <v>0</v>
      </c>
      <c r="D1676">
        <v>1673</v>
      </c>
      <c r="E1676" t="str">
        <f>VLOOKUP(B1676,Nuclides!A:F,5,FALSE)</f>
        <v>Ir198</v>
      </c>
      <c r="F1676">
        <f>VLOOKUP(B1676,Nuclides!A:F,4,FALSE)</f>
        <v>8</v>
      </c>
      <c r="G1676" s="3" t="str">
        <f t="shared" si="133"/>
        <v>8s</v>
      </c>
      <c r="H1676" s="3">
        <f t="shared" si="134"/>
        <v>8.6643397569993161E-2</v>
      </c>
      <c r="I1676" s="3">
        <f t="shared" si="135"/>
        <v>0</v>
      </c>
      <c r="J1676" s="3">
        <f t="shared" si="136"/>
        <v>0</v>
      </c>
      <c r="K1676" s="3" t="str">
        <f t="shared" si="137"/>
        <v>Ir198</v>
      </c>
      <c r="L1676" s="3" cm="1">
        <f t="array" ref="L1676">SUM(($J1676*EXP(-$H1676*12*3600*_xlfn.SEQUENCE(L$1-1))))+$J1676</f>
        <v>0</v>
      </c>
      <c r="M1676" s="3"/>
      <c r="N1676" s="3"/>
    </row>
    <row r="1677" spans="2:14" hidden="1" x14ac:dyDescent="0.2">
      <c r="B1677" s="3">
        <v>78168</v>
      </c>
      <c r="C1677" s="3">
        <v>0</v>
      </c>
      <c r="D1677">
        <v>1674</v>
      </c>
      <c r="E1677" t="str">
        <f>VLOOKUP(B1677,Nuclides!A:F,5,FALSE)</f>
        <v>Pt168</v>
      </c>
      <c r="F1677">
        <f>VLOOKUP(B1677,Nuclides!A:F,4,FALSE)</f>
        <v>2.0200000000000001E-3</v>
      </c>
      <c r="G1677" s="3" t="str">
        <f t="shared" si="133"/>
        <v>0.00202s</v>
      </c>
      <c r="H1677" s="3">
        <f t="shared" si="134"/>
        <v>343.14216859403228</v>
      </c>
      <c r="I1677" s="3">
        <f t="shared" si="135"/>
        <v>0</v>
      </c>
      <c r="J1677" s="3">
        <f t="shared" si="136"/>
        <v>0</v>
      </c>
      <c r="K1677" s="3" t="str">
        <f t="shared" si="137"/>
        <v>Pt168</v>
      </c>
      <c r="L1677" s="3" cm="1">
        <f t="array" ref="L1677">SUM(($J1677*EXP(-$H1677*12*3600*_xlfn.SEQUENCE(L$1-1))))+$J1677</f>
        <v>0</v>
      </c>
      <c r="M1677" s="3"/>
      <c r="N1677" s="3"/>
    </row>
    <row r="1678" spans="2:14" hidden="1" x14ac:dyDescent="0.2">
      <c r="B1678" s="3">
        <v>78169</v>
      </c>
      <c r="C1678" s="3">
        <v>0</v>
      </c>
      <c r="D1678">
        <v>1675</v>
      </c>
      <c r="E1678" t="str">
        <f>VLOOKUP(B1678,Nuclides!A:F,5,FALSE)</f>
        <v>Pt169</v>
      </c>
      <c r="F1678">
        <f>VLOOKUP(B1678,Nuclides!A:F,4,FALSE)</f>
        <v>6.9899999999999997E-3</v>
      </c>
      <c r="G1678" s="3" t="str">
        <f t="shared" si="133"/>
        <v>0.00699s</v>
      </c>
      <c r="H1678" s="3">
        <f t="shared" si="134"/>
        <v>99.162686775385595</v>
      </c>
      <c r="I1678" s="3">
        <f t="shared" si="135"/>
        <v>0</v>
      </c>
      <c r="J1678" s="3">
        <f t="shared" si="136"/>
        <v>0</v>
      </c>
      <c r="K1678" s="3" t="str">
        <f t="shared" si="137"/>
        <v>Pt169</v>
      </c>
      <c r="L1678" s="3" cm="1">
        <f t="array" ref="L1678">SUM(($J1678*EXP(-$H1678*12*3600*_xlfn.SEQUENCE(L$1-1))))+$J1678</f>
        <v>0</v>
      </c>
      <c r="M1678" s="3"/>
      <c r="N1678" s="3"/>
    </row>
    <row r="1679" spans="2:14" hidden="1" x14ac:dyDescent="0.2">
      <c r="B1679" s="3">
        <v>78170</v>
      </c>
      <c r="C1679" s="3">
        <v>0</v>
      </c>
      <c r="D1679">
        <v>1676</v>
      </c>
      <c r="E1679" t="str">
        <f>VLOOKUP(B1679,Nuclides!A:F,5,FALSE)</f>
        <v>Pt170</v>
      </c>
      <c r="F1679">
        <f>VLOOKUP(B1679,Nuclides!A:F,4,FALSE)</f>
        <v>1.38E-2</v>
      </c>
      <c r="G1679" s="3" t="str">
        <f t="shared" si="133"/>
        <v>0.0138s</v>
      </c>
      <c r="H1679" s="3">
        <f t="shared" si="134"/>
        <v>50.228056562314876</v>
      </c>
      <c r="I1679" s="3">
        <f t="shared" si="135"/>
        <v>0</v>
      </c>
      <c r="J1679" s="3">
        <f t="shared" si="136"/>
        <v>0</v>
      </c>
      <c r="K1679" s="3" t="str">
        <f t="shared" si="137"/>
        <v>Pt170</v>
      </c>
      <c r="L1679" s="3" cm="1">
        <f t="array" ref="L1679">SUM(($J1679*EXP(-$H1679*12*3600*_xlfn.SEQUENCE(L$1-1))))+$J1679</f>
        <v>0</v>
      </c>
      <c r="M1679" s="3"/>
      <c r="N1679" s="3"/>
    </row>
    <row r="1680" spans="2:14" hidden="1" x14ac:dyDescent="0.2">
      <c r="B1680" s="3">
        <v>78171</v>
      </c>
      <c r="C1680" s="3">
        <v>0</v>
      </c>
      <c r="D1680">
        <v>1677</v>
      </c>
      <c r="E1680" t="str">
        <f>VLOOKUP(B1680,Nuclides!A:F,5,FALSE)</f>
        <v>Pt171</v>
      </c>
      <c r="F1680">
        <f>VLOOKUP(B1680,Nuclides!A:F,4,FALSE)</f>
        <v>4.5499999999999999E-2</v>
      </c>
      <c r="G1680" s="3" t="str">
        <f t="shared" si="133"/>
        <v>0.0455s</v>
      </c>
      <c r="H1680" s="3">
        <f t="shared" si="134"/>
        <v>15.234003968350446</v>
      </c>
      <c r="I1680" s="3">
        <f t="shared" si="135"/>
        <v>0</v>
      </c>
      <c r="J1680" s="3">
        <f t="shared" si="136"/>
        <v>0</v>
      </c>
      <c r="K1680" s="3" t="str">
        <f t="shared" si="137"/>
        <v>Pt171</v>
      </c>
      <c r="L1680" s="3" cm="1">
        <f t="array" ref="L1680">SUM(($J1680*EXP(-$H1680*12*3600*_xlfn.SEQUENCE(L$1-1))))+$J1680</f>
        <v>0</v>
      </c>
      <c r="M1680" s="3"/>
      <c r="N1680" s="3"/>
    </row>
    <row r="1681" spans="2:14" hidden="1" x14ac:dyDescent="0.2">
      <c r="B1681" s="3">
        <v>78172</v>
      </c>
      <c r="C1681" s="3">
        <v>0</v>
      </c>
      <c r="D1681">
        <v>1678</v>
      </c>
      <c r="E1681" t="str">
        <f>VLOOKUP(B1681,Nuclides!A:F,5,FALSE)</f>
        <v>Pt172</v>
      </c>
      <c r="F1681">
        <f>VLOOKUP(B1681,Nuclides!A:F,4,FALSE)</f>
        <v>9.7599999999999895E-2</v>
      </c>
      <c r="G1681" s="3" t="str">
        <f t="shared" si="133"/>
        <v>0.0975999999999999s</v>
      </c>
      <c r="H1681" s="3">
        <f t="shared" si="134"/>
        <v>7.101917833606004</v>
      </c>
      <c r="I1681" s="3">
        <f t="shared" si="135"/>
        <v>0</v>
      </c>
      <c r="J1681" s="3">
        <f t="shared" si="136"/>
        <v>0</v>
      </c>
      <c r="K1681" s="3" t="str">
        <f t="shared" si="137"/>
        <v>Pt172</v>
      </c>
      <c r="L1681" s="3" cm="1">
        <f t="array" ref="L1681">SUM(($J1681*EXP(-$H1681*12*3600*_xlfn.SEQUENCE(L$1-1))))+$J1681</f>
        <v>0</v>
      </c>
      <c r="M1681" s="3"/>
      <c r="N1681" s="3"/>
    </row>
    <row r="1682" spans="2:14" hidden="1" x14ac:dyDescent="0.2">
      <c r="B1682" s="3">
        <v>78173</v>
      </c>
      <c r="C1682" s="3">
        <v>0</v>
      </c>
      <c r="D1682">
        <v>1679</v>
      </c>
      <c r="E1682" t="str">
        <f>VLOOKUP(B1682,Nuclides!A:F,5,FALSE)</f>
        <v>Pt173</v>
      </c>
      <c r="F1682">
        <f>VLOOKUP(B1682,Nuclides!A:F,4,FALSE)</f>
        <v>0.38200000000000001</v>
      </c>
      <c r="G1682" s="3" t="str">
        <f t="shared" si="133"/>
        <v>0.382s</v>
      </c>
      <c r="H1682" s="3">
        <f t="shared" si="134"/>
        <v>1.8145214150783908</v>
      </c>
      <c r="I1682" s="3">
        <f t="shared" si="135"/>
        <v>0</v>
      </c>
      <c r="J1682" s="3">
        <f t="shared" si="136"/>
        <v>0</v>
      </c>
      <c r="K1682" s="3" t="str">
        <f t="shared" si="137"/>
        <v>Pt173</v>
      </c>
      <c r="L1682" s="3" cm="1">
        <f t="array" ref="L1682">SUM(($J1682*EXP(-$H1682*12*3600*_xlfn.SEQUENCE(L$1-1))))+$J1682</f>
        <v>0</v>
      </c>
      <c r="M1682" s="3"/>
      <c r="N1682" s="3"/>
    </row>
    <row r="1683" spans="2:14" hidden="1" x14ac:dyDescent="0.2">
      <c r="B1683" s="3">
        <v>78174</v>
      </c>
      <c r="C1683" s="3">
        <v>0</v>
      </c>
      <c r="D1683">
        <v>1680</v>
      </c>
      <c r="E1683" t="str">
        <f>VLOOKUP(B1683,Nuclides!A:F,5,FALSE)</f>
        <v>Pt174</v>
      </c>
      <c r="F1683">
        <f>VLOOKUP(B1683,Nuclides!A:F,4,FALSE)</f>
        <v>0.88900000000000001</v>
      </c>
      <c r="G1683" s="3" t="str">
        <f t="shared" si="133"/>
        <v>0.889s</v>
      </c>
      <c r="H1683" s="3">
        <f t="shared" si="134"/>
        <v>0.77969311649037709</v>
      </c>
      <c r="I1683" s="3">
        <f t="shared" si="135"/>
        <v>0</v>
      </c>
      <c r="J1683" s="3">
        <f t="shared" si="136"/>
        <v>0</v>
      </c>
      <c r="K1683" s="3" t="str">
        <f t="shared" si="137"/>
        <v>Pt174</v>
      </c>
      <c r="L1683" s="3" cm="1">
        <f t="array" ref="L1683">SUM(($J1683*EXP(-$H1683*12*3600*_xlfn.SEQUENCE(L$1-1))))+$J1683</f>
        <v>0</v>
      </c>
      <c r="M1683" s="3"/>
      <c r="N1683" s="3"/>
    </row>
    <row r="1684" spans="2:14" hidden="1" x14ac:dyDescent="0.2">
      <c r="B1684" s="3">
        <v>78175</v>
      </c>
      <c r="C1684" s="3">
        <v>0</v>
      </c>
      <c r="D1684">
        <v>1681</v>
      </c>
      <c r="E1684" t="str">
        <f>VLOOKUP(B1684,Nuclides!A:F,5,FALSE)</f>
        <v>Pt175</v>
      </c>
      <c r="F1684">
        <f>VLOOKUP(B1684,Nuclides!A:F,4,FALSE)</f>
        <v>2.5299999999999998</v>
      </c>
      <c r="G1684" s="3" t="str">
        <f t="shared" si="133"/>
        <v>2.53s</v>
      </c>
      <c r="H1684" s="3">
        <f t="shared" si="134"/>
        <v>0.27397121761262661</v>
      </c>
      <c r="I1684" s="3">
        <f t="shared" si="135"/>
        <v>0</v>
      </c>
      <c r="J1684" s="3">
        <f t="shared" si="136"/>
        <v>0</v>
      </c>
      <c r="K1684" s="3" t="str">
        <f t="shared" si="137"/>
        <v>Pt175</v>
      </c>
      <c r="L1684" s="3" cm="1">
        <f t="array" ref="L1684">SUM(($J1684*EXP(-$H1684*12*3600*_xlfn.SEQUENCE(L$1-1))))+$J1684</f>
        <v>0</v>
      </c>
      <c r="M1684" s="3"/>
      <c r="N1684" s="3"/>
    </row>
    <row r="1685" spans="2:14" hidden="1" x14ac:dyDescent="0.2">
      <c r="B1685" s="3">
        <v>78176</v>
      </c>
      <c r="C1685" s="3">
        <v>0</v>
      </c>
      <c r="D1685">
        <v>1682</v>
      </c>
      <c r="E1685" t="str">
        <f>VLOOKUP(B1685,Nuclides!A:F,5,FALSE)</f>
        <v>Pt176</v>
      </c>
      <c r="F1685">
        <f>VLOOKUP(B1685,Nuclides!A:F,4,FALSE)</f>
        <v>6.33</v>
      </c>
      <c r="G1685" s="3" t="str">
        <f t="shared" si="133"/>
        <v>6.33s</v>
      </c>
      <c r="H1685" s="3">
        <f t="shared" si="134"/>
        <v>0.10950192425907508</v>
      </c>
      <c r="I1685" s="3">
        <f t="shared" si="135"/>
        <v>0</v>
      </c>
      <c r="J1685" s="3">
        <f t="shared" si="136"/>
        <v>0</v>
      </c>
      <c r="K1685" s="3" t="str">
        <f t="shared" si="137"/>
        <v>Pt176</v>
      </c>
      <c r="L1685" s="3" cm="1">
        <f t="array" ref="L1685">SUM(($J1685*EXP(-$H1685*12*3600*_xlfn.SEQUENCE(L$1-1))))+$J1685</f>
        <v>0</v>
      </c>
      <c r="M1685" s="3"/>
      <c r="N1685" s="3"/>
    </row>
    <row r="1686" spans="2:14" hidden="1" x14ac:dyDescent="0.2">
      <c r="B1686" s="3">
        <v>78177</v>
      </c>
      <c r="C1686" s="3">
        <v>0</v>
      </c>
      <c r="D1686">
        <v>1683</v>
      </c>
      <c r="E1686" t="str">
        <f>VLOOKUP(B1686,Nuclides!A:F,5,FALSE)</f>
        <v>Pt177</v>
      </c>
      <c r="F1686">
        <f>VLOOKUP(B1686,Nuclides!A:F,4,FALSE)</f>
        <v>10.6</v>
      </c>
      <c r="G1686" s="3" t="str">
        <f t="shared" si="133"/>
        <v>10.6s</v>
      </c>
      <c r="H1686" s="3">
        <f t="shared" si="134"/>
        <v>6.539124344905145E-2</v>
      </c>
      <c r="I1686" s="3">
        <f t="shared" si="135"/>
        <v>0</v>
      </c>
      <c r="J1686" s="3">
        <f t="shared" si="136"/>
        <v>0</v>
      </c>
      <c r="K1686" s="3" t="str">
        <f t="shared" si="137"/>
        <v>Pt177</v>
      </c>
      <c r="L1686" s="3" cm="1">
        <f t="array" ref="L1686">SUM(($J1686*EXP(-$H1686*12*3600*_xlfn.SEQUENCE(L$1-1))))+$J1686</f>
        <v>0</v>
      </c>
      <c r="M1686" s="3"/>
      <c r="N1686" s="3"/>
    </row>
    <row r="1687" spans="2:14" hidden="1" x14ac:dyDescent="0.2">
      <c r="B1687" s="3">
        <v>78178</v>
      </c>
      <c r="C1687" s="3">
        <v>0</v>
      </c>
      <c r="D1687">
        <v>1684</v>
      </c>
      <c r="E1687" t="str">
        <f>VLOOKUP(B1687,Nuclides!A:F,5,FALSE)</f>
        <v>Pt178</v>
      </c>
      <c r="F1687">
        <f>VLOOKUP(B1687,Nuclides!A:F,4,FALSE)</f>
        <v>20.7</v>
      </c>
      <c r="G1687" s="3" t="str">
        <f t="shared" si="133"/>
        <v>20.7s</v>
      </c>
      <c r="H1687" s="3">
        <f t="shared" si="134"/>
        <v>3.3485371041543255E-2</v>
      </c>
      <c r="I1687" s="3">
        <f t="shared" si="135"/>
        <v>0</v>
      </c>
      <c r="J1687" s="3">
        <f t="shared" si="136"/>
        <v>0</v>
      </c>
      <c r="K1687" s="3" t="str">
        <f t="shared" si="137"/>
        <v>Pt178</v>
      </c>
      <c r="L1687" s="3" cm="1">
        <f t="array" ref="L1687">SUM(($J1687*EXP(-$H1687*12*3600*_xlfn.SEQUENCE(L$1-1))))+$J1687</f>
        <v>0</v>
      </c>
      <c r="M1687" s="3"/>
      <c r="N1687" s="3"/>
    </row>
    <row r="1688" spans="2:14" hidden="1" x14ac:dyDescent="0.2">
      <c r="B1688" s="3">
        <v>78179</v>
      </c>
      <c r="C1688" s="3">
        <v>0</v>
      </c>
      <c r="D1688">
        <v>1685</v>
      </c>
      <c r="E1688" t="str">
        <f>VLOOKUP(B1688,Nuclides!A:F,5,FALSE)</f>
        <v>Pt179</v>
      </c>
      <c r="F1688">
        <f>VLOOKUP(B1688,Nuclides!A:F,4,FALSE)</f>
        <v>21.2</v>
      </c>
      <c r="G1688" s="3" t="str">
        <f t="shared" si="133"/>
        <v>21.2s</v>
      </c>
      <c r="H1688" s="3">
        <f t="shared" si="134"/>
        <v>3.2695621724525725E-2</v>
      </c>
      <c r="I1688" s="3">
        <f t="shared" si="135"/>
        <v>0</v>
      </c>
      <c r="J1688" s="3">
        <f t="shared" si="136"/>
        <v>0</v>
      </c>
      <c r="K1688" s="3" t="str">
        <f t="shared" si="137"/>
        <v>Pt179</v>
      </c>
      <c r="L1688" s="3" cm="1">
        <f t="array" ref="L1688">SUM(($J1688*EXP(-$H1688*12*3600*_xlfn.SEQUENCE(L$1-1))))+$J1688</f>
        <v>0</v>
      </c>
      <c r="M1688" s="3"/>
      <c r="N1688" s="3"/>
    </row>
    <row r="1689" spans="2:14" hidden="1" x14ac:dyDescent="0.2">
      <c r="B1689" s="3">
        <v>78180</v>
      </c>
      <c r="C1689" s="3">
        <v>0</v>
      </c>
      <c r="D1689">
        <v>1686</v>
      </c>
      <c r="E1689" t="str">
        <f>VLOOKUP(B1689,Nuclides!A:F,5,FALSE)</f>
        <v>Pt180</v>
      </c>
      <c r="F1689">
        <f>VLOOKUP(B1689,Nuclides!A:F,4,FALSE)</f>
        <v>56</v>
      </c>
      <c r="G1689" s="3" t="str">
        <f t="shared" si="133"/>
        <v>56s</v>
      </c>
      <c r="H1689" s="3">
        <f t="shared" si="134"/>
        <v>1.2377628224284737E-2</v>
      </c>
      <c r="I1689" s="3">
        <f t="shared" si="135"/>
        <v>0</v>
      </c>
      <c r="J1689" s="3">
        <f t="shared" si="136"/>
        <v>0</v>
      </c>
      <c r="K1689" s="3" t="str">
        <f t="shared" si="137"/>
        <v>Pt180</v>
      </c>
      <c r="L1689" s="3" cm="1">
        <f t="array" ref="L1689">SUM(($J1689*EXP(-$H1689*12*3600*_xlfn.SEQUENCE(L$1-1))))+$J1689</f>
        <v>0</v>
      </c>
      <c r="M1689" s="3"/>
      <c r="N1689" s="3"/>
    </row>
    <row r="1690" spans="2:14" hidden="1" x14ac:dyDescent="0.2">
      <c r="B1690" s="3">
        <v>78181</v>
      </c>
      <c r="C1690" s="3">
        <v>0</v>
      </c>
      <c r="D1690">
        <v>1687</v>
      </c>
      <c r="E1690" t="str">
        <f>VLOOKUP(B1690,Nuclides!A:F,5,FALSE)</f>
        <v>Pt181</v>
      </c>
      <c r="F1690">
        <f>VLOOKUP(B1690,Nuclides!A:F,4,FALSE)</f>
        <v>52</v>
      </c>
      <c r="G1690" s="3" t="str">
        <f t="shared" si="133"/>
        <v>52s</v>
      </c>
      <c r="H1690" s="3">
        <f t="shared" si="134"/>
        <v>1.332975347230664E-2</v>
      </c>
      <c r="I1690" s="3">
        <f t="shared" si="135"/>
        <v>0</v>
      </c>
      <c r="J1690" s="3">
        <f t="shared" si="136"/>
        <v>0</v>
      </c>
      <c r="K1690" s="3" t="str">
        <f t="shared" si="137"/>
        <v>Pt181</v>
      </c>
      <c r="L1690" s="3" cm="1">
        <f t="array" ref="L1690">SUM(($J1690*EXP(-$H1690*12*3600*_xlfn.SEQUENCE(L$1-1))))+$J1690</f>
        <v>0</v>
      </c>
      <c r="M1690" s="3"/>
      <c r="N1690" s="3"/>
    </row>
    <row r="1691" spans="2:14" hidden="1" x14ac:dyDescent="0.2">
      <c r="B1691" s="3">
        <v>78182</v>
      </c>
      <c r="C1691" s="3">
        <v>0</v>
      </c>
      <c r="D1691">
        <v>1688</v>
      </c>
      <c r="E1691" t="str">
        <f>VLOOKUP(B1691,Nuclides!A:F,5,FALSE)</f>
        <v>Pt182</v>
      </c>
      <c r="F1691">
        <f>VLOOKUP(B1691,Nuclides!A:F,4,FALSE)</f>
        <v>160.19999999999999</v>
      </c>
      <c r="G1691" s="3" t="str">
        <f t="shared" si="133"/>
        <v>2.67min</v>
      </c>
      <c r="H1691" s="3">
        <f t="shared" si="134"/>
        <v>4.3267614267162632E-3</v>
      </c>
      <c r="I1691" s="3">
        <f t="shared" si="135"/>
        <v>0</v>
      </c>
      <c r="J1691" s="3">
        <f t="shared" si="136"/>
        <v>0</v>
      </c>
      <c r="K1691" s="3" t="str">
        <f t="shared" si="137"/>
        <v>Pt182</v>
      </c>
      <c r="L1691" s="3" cm="1">
        <f t="array" ref="L1691">SUM(($J1691*EXP(-$H1691*12*3600*_xlfn.SEQUENCE(L$1-1))))+$J1691</f>
        <v>0</v>
      </c>
      <c r="M1691" s="3"/>
      <c r="N1691" s="3"/>
    </row>
    <row r="1692" spans="2:14" hidden="1" x14ac:dyDescent="0.2">
      <c r="B1692" s="3">
        <v>78183</v>
      </c>
      <c r="C1692" s="3">
        <v>0</v>
      </c>
      <c r="D1692">
        <v>1689</v>
      </c>
      <c r="E1692" t="str">
        <f>VLOOKUP(B1692,Nuclides!A:F,5,FALSE)</f>
        <v>Pt183</v>
      </c>
      <c r="F1692">
        <f>VLOOKUP(B1692,Nuclides!A:F,4,FALSE)</f>
        <v>43</v>
      </c>
      <c r="G1692" s="3" t="str">
        <f t="shared" si="133"/>
        <v>43s</v>
      </c>
      <c r="H1692" s="3">
        <f t="shared" si="134"/>
        <v>1.6119701873487099E-2</v>
      </c>
      <c r="I1692" s="3">
        <f t="shared" si="135"/>
        <v>0</v>
      </c>
      <c r="J1692" s="3">
        <f t="shared" si="136"/>
        <v>0</v>
      </c>
      <c r="K1692" s="3" t="str">
        <f t="shared" si="137"/>
        <v>Pt183</v>
      </c>
      <c r="L1692" s="3" cm="1">
        <f t="array" ref="L1692">SUM(($J1692*EXP(-$H1692*12*3600*_xlfn.SEQUENCE(L$1-1))))+$J1692</f>
        <v>0</v>
      </c>
      <c r="M1692" s="3"/>
      <c r="N1692" s="3"/>
    </row>
    <row r="1693" spans="2:14" hidden="1" x14ac:dyDescent="0.2">
      <c r="B1693" s="3">
        <v>78184</v>
      </c>
      <c r="C1693" s="3">
        <v>0</v>
      </c>
      <c r="D1693">
        <v>1690</v>
      </c>
      <c r="E1693" t="str">
        <f>VLOOKUP(B1693,Nuclides!A:F,5,FALSE)</f>
        <v>Pt184</v>
      </c>
      <c r="F1693">
        <f>VLOOKUP(B1693,Nuclides!A:F,4,FALSE)</f>
        <v>1038</v>
      </c>
      <c r="G1693" s="3" t="str">
        <f t="shared" si="133"/>
        <v>17.3min</v>
      </c>
      <c r="H1693" s="3">
        <f t="shared" si="134"/>
        <v>6.6777185025042904E-4</v>
      </c>
      <c r="I1693" s="3">
        <f t="shared" si="135"/>
        <v>0</v>
      </c>
      <c r="J1693" s="3">
        <f t="shared" si="136"/>
        <v>0</v>
      </c>
      <c r="K1693" s="3" t="str">
        <f t="shared" si="137"/>
        <v>Pt184</v>
      </c>
      <c r="L1693" s="3" cm="1">
        <f t="array" ref="L1693">SUM(($J1693*EXP(-$H1693*12*3600*_xlfn.SEQUENCE(L$1-1))))+$J1693</f>
        <v>0</v>
      </c>
      <c r="M1693" s="3"/>
      <c r="N1693" s="3"/>
    </row>
    <row r="1694" spans="2:14" hidden="1" x14ac:dyDescent="0.2">
      <c r="B1694" s="3">
        <v>78185</v>
      </c>
      <c r="C1694" s="3">
        <v>0</v>
      </c>
      <c r="D1694">
        <v>1691</v>
      </c>
      <c r="E1694" t="str">
        <f>VLOOKUP(B1694,Nuclides!A:F,5,FALSE)</f>
        <v>Pt185</v>
      </c>
      <c r="F1694">
        <f>VLOOKUP(B1694,Nuclides!A:F,4,FALSE)</f>
        <v>4254</v>
      </c>
      <c r="G1694" s="3" t="str">
        <f t="shared" si="133"/>
        <v>1.18h</v>
      </c>
      <c r="H1694" s="3">
        <f t="shared" si="134"/>
        <v>1.6294009886223443E-4</v>
      </c>
      <c r="I1694" s="3">
        <f t="shared" si="135"/>
        <v>0</v>
      </c>
      <c r="J1694" s="3">
        <f t="shared" si="136"/>
        <v>0</v>
      </c>
      <c r="K1694" s="3" t="str">
        <f t="shared" si="137"/>
        <v>Pt185</v>
      </c>
      <c r="L1694" s="3" cm="1">
        <f t="array" ref="L1694">SUM(($J1694*EXP(-$H1694*12*3600*_xlfn.SEQUENCE(L$1-1))))+$J1694</f>
        <v>0</v>
      </c>
      <c r="M1694" s="3"/>
      <c r="N1694" s="3"/>
    </row>
    <row r="1695" spans="2:14" hidden="1" x14ac:dyDescent="0.2">
      <c r="B1695" s="3">
        <v>78186</v>
      </c>
      <c r="C1695" s="3">
        <v>0</v>
      </c>
      <c r="D1695">
        <v>1692</v>
      </c>
      <c r="E1695" t="str">
        <f>VLOOKUP(B1695,Nuclides!A:F,5,FALSE)</f>
        <v>Pt186</v>
      </c>
      <c r="F1695">
        <f>VLOOKUP(B1695,Nuclides!A:F,4,FALSE)</f>
        <v>7488</v>
      </c>
      <c r="G1695" s="3" t="str">
        <f t="shared" si="133"/>
        <v>2.08h</v>
      </c>
      <c r="H1695" s="3">
        <f t="shared" si="134"/>
        <v>9.2567732446573888E-5</v>
      </c>
      <c r="I1695" s="3">
        <f t="shared" si="135"/>
        <v>0</v>
      </c>
      <c r="J1695" s="3">
        <f t="shared" si="136"/>
        <v>0</v>
      </c>
      <c r="K1695" s="3" t="str">
        <f t="shared" si="137"/>
        <v>Pt186</v>
      </c>
      <c r="L1695" s="3" cm="1">
        <f t="array" ref="L1695">SUM(($J1695*EXP(-$H1695*12*3600*_xlfn.SEQUENCE(L$1-1))))+$J1695</f>
        <v>0</v>
      </c>
      <c r="M1695" s="3"/>
      <c r="N1695" s="3"/>
    </row>
    <row r="1696" spans="2:14" hidden="1" x14ac:dyDescent="0.2">
      <c r="B1696" s="3">
        <v>78187</v>
      </c>
      <c r="C1696" s="3">
        <v>0</v>
      </c>
      <c r="D1696">
        <v>1693</v>
      </c>
      <c r="E1696" t="str">
        <f>VLOOKUP(B1696,Nuclides!A:F,5,FALSE)</f>
        <v>Pt187</v>
      </c>
      <c r="F1696">
        <f>VLOOKUP(B1696,Nuclides!A:F,4,FALSE)</f>
        <v>8460</v>
      </c>
      <c r="G1696" s="3" t="str">
        <f t="shared" si="133"/>
        <v>2.35h</v>
      </c>
      <c r="H1696" s="3">
        <f t="shared" si="134"/>
        <v>8.1932290846329226E-5</v>
      </c>
      <c r="I1696" s="3">
        <f t="shared" si="135"/>
        <v>0</v>
      </c>
      <c r="J1696" s="3">
        <f t="shared" si="136"/>
        <v>0</v>
      </c>
      <c r="K1696" s="3" t="str">
        <f t="shared" si="137"/>
        <v>Pt187</v>
      </c>
      <c r="L1696" s="3" cm="1">
        <f t="array" ref="L1696">SUM(($J1696*EXP(-$H1696*12*3600*_xlfn.SEQUENCE(L$1-1))))+$J1696</f>
        <v>0</v>
      </c>
      <c r="M1696" s="3"/>
      <c r="N1696" s="3"/>
    </row>
    <row r="1697" spans="2:14" hidden="1" x14ac:dyDescent="0.2">
      <c r="B1697" s="3">
        <v>78188</v>
      </c>
      <c r="C1697" s="3">
        <v>0</v>
      </c>
      <c r="D1697">
        <v>1694</v>
      </c>
      <c r="E1697" t="str">
        <f>VLOOKUP(B1697,Nuclides!A:F,5,FALSE)</f>
        <v>Pt188</v>
      </c>
      <c r="F1697">
        <f>VLOOKUP(B1697,Nuclides!A:F,4,FALSE)</f>
        <v>881279.99999999895</v>
      </c>
      <c r="G1697" s="3" t="str">
        <f t="shared" si="133"/>
        <v>10.2d</v>
      </c>
      <c r="H1697" s="3">
        <f t="shared" si="134"/>
        <v>7.8652321686631507E-7</v>
      </c>
      <c r="I1697" s="3">
        <f t="shared" si="135"/>
        <v>0</v>
      </c>
      <c r="J1697" s="3">
        <f t="shared" si="136"/>
        <v>0</v>
      </c>
      <c r="K1697" s="3" t="str">
        <f t="shared" si="137"/>
        <v>Pt188</v>
      </c>
      <c r="L1697" s="3" cm="1">
        <f t="array" ref="L1697">SUM(($J1697*EXP(-$H1697*12*3600*_xlfn.SEQUENCE(L$1-1))))+$J1697</f>
        <v>0</v>
      </c>
      <c r="M1697" s="3"/>
      <c r="N1697" s="3"/>
    </row>
    <row r="1698" spans="2:14" hidden="1" x14ac:dyDescent="0.2">
      <c r="B1698" s="3">
        <v>78189</v>
      </c>
      <c r="C1698" s="3">
        <v>0</v>
      </c>
      <c r="D1698">
        <v>1695</v>
      </c>
      <c r="E1698" t="str">
        <f>VLOOKUP(B1698,Nuclides!A:F,5,FALSE)</f>
        <v>Pt189</v>
      </c>
      <c r="F1698">
        <f>VLOOKUP(B1698,Nuclides!A:F,4,FALSE)</f>
        <v>39132</v>
      </c>
      <c r="G1698" s="3" t="str">
        <f t="shared" si="133"/>
        <v>10.87h</v>
      </c>
      <c r="H1698" s="3">
        <f t="shared" si="134"/>
        <v>1.7713052758866023E-5</v>
      </c>
      <c r="I1698" s="3">
        <f t="shared" si="135"/>
        <v>0</v>
      </c>
      <c r="J1698" s="3">
        <f t="shared" si="136"/>
        <v>0</v>
      </c>
      <c r="K1698" s="3" t="str">
        <f t="shared" si="137"/>
        <v>Pt189</v>
      </c>
      <c r="L1698" s="3" cm="1">
        <f t="array" ref="L1698">SUM(($J1698*EXP(-$H1698*12*3600*_xlfn.SEQUENCE(L$1-1))))+$J1698</f>
        <v>0</v>
      </c>
      <c r="M1698" s="3"/>
      <c r="N1698" s="3"/>
    </row>
    <row r="1699" spans="2:14" hidden="1" x14ac:dyDescent="0.2">
      <c r="B1699" s="3">
        <v>78190</v>
      </c>
      <c r="C1699" s="3">
        <v>0</v>
      </c>
      <c r="D1699">
        <v>1696</v>
      </c>
      <c r="E1699" t="str">
        <f>VLOOKUP(B1699,Nuclides!A:F,5,FALSE)</f>
        <v>Pt190</v>
      </c>
      <c r="F1699">
        <f>VLOOKUP(B1699,Nuclides!A:F,4,FALSE)</f>
        <v>2.051244E+19</v>
      </c>
      <c r="G1699" s="3" t="str">
        <f t="shared" si="133"/>
        <v>650445205479.45y</v>
      </c>
      <c r="H1699" s="3">
        <f t="shared" si="134"/>
        <v>3.3791551885584813E-20</v>
      </c>
      <c r="I1699" s="3">
        <f t="shared" si="135"/>
        <v>0</v>
      </c>
      <c r="J1699" s="3">
        <f t="shared" si="136"/>
        <v>0</v>
      </c>
      <c r="K1699" s="3" t="str">
        <f t="shared" si="137"/>
        <v>Pt190</v>
      </c>
      <c r="L1699" s="3" cm="1">
        <f t="array" ref="L1699">SUM(($J1699*EXP(-$H1699*12*3600*_xlfn.SEQUENCE(L$1-1))))+$J1699</f>
        <v>0</v>
      </c>
      <c r="M1699" s="3"/>
      <c r="N1699" s="3"/>
    </row>
    <row r="1700" spans="2:14" hidden="1" x14ac:dyDescent="0.2">
      <c r="B1700" s="3">
        <v>78191</v>
      </c>
      <c r="C1700" s="3">
        <v>0</v>
      </c>
      <c r="D1700">
        <v>1697</v>
      </c>
      <c r="E1700" t="str">
        <f>VLOOKUP(B1700,Nuclides!A:F,5,FALSE)</f>
        <v>Pt191</v>
      </c>
      <c r="F1700">
        <f>VLOOKUP(B1700,Nuclides!A:F,4,FALSE)</f>
        <v>244512</v>
      </c>
      <c r="G1700" s="3" t="str">
        <f t="shared" si="133"/>
        <v>2.83d</v>
      </c>
      <c r="H1700" s="3">
        <f t="shared" si="134"/>
        <v>2.8348186614969625E-6</v>
      </c>
      <c r="I1700" s="3">
        <f t="shared" si="135"/>
        <v>0</v>
      </c>
      <c r="J1700" s="3">
        <f t="shared" si="136"/>
        <v>0</v>
      </c>
      <c r="K1700" s="3" t="str">
        <f t="shared" si="137"/>
        <v>Pt191</v>
      </c>
      <c r="L1700" s="3" cm="1">
        <f t="array" ref="L1700">SUM(($J1700*EXP(-$H1700*12*3600*_xlfn.SEQUENCE(L$1-1))))+$J1700</f>
        <v>0</v>
      </c>
      <c r="M1700" s="3"/>
      <c r="N1700" s="3"/>
    </row>
    <row r="1701" spans="2:14" hidden="1" x14ac:dyDescent="0.2">
      <c r="B1701" s="3">
        <v>78192</v>
      </c>
      <c r="C1701" s="3">
        <v>0</v>
      </c>
      <c r="D1701">
        <v>1698</v>
      </c>
      <c r="E1701" t="str">
        <f>VLOOKUP(B1701,Nuclides!A:F,5,FALSE)</f>
        <v>Pt192</v>
      </c>
      <c r="F1701" t="str">
        <f>VLOOKUP(B1701,Nuclides!A:F,4,FALSE)</f>
        <v>STABLE</v>
      </c>
      <c r="G1701" s="3" t="str">
        <f t="shared" si="133"/>
        <v>STABLE</v>
      </c>
      <c r="H1701" s="3" t="e">
        <f t="shared" si="134"/>
        <v>#VALUE!</v>
      </c>
      <c r="I1701" s="3" t="e">
        <f t="shared" si="135"/>
        <v>#VALUE!</v>
      </c>
      <c r="J1701" s="3" t="e">
        <f t="shared" si="136"/>
        <v>#VALUE!</v>
      </c>
      <c r="K1701" s="3" t="str">
        <f t="shared" si="137"/>
        <v>Pt192</v>
      </c>
      <c r="L1701" s="3" t="e" cm="1">
        <f t="array" ref="L1701">SUM(($J1701*EXP(-$H1701*12*3600*_xlfn.SEQUENCE(L$1-1))))+$J1701</f>
        <v>#VALUE!</v>
      </c>
      <c r="M1701" s="3"/>
      <c r="N1701" s="3"/>
    </row>
    <row r="1702" spans="2:14" hidden="1" x14ac:dyDescent="0.2">
      <c r="B1702" s="3">
        <v>78193</v>
      </c>
      <c r="C1702" s="3">
        <v>0</v>
      </c>
      <c r="D1702">
        <v>1699</v>
      </c>
      <c r="E1702" t="str">
        <f>VLOOKUP(B1702,Nuclides!A:F,5,FALSE)</f>
        <v>Pt193</v>
      </c>
      <c r="F1702">
        <f>VLOOKUP(B1702,Nuclides!A:F,4,FALSE)</f>
        <v>1577880000</v>
      </c>
      <c r="G1702" s="3" t="str">
        <f t="shared" si="133"/>
        <v>50.03y</v>
      </c>
      <c r="H1702" s="3">
        <f t="shared" si="134"/>
        <v>4.3929017451260253E-10</v>
      </c>
      <c r="I1702" s="3">
        <f t="shared" si="135"/>
        <v>0</v>
      </c>
      <c r="J1702" s="3">
        <f t="shared" si="136"/>
        <v>0</v>
      </c>
      <c r="K1702" s="3" t="str">
        <f t="shared" si="137"/>
        <v>Pt193</v>
      </c>
      <c r="L1702" s="3" cm="1">
        <f t="array" ref="L1702">SUM(($J1702*EXP(-$H1702*12*3600*_xlfn.SEQUENCE(L$1-1))))+$J1702</f>
        <v>0</v>
      </c>
      <c r="M1702" s="3"/>
      <c r="N1702" s="3"/>
    </row>
    <row r="1703" spans="2:14" hidden="1" x14ac:dyDescent="0.2">
      <c r="B1703" s="3">
        <v>78194</v>
      </c>
      <c r="C1703" s="3">
        <v>0</v>
      </c>
      <c r="D1703">
        <v>1700</v>
      </c>
      <c r="E1703" t="str">
        <f>VLOOKUP(B1703,Nuclides!A:F,5,FALSE)</f>
        <v>Pt194</v>
      </c>
      <c r="F1703" t="str">
        <f>VLOOKUP(B1703,Nuclides!A:F,4,FALSE)</f>
        <v>STABLE</v>
      </c>
      <c r="G1703" s="3" t="str">
        <f t="shared" si="133"/>
        <v>STABLE</v>
      </c>
      <c r="H1703" s="3" t="e">
        <f t="shared" si="134"/>
        <v>#VALUE!</v>
      </c>
      <c r="I1703" s="3" t="e">
        <f t="shared" si="135"/>
        <v>#VALUE!</v>
      </c>
      <c r="J1703" s="3" t="e">
        <f t="shared" si="136"/>
        <v>#VALUE!</v>
      </c>
      <c r="K1703" s="3" t="str">
        <f t="shared" si="137"/>
        <v>Pt194</v>
      </c>
      <c r="L1703" s="3" t="e" cm="1">
        <f t="array" ref="L1703">SUM(($J1703*EXP(-$H1703*12*3600*_xlfn.SEQUENCE(L$1-1))))+$J1703</f>
        <v>#VALUE!</v>
      </c>
      <c r="M1703" s="3"/>
      <c r="N1703" s="3"/>
    </row>
    <row r="1704" spans="2:14" hidden="1" x14ac:dyDescent="0.2">
      <c r="B1704" s="3">
        <v>78195</v>
      </c>
      <c r="C1704" s="3">
        <v>0</v>
      </c>
      <c r="D1704">
        <v>1701</v>
      </c>
      <c r="E1704" t="str">
        <f>VLOOKUP(B1704,Nuclides!A:F,5,FALSE)</f>
        <v>Pt195</v>
      </c>
      <c r="F1704" t="str">
        <f>VLOOKUP(B1704,Nuclides!A:F,4,FALSE)</f>
        <v>STABLE</v>
      </c>
      <c r="G1704" s="3" t="str">
        <f t="shared" si="133"/>
        <v>STABLE</v>
      </c>
      <c r="H1704" s="3" t="e">
        <f t="shared" si="134"/>
        <v>#VALUE!</v>
      </c>
      <c r="I1704" s="3" t="e">
        <f t="shared" si="135"/>
        <v>#VALUE!</v>
      </c>
      <c r="J1704" s="3" t="e">
        <f t="shared" si="136"/>
        <v>#VALUE!</v>
      </c>
      <c r="K1704" s="3" t="str">
        <f t="shared" si="137"/>
        <v>Pt195</v>
      </c>
      <c r="L1704" s="3" t="e" cm="1">
        <f t="array" ref="L1704">SUM(($J1704*EXP(-$H1704*12*3600*_xlfn.SEQUENCE(L$1-1))))+$J1704</f>
        <v>#VALUE!</v>
      </c>
      <c r="M1704" s="3"/>
      <c r="N1704" s="3"/>
    </row>
    <row r="1705" spans="2:14" hidden="1" x14ac:dyDescent="0.2">
      <c r="B1705" s="3">
        <v>78196</v>
      </c>
      <c r="C1705" s="3">
        <v>0</v>
      </c>
      <c r="D1705">
        <v>1702</v>
      </c>
      <c r="E1705" t="str">
        <f>VLOOKUP(B1705,Nuclides!A:F,5,FALSE)</f>
        <v>Pt196</v>
      </c>
      <c r="F1705" t="str">
        <f>VLOOKUP(B1705,Nuclides!A:F,4,FALSE)</f>
        <v>STABLE</v>
      </c>
      <c r="G1705" s="3" t="str">
        <f t="shared" si="133"/>
        <v>STABLE</v>
      </c>
      <c r="H1705" s="3" t="e">
        <f t="shared" si="134"/>
        <v>#VALUE!</v>
      </c>
      <c r="I1705" s="3" t="e">
        <f t="shared" si="135"/>
        <v>#VALUE!</v>
      </c>
      <c r="J1705" s="3" t="e">
        <f t="shared" si="136"/>
        <v>#VALUE!</v>
      </c>
      <c r="K1705" s="3" t="str">
        <f t="shared" si="137"/>
        <v>Pt196</v>
      </c>
      <c r="L1705" s="3" t="e" cm="1">
        <f t="array" ref="L1705">SUM(($J1705*EXP(-$H1705*12*3600*_xlfn.SEQUENCE(L$1-1))))+$J1705</f>
        <v>#VALUE!</v>
      </c>
      <c r="M1705" s="3"/>
      <c r="N1705" s="3"/>
    </row>
    <row r="1706" spans="2:14" hidden="1" x14ac:dyDescent="0.2">
      <c r="B1706" s="3">
        <v>78197</v>
      </c>
      <c r="C1706" s="3">
        <v>0</v>
      </c>
      <c r="D1706">
        <v>1703</v>
      </c>
      <c r="E1706" t="str">
        <f>VLOOKUP(B1706,Nuclides!A:F,5,FALSE)</f>
        <v>Pt197</v>
      </c>
      <c r="F1706">
        <f>VLOOKUP(B1706,Nuclides!A:F,4,FALSE)</f>
        <v>71609.399999999994</v>
      </c>
      <c r="G1706" s="3" t="str">
        <f t="shared" si="133"/>
        <v>19.89h</v>
      </c>
      <c r="H1706" s="3">
        <f t="shared" si="134"/>
        <v>9.6795557644659135E-6</v>
      </c>
      <c r="I1706" s="3">
        <f t="shared" si="135"/>
        <v>0</v>
      </c>
      <c r="J1706" s="3">
        <f t="shared" si="136"/>
        <v>0</v>
      </c>
      <c r="K1706" s="3" t="str">
        <f t="shared" si="137"/>
        <v>Pt197</v>
      </c>
      <c r="L1706" s="3" cm="1">
        <f t="array" ref="L1706">SUM(($J1706*EXP(-$H1706*12*3600*_xlfn.SEQUENCE(L$1-1))))+$J1706</f>
        <v>0</v>
      </c>
      <c r="M1706" s="3"/>
      <c r="N1706" s="3"/>
    </row>
    <row r="1707" spans="2:14" hidden="1" x14ac:dyDescent="0.2">
      <c r="B1707" s="3">
        <v>78198</v>
      </c>
      <c r="C1707" s="3">
        <v>0</v>
      </c>
      <c r="D1707">
        <v>1704</v>
      </c>
      <c r="E1707" t="str">
        <f>VLOOKUP(B1707,Nuclides!A:F,5,FALSE)</f>
        <v>Pt198</v>
      </c>
      <c r="F1707" t="str">
        <f>VLOOKUP(B1707,Nuclides!A:F,4,FALSE)</f>
        <v>STABLE</v>
      </c>
      <c r="G1707" s="3" t="str">
        <f t="shared" si="133"/>
        <v>STABLE</v>
      </c>
      <c r="H1707" s="3" t="e">
        <f t="shared" si="134"/>
        <v>#VALUE!</v>
      </c>
      <c r="I1707" s="3" t="e">
        <f t="shared" si="135"/>
        <v>#VALUE!</v>
      </c>
      <c r="J1707" s="3" t="e">
        <f t="shared" si="136"/>
        <v>#VALUE!</v>
      </c>
      <c r="K1707" s="3" t="str">
        <f t="shared" si="137"/>
        <v>Pt198</v>
      </c>
      <c r="L1707" s="3" t="e" cm="1">
        <f t="array" ref="L1707">SUM(($J1707*EXP(-$H1707*12*3600*_xlfn.SEQUENCE(L$1-1))))+$J1707</f>
        <v>#VALUE!</v>
      </c>
      <c r="M1707" s="3"/>
      <c r="N1707" s="3"/>
    </row>
    <row r="1708" spans="2:14" hidden="1" x14ac:dyDescent="0.2">
      <c r="B1708" s="3">
        <v>78199</v>
      </c>
      <c r="C1708" s="3">
        <v>0</v>
      </c>
      <c r="D1708">
        <v>1705</v>
      </c>
      <c r="E1708" t="str">
        <f>VLOOKUP(B1708,Nuclides!A:F,5,FALSE)</f>
        <v>Pt199</v>
      </c>
      <c r="F1708">
        <f>VLOOKUP(B1708,Nuclides!A:F,4,FALSE)</f>
        <v>1848</v>
      </c>
      <c r="G1708" s="3" t="str">
        <f t="shared" si="133"/>
        <v>30.8min</v>
      </c>
      <c r="H1708" s="3">
        <f t="shared" si="134"/>
        <v>3.7507964316014353E-4</v>
      </c>
      <c r="I1708" s="3">
        <f t="shared" si="135"/>
        <v>0</v>
      </c>
      <c r="J1708" s="3">
        <f t="shared" si="136"/>
        <v>0</v>
      </c>
      <c r="K1708" s="3" t="str">
        <f t="shared" si="137"/>
        <v>Pt199</v>
      </c>
      <c r="L1708" s="3" cm="1">
        <f t="array" ref="L1708">SUM(($J1708*EXP(-$H1708*12*3600*_xlfn.SEQUENCE(L$1-1))))+$J1708</f>
        <v>0</v>
      </c>
      <c r="M1708" s="3"/>
      <c r="N1708" s="3"/>
    </row>
    <row r="1709" spans="2:14" hidden="1" x14ac:dyDescent="0.2">
      <c r="B1709" s="3">
        <v>78200</v>
      </c>
      <c r="C1709" s="3">
        <v>0</v>
      </c>
      <c r="D1709">
        <v>1706</v>
      </c>
      <c r="E1709" t="str">
        <f>VLOOKUP(B1709,Nuclides!A:F,5,FALSE)</f>
        <v>Pt200</v>
      </c>
      <c r="F1709">
        <f>VLOOKUP(B1709,Nuclides!A:F,4,FALSE)</f>
        <v>45360</v>
      </c>
      <c r="G1709" s="3" t="str">
        <f t="shared" si="133"/>
        <v>12.6h</v>
      </c>
      <c r="H1709" s="3">
        <f t="shared" si="134"/>
        <v>1.5281022499116961E-5</v>
      </c>
      <c r="I1709" s="3">
        <f t="shared" si="135"/>
        <v>0</v>
      </c>
      <c r="J1709" s="3">
        <f t="shared" si="136"/>
        <v>0</v>
      </c>
      <c r="K1709" s="3" t="str">
        <f t="shared" si="137"/>
        <v>Pt200</v>
      </c>
      <c r="L1709" s="3" cm="1">
        <f t="array" ref="L1709">SUM(($J1709*EXP(-$H1709*12*3600*_xlfn.SEQUENCE(L$1-1))))+$J1709</f>
        <v>0</v>
      </c>
      <c r="M1709" s="3"/>
      <c r="N1709" s="3"/>
    </row>
    <row r="1710" spans="2:14" hidden="1" x14ac:dyDescent="0.2">
      <c r="B1710" s="3">
        <v>78201</v>
      </c>
      <c r="C1710" s="3">
        <v>0</v>
      </c>
      <c r="D1710">
        <v>1707</v>
      </c>
      <c r="E1710" t="str">
        <f>VLOOKUP(B1710,Nuclides!A:F,5,FALSE)</f>
        <v>Pt201</v>
      </c>
      <c r="F1710">
        <f>VLOOKUP(B1710,Nuclides!A:F,4,FALSE)</f>
        <v>150</v>
      </c>
      <c r="G1710" s="3" t="str">
        <f t="shared" si="133"/>
        <v>2.5min</v>
      </c>
      <c r="H1710" s="3">
        <f t="shared" si="134"/>
        <v>4.6209812037329686E-3</v>
      </c>
      <c r="I1710" s="3">
        <f t="shared" si="135"/>
        <v>0</v>
      </c>
      <c r="J1710" s="3">
        <f t="shared" si="136"/>
        <v>0</v>
      </c>
      <c r="K1710" s="3" t="str">
        <f t="shared" si="137"/>
        <v>Pt201</v>
      </c>
      <c r="L1710" s="3" cm="1">
        <f t="array" ref="L1710">SUM(($J1710*EXP(-$H1710*12*3600*_xlfn.SEQUENCE(L$1-1))))+$J1710</f>
        <v>0</v>
      </c>
      <c r="M1710" s="3"/>
      <c r="N1710" s="3"/>
    </row>
    <row r="1711" spans="2:14" hidden="1" x14ac:dyDescent="0.2">
      <c r="B1711" s="3">
        <v>79175</v>
      </c>
      <c r="C1711" s="3">
        <v>0</v>
      </c>
      <c r="D1711">
        <v>1708</v>
      </c>
      <c r="E1711" t="e">
        <f>VLOOKUP(B1711,Nuclides!A:F,5,FALSE)</f>
        <v>#N/A</v>
      </c>
      <c r="F1711" t="e">
        <f>VLOOKUP(B1711,Nuclides!A:F,4,FALSE)</f>
        <v>#N/A</v>
      </c>
      <c r="G1711" s="3" t="e">
        <f t="shared" si="133"/>
        <v>#N/A</v>
      </c>
      <c r="H1711" s="3" t="e">
        <f t="shared" si="134"/>
        <v>#N/A</v>
      </c>
      <c r="I1711" s="3" t="e">
        <f t="shared" si="135"/>
        <v>#N/A</v>
      </c>
      <c r="J1711" s="3" t="e">
        <f t="shared" si="136"/>
        <v>#N/A</v>
      </c>
      <c r="K1711" s="3" t="e">
        <f t="shared" si="137"/>
        <v>#N/A</v>
      </c>
      <c r="L1711" s="3" t="e" cm="1">
        <f t="array" ref="L1711">SUM(($J1711*EXP(-$H1711*12*3600*_xlfn.SEQUENCE(L$1-1))))+$J1711</f>
        <v>#N/A</v>
      </c>
      <c r="M1711" s="3"/>
      <c r="N1711" s="3"/>
    </row>
    <row r="1712" spans="2:14" hidden="1" x14ac:dyDescent="0.2">
      <c r="B1712" s="3">
        <v>79176</v>
      </c>
      <c r="C1712" s="3">
        <v>0</v>
      </c>
      <c r="D1712">
        <v>1709</v>
      </c>
      <c r="E1712" t="str">
        <f>VLOOKUP(B1712,Nuclides!A:F,5,FALSE)</f>
        <v>Au176</v>
      </c>
      <c r="F1712">
        <f>VLOOKUP(B1712,Nuclides!A:F,4,FALSE)</f>
        <v>1.05</v>
      </c>
      <c r="G1712" s="3" t="str">
        <f t="shared" si="133"/>
        <v>1.05s</v>
      </c>
      <c r="H1712" s="3">
        <f t="shared" si="134"/>
        <v>0.6601401719618526</v>
      </c>
      <c r="I1712" s="3">
        <f t="shared" si="135"/>
        <v>0</v>
      </c>
      <c r="J1712" s="3">
        <f t="shared" si="136"/>
        <v>0</v>
      </c>
      <c r="K1712" s="3" t="str">
        <f t="shared" si="137"/>
        <v>Au176</v>
      </c>
      <c r="L1712" s="3" cm="1">
        <f t="array" ref="L1712">SUM(($J1712*EXP(-$H1712*12*3600*_xlfn.SEQUENCE(L$1-1))))+$J1712</f>
        <v>0</v>
      </c>
      <c r="M1712" s="3"/>
      <c r="N1712" s="3"/>
    </row>
    <row r="1713" spans="2:14" hidden="1" x14ac:dyDescent="0.2">
      <c r="B1713" s="3">
        <v>79177</v>
      </c>
      <c r="C1713" s="3">
        <v>0</v>
      </c>
      <c r="D1713">
        <v>1710</v>
      </c>
      <c r="E1713" t="str">
        <f>VLOOKUP(B1713,Nuclides!A:F,5,FALSE)</f>
        <v>Au177</v>
      </c>
      <c r="F1713">
        <f>VLOOKUP(B1713,Nuclides!A:F,4,FALSE)</f>
        <v>1.53</v>
      </c>
      <c r="G1713" s="3" t="str">
        <f t="shared" si="133"/>
        <v>1.53s</v>
      </c>
      <c r="H1713" s="3">
        <f t="shared" si="134"/>
        <v>0.45303737291499691</v>
      </c>
      <c r="I1713" s="3">
        <f t="shared" si="135"/>
        <v>0</v>
      </c>
      <c r="J1713" s="3">
        <f t="shared" si="136"/>
        <v>0</v>
      </c>
      <c r="K1713" s="3" t="str">
        <f t="shared" si="137"/>
        <v>Au177</v>
      </c>
      <c r="L1713" s="3" cm="1">
        <f t="array" ref="L1713">SUM(($J1713*EXP(-$H1713*12*3600*_xlfn.SEQUENCE(L$1-1))))+$J1713</f>
        <v>0</v>
      </c>
      <c r="M1713" s="3"/>
      <c r="N1713" s="3"/>
    </row>
    <row r="1714" spans="2:14" hidden="1" x14ac:dyDescent="0.2">
      <c r="B1714" s="3">
        <v>79178</v>
      </c>
      <c r="C1714" s="3">
        <v>0</v>
      </c>
      <c r="D1714">
        <v>1711</v>
      </c>
      <c r="E1714" t="str">
        <f>VLOOKUP(B1714,Nuclides!A:F,5,FALSE)</f>
        <v>Au178</v>
      </c>
      <c r="F1714">
        <f>VLOOKUP(B1714,Nuclides!A:F,4,FALSE)</f>
        <v>2.6</v>
      </c>
      <c r="G1714" s="3" t="str">
        <f t="shared" si="133"/>
        <v>2.6s</v>
      </c>
      <c r="H1714" s="3">
        <f t="shared" si="134"/>
        <v>0.26659506944613282</v>
      </c>
      <c r="I1714" s="3">
        <f t="shared" si="135"/>
        <v>0</v>
      </c>
      <c r="J1714" s="3">
        <f t="shared" si="136"/>
        <v>0</v>
      </c>
      <c r="K1714" s="3" t="str">
        <f t="shared" si="137"/>
        <v>Au178</v>
      </c>
      <c r="L1714" s="3" cm="1">
        <f t="array" ref="L1714">SUM(($J1714*EXP(-$H1714*12*3600*_xlfn.SEQUENCE(L$1-1))))+$J1714</f>
        <v>0</v>
      </c>
      <c r="M1714" s="3"/>
      <c r="N1714" s="3"/>
    </row>
    <row r="1715" spans="2:14" hidden="1" x14ac:dyDescent="0.2">
      <c r="B1715" s="3">
        <v>79179</v>
      </c>
      <c r="C1715" s="3">
        <v>0</v>
      </c>
      <c r="D1715">
        <v>1712</v>
      </c>
      <c r="E1715" t="str">
        <f>VLOOKUP(B1715,Nuclides!A:F,5,FALSE)</f>
        <v>Au179</v>
      </c>
      <c r="F1715">
        <f>VLOOKUP(B1715,Nuclides!A:F,4,FALSE)</f>
        <v>7.1</v>
      </c>
      <c r="G1715" s="3" t="str">
        <f t="shared" si="133"/>
        <v>7.1s</v>
      </c>
      <c r="H1715" s="3">
        <f t="shared" si="134"/>
        <v>9.7626363459147228E-2</v>
      </c>
      <c r="I1715" s="3">
        <f t="shared" si="135"/>
        <v>0</v>
      </c>
      <c r="J1715" s="3">
        <f t="shared" si="136"/>
        <v>0</v>
      </c>
      <c r="K1715" s="3" t="str">
        <f t="shared" si="137"/>
        <v>Au179</v>
      </c>
      <c r="L1715" s="3" cm="1">
        <f t="array" ref="L1715">SUM(($J1715*EXP(-$H1715*12*3600*_xlfn.SEQUENCE(L$1-1))))+$J1715</f>
        <v>0</v>
      </c>
      <c r="M1715" s="3"/>
      <c r="N1715" s="3"/>
    </row>
    <row r="1716" spans="2:14" hidden="1" x14ac:dyDescent="0.2">
      <c r="B1716" s="3">
        <v>79180</v>
      </c>
      <c r="C1716" s="3">
        <v>0</v>
      </c>
      <c r="D1716">
        <v>1713</v>
      </c>
      <c r="E1716" t="str">
        <f>VLOOKUP(B1716,Nuclides!A:F,5,FALSE)</f>
        <v>Au180</v>
      </c>
      <c r="F1716">
        <f>VLOOKUP(B1716,Nuclides!A:F,4,FALSE)</f>
        <v>8.4</v>
      </c>
      <c r="G1716" s="3" t="str">
        <f t="shared" si="133"/>
        <v>8.4s</v>
      </c>
      <c r="H1716" s="3">
        <f t="shared" si="134"/>
        <v>8.2517521495231574E-2</v>
      </c>
      <c r="I1716" s="3">
        <f t="shared" si="135"/>
        <v>0</v>
      </c>
      <c r="J1716" s="3">
        <f t="shared" si="136"/>
        <v>0</v>
      </c>
      <c r="K1716" s="3" t="str">
        <f t="shared" si="137"/>
        <v>Au180</v>
      </c>
      <c r="L1716" s="3" cm="1">
        <f t="array" ref="L1716">SUM(($J1716*EXP(-$H1716*12*3600*_xlfn.SEQUENCE(L$1-1))))+$J1716</f>
        <v>0</v>
      </c>
      <c r="M1716" s="3"/>
      <c r="N1716" s="3"/>
    </row>
    <row r="1717" spans="2:14" hidden="1" x14ac:dyDescent="0.2">
      <c r="B1717" s="3">
        <v>79181</v>
      </c>
      <c r="C1717" s="3">
        <v>0</v>
      </c>
      <c r="D1717">
        <v>1714</v>
      </c>
      <c r="E1717" t="str">
        <f>VLOOKUP(B1717,Nuclides!A:F,5,FALSE)</f>
        <v>Au181</v>
      </c>
      <c r="F1717">
        <f>VLOOKUP(B1717,Nuclides!A:F,4,FALSE)</f>
        <v>13.7</v>
      </c>
      <c r="G1717" s="3" t="str">
        <f t="shared" si="133"/>
        <v>13.7s</v>
      </c>
      <c r="H1717" s="3">
        <f t="shared" si="134"/>
        <v>5.0594684712404768E-2</v>
      </c>
      <c r="I1717" s="3">
        <f t="shared" si="135"/>
        <v>0</v>
      </c>
      <c r="J1717" s="3">
        <f t="shared" si="136"/>
        <v>0</v>
      </c>
      <c r="K1717" s="3" t="str">
        <f t="shared" si="137"/>
        <v>Au181</v>
      </c>
      <c r="L1717" s="3" cm="1">
        <f t="array" ref="L1717">SUM(($J1717*EXP(-$H1717*12*3600*_xlfn.SEQUENCE(L$1-1))))+$J1717</f>
        <v>0</v>
      </c>
      <c r="M1717" s="3"/>
      <c r="N1717" s="3"/>
    </row>
    <row r="1718" spans="2:14" hidden="1" x14ac:dyDescent="0.2">
      <c r="B1718" s="3">
        <v>79182</v>
      </c>
      <c r="C1718" s="3">
        <v>0</v>
      </c>
      <c r="D1718">
        <v>1715</v>
      </c>
      <c r="E1718" t="str">
        <f>VLOOKUP(B1718,Nuclides!A:F,5,FALSE)</f>
        <v>Au182</v>
      </c>
      <c r="F1718">
        <f>VLOOKUP(B1718,Nuclides!A:F,4,FALSE)</f>
        <v>15.5</v>
      </c>
      <c r="G1718" s="3" t="str">
        <f t="shared" si="133"/>
        <v>15.5s</v>
      </c>
      <c r="H1718" s="3">
        <f t="shared" si="134"/>
        <v>4.4719172939351307E-2</v>
      </c>
      <c r="I1718" s="3">
        <f t="shared" si="135"/>
        <v>0</v>
      </c>
      <c r="J1718" s="3">
        <f t="shared" si="136"/>
        <v>0</v>
      </c>
      <c r="K1718" s="3" t="str">
        <f t="shared" si="137"/>
        <v>Au182</v>
      </c>
      <c r="L1718" s="3" cm="1">
        <f t="array" ref="L1718">SUM(($J1718*EXP(-$H1718*12*3600*_xlfn.SEQUENCE(L$1-1))))+$J1718</f>
        <v>0</v>
      </c>
      <c r="M1718" s="3"/>
      <c r="N1718" s="3"/>
    </row>
    <row r="1719" spans="2:14" hidden="1" x14ac:dyDescent="0.2">
      <c r="B1719" s="3">
        <v>79183</v>
      </c>
      <c r="C1719" s="3">
        <v>0</v>
      </c>
      <c r="D1719">
        <v>1716</v>
      </c>
      <c r="E1719" t="str">
        <f>VLOOKUP(B1719,Nuclides!A:F,5,FALSE)</f>
        <v>Au183</v>
      </c>
      <c r="F1719">
        <f>VLOOKUP(B1719,Nuclides!A:F,4,FALSE)</f>
        <v>42.8</v>
      </c>
      <c r="G1719" s="3" t="str">
        <f t="shared" si="133"/>
        <v>42.8s</v>
      </c>
      <c r="H1719" s="3">
        <f t="shared" si="134"/>
        <v>1.6195027583176293E-2</v>
      </c>
      <c r="I1719" s="3">
        <f t="shared" si="135"/>
        <v>0</v>
      </c>
      <c r="J1719" s="3">
        <f t="shared" si="136"/>
        <v>0</v>
      </c>
      <c r="K1719" s="3" t="str">
        <f t="shared" si="137"/>
        <v>Au183</v>
      </c>
      <c r="L1719" s="3" cm="1">
        <f t="array" ref="L1719">SUM(($J1719*EXP(-$H1719*12*3600*_xlfn.SEQUENCE(L$1-1))))+$J1719</f>
        <v>0</v>
      </c>
      <c r="M1719" s="3"/>
      <c r="N1719" s="3"/>
    </row>
    <row r="1720" spans="2:14" hidden="1" x14ac:dyDescent="0.2">
      <c r="B1720" s="3">
        <v>79184</v>
      </c>
      <c r="C1720" s="3">
        <v>0</v>
      </c>
      <c r="D1720">
        <v>1717</v>
      </c>
      <c r="E1720" t="str">
        <f>VLOOKUP(B1720,Nuclides!A:F,5,FALSE)</f>
        <v>Au184</v>
      </c>
      <c r="F1720">
        <f>VLOOKUP(B1720,Nuclides!A:F,4,FALSE)</f>
        <v>20.6</v>
      </c>
      <c r="G1720" s="3" t="str">
        <f t="shared" si="133"/>
        <v>20.6s</v>
      </c>
      <c r="H1720" s="3">
        <f t="shared" si="134"/>
        <v>3.3647921386405107E-2</v>
      </c>
      <c r="I1720" s="3">
        <f t="shared" si="135"/>
        <v>0</v>
      </c>
      <c r="J1720" s="3">
        <f t="shared" si="136"/>
        <v>0</v>
      </c>
      <c r="K1720" s="3" t="str">
        <f t="shared" si="137"/>
        <v>Au184</v>
      </c>
      <c r="L1720" s="3" cm="1">
        <f t="array" ref="L1720">SUM(($J1720*EXP(-$H1720*12*3600*_xlfn.SEQUENCE(L$1-1))))+$J1720</f>
        <v>0</v>
      </c>
      <c r="M1720" s="3"/>
      <c r="N1720" s="3"/>
    </row>
    <row r="1721" spans="2:14" hidden="1" x14ac:dyDescent="0.2">
      <c r="B1721" s="3">
        <v>79185</v>
      </c>
      <c r="C1721" s="3">
        <v>0</v>
      </c>
      <c r="D1721">
        <v>1718</v>
      </c>
      <c r="E1721" t="str">
        <f>VLOOKUP(B1721,Nuclides!A:F,5,FALSE)</f>
        <v>Au185</v>
      </c>
      <c r="F1721">
        <f>VLOOKUP(B1721,Nuclides!A:F,4,FALSE)</f>
        <v>255</v>
      </c>
      <c r="G1721" s="3" t="str">
        <f t="shared" si="133"/>
        <v>4.25min</v>
      </c>
      <c r="H1721" s="3">
        <f t="shared" si="134"/>
        <v>2.7182242374899817E-3</v>
      </c>
      <c r="I1721" s="3">
        <f t="shared" si="135"/>
        <v>0</v>
      </c>
      <c r="J1721" s="3">
        <f t="shared" si="136"/>
        <v>0</v>
      </c>
      <c r="K1721" s="3" t="str">
        <f t="shared" si="137"/>
        <v>Au185</v>
      </c>
      <c r="L1721" s="3" cm="1">
        <f t="array" ref="L1721">SUM(($J1721*EXP(-$H1721*12*3600*_xlfn.SEQUENCE(L$1-1))))+$J1721</f>
        <v>0</v>
      </c>
      <c r="M1721" s="3"/>
      <c r="N1721" s="3"/>
    </row>
    <row r="1722" spans="2:14" hidden="1" x14ac:dyDescent="0.2">
      <c r="B1722" s="3">
        <v>79186</v>
      </c>
      <c r="C1722" s="3">
        <v>0</v>
      </c>
      <c r="D1722">
        <v>1719</v>
      </c>
      <c r="E1722" t="str">
        <f>VLOOKUP(B1722,Nuclides!A:F,5,FALSE)</f>
        <v>Au186</v>
      </c>
      <c r="F1722">
        <f>VLOOKUP(B1722,Nuclides!A:F,4,FALSE)</f>
        <v>642</v>
      </c>
      <c r="G1722" s="3" t="str">
        <f t="shared" si="133"/>
        <v>10.7min</v>
      </c>
      <c r="H1722" s="3">
        <f t="shared" si="134"/>
        <v>1.079668505545086E-3</v>
      </c>
      <c r="I1722" s="3">
        <f t="shared" si="135"/>
        <v>0</v>
      </c>
      <c r="J1722" s="3">
        <f t="shared" si="136"/>
        <v>0</v>
      </c>
      <c r="K1722" s="3" t="str">
        <f t="shared" si="137"/>
        <v>Au186</v>
      </c>
      <c r="L1722" s="3" cm="1">
        <f t="array" ref="L1722">SUM(($J1722*EXP(-$H1722*12*3600*_xlfn.SEQUENCE(L$1-1))))+$J1722</f>
        <v>0</v>
      </c>
      <c r="M1722" s="3"/>
      <c r="N1722" s="3"/>
    </row>
    <row r="1723" spans="2:14" hidden="1" x14ac:dyDescent="0.2">
      <c r="B1723" s="3">
        <v>79187</v>
      </c>
      <c r="C1723" s="3">
        <v>0</v>
      </c>
      <c r="D1723">
        <v>1720</v>
      </c>
      <c r="E1723" t="str">
        <f>VLOOKUP(B1723,Nuclides!A:F,5,FALSE)</f>
        <v>Au187</v>
      </c>
      <c r="F1723">
        <f>VLOOKUP(B1723,Nuclides!A:F,4,FALSE)</f>
        <v>504</v>
      </c>
      <c r="G1723" s="3" t="str">
        <f t="shared" si="133"/>
        <v>8.4min</v>
      </c>
      <c r="H1723" s="3">
        <f t="shared" si="134"/>
        <v>1.3752920249205263E-3</v>
      </c>
      <c r="I1723" s="3">
        <f t="shared" si="135"/>
        <v>0</v>
      </c>
      <c r="J1723" s="3">
        <f t="shared" si="136"/>
        <v>0</v>
      </c>
      <c r="K1723" s="3" t="str">
        <f t="shared" si="137"/>
        <v>Au187</v>
      </c>
      <c r="L1723" s="3" cm="1">
        <f t="array" ref="L1723">SUM(($J1723*EXP(-$H1723*12*3600*_xlfn.SEQUENCE(L$1-1))))+$J1723</f>
        <v>0</v>
      </c>
      <c r="M1723" s="3"/>
      <c r="N1723" s="3"/>
    </row>
    <row r="1724" spans="2:14" hidden="1" x14ac:dyDescent="0.2">
      <c r="B1724" s="3">
        <v>79188</v>
      </c>
      <c r="C1724" s="3">
        <v>0</v>
      </c>
      <c r="D1724">
        <v>1721</v>
      </c>
      <c r="E1724" t="str">
        <f>VLOOKUP(B1724,Nuclides!A:F,5,FALSE)</f>
        <v>Au188</v>
      </c>
      <c r="F1724">
        <f>VLOOKUP(B1724,Nuclides!A:F,4,FALSE)</f>
        <v>530.4</v>
      </c>
      <c r="G1724" s="3" t="str">
        <f t="shared" si="133"/>
        <v>8.84min</v>
      </c>
      <c r="H1724" s="3">
        <f t="shared" si="134"/>
        <v>1.3068385757163373E-3</v>
      </c>
      <c r="I1724" s="3">
        <f t="shared" si="135"/>
        <v>0</v>
      </c>
      <c r="J1724" s="3">
        <f t="shared" si="136"/>
        <v>0</v>
      </c>
      <c r="K1724" s="3" t="str">
        <f t="shared" si="137"/>
        <v>Au188</v>
      </c>
      <c r="L1724" s="3" cm="1">
        <f t="array" ref="L1724">SUM(($J1724*EXP(-$H1724*12*3600*_xlfn.SEQUENCE(L$1-1))))+$J1724</f>
        <v>0</v>
      </c>
      <c r="M1724" s="3"/>
      <c r="N1724" s="3"/>
    </row>
    <row r="1725" spans="2:14" hidden="1" x14ac:dyDescent="0.2">
      <c r="B1725" s="3">
        <v>79189</v>
      </c>
      <c r="C1725" s="3">
        <v>0</v>
      </c>
      <c r="D1725">
        <v>1722</v>
      </c>
      <c r="E1725" t="str">
        <f>VLOOKUP(B1725,Nuclides!A:F,5,FALSE)</f>
        <v>Au189</v>
      </c>
      <c r="F1725">
        <f>VLOOKUP(B1725,Nuclides!A:F,4,FALSE)</f>
        <v>1722</v>
      </c>
      <c r="G1725" s="3" t="str">
        <f t="shared" si="133"/>
        <v>28.7min</v>
      </c>
      <c r="H1725" s="3">
        <f t="shared" si="134"/>
        <v>4.0252449509869064E-4</v>
      </c>
      <c r="I1725" s="3">
        <f t="shared" si="135"/>
        <v>0</v>
      </c>
      <c r="J1725" s="3">
        <f t="shared" si="136"/>
        <v>0</v>
      </c>
      <c r="K1725" s="3" t="str">
        <f t="shared" si="137"/>
        <v>Au189</v>
      </c>
      <c r="L1725" s="3" cm="1">
        <f t="array" ref="L1725">SUM(($J1725*EXP(-$H1725*12*3600*_xlfn.SEQUENCE(L$1-1))))+$J1725</f>
        <v>0</v>
      </c>
      <c r="M1725" s="3"/>
      <c r="N1725" s="3"/>
    </row>
    <row r="1726" spans="2:14" hidden="1" x14ac:dyDescent="0.2">
      <c r="B1726" s="3">
        <v>79190</v>
      </c>
      <c r="C1726" s="3">
        <v>0</v>
      </c>
      <c r="D1726">
        <v>1723</v>
      </c>
      <c r="E1726" t="str">
        <f>VLOOKUP(B1726,Nuclides!A:F,5,FALSE)</f>
        <v>Au190</v>
      </c>
      <c r="F1726">
        <f>VLOOKUP(B1726,Nuclides!A:F,4,FALSE)</f>
        <v>2568</v>
      </c>
      <c r="G1726" s="3" t="str">
        <f t="shared" si="133"/>
        <v>42.8min</v>
      </c>
      <c r="H1726" s="3">
        <f t="shared" si="134"/>
        <v>2.6991712638627151E-4</v>
      </c>
      <c r="I1726" s="3">
        <f t="shared" si="135"/>
        <v>0</v>
      </c>
      <c r="J1726" s="3">
        <f t="shared" si="136"/>
        <v>0</v>
      </c>
      <c r="K1726" s="3" t="str">
        <f t="shared" si="137"/>
        <v>Au190</v>
      </c>
      <c r="L1726" s="3" cm="1">
        <f t="array" ref="L1726">SUM(($J1726*EXP(-$H1726*12*3600*_xlfn.SEQUENCE(L$1-1))))+$J1726</f>
        <v>0</v>
      </c>
      <c r="M1726" s="3"/>
      <c r="N1726" s="3"/>
    </row>
    <row r="1727" spans="2:14" hidden="1" x14ac:dyDescent="0.2">
      <c r="B1727" s="3">
        <v>79191</v>
      </c>
      <c r="C1727" s="3">
        <v>0</v>
      </c>
      <c r="D1727">
        <v>1724</v>
      </c>
      <c r="E1727" t="str">
        <f>VLOOKUP(B1727,Nuclides!A:F,5,FALSE)</f>
        <v>Au191</v>
      </c>
      <c r="F1727">
        <f>VLOOKUP(B1727,Nuclides!A:F,4,FALSE)</f>
        <v>11448</v>
      </c>
      <c r="G1727" s="3" t="str">
        <f t="shared" si="133"/>
        <v>3.18h</v>
      </c>
      <c r="H1727" s="3">
        <f t="shared" si="134"/>
        <v>6.0547447638010597E-5</v>
      </c>
      <c r="I1727" s="3">
        <f t="shared" si="135"/>
        <v>0</v>
      </c>
      <c r="J1727" s="3">
        <f t="shared" si="136"/>
        <v>0</v>
      </c>
      <c r="K1727" s="3" t="str">
        <f t="shared" si="137"/>
        <v>Au191</v>
      </c>
      <c r="L1727" s="3" cm="1">
        <f t="array" ref="L1727">SUM(($J1727*EXP(-$H1727*12*3600*_xlfn.SEQUENCE(L$1-1))))+$J1727</f>
        <v>0</v>
      </c>
      <c r="M1727" s="3"/>
      <c r="N1727" s="3"/>
    </row>
    <row r="1728" spans="2:14" hidden="1" x14ac:dyDescent="0.2">
      <c r="B1728" s="3">
        <v>79192</v>
      </c>
      <c r="C1728" s="3">
        <v>0</v>
      </c>
      <c r="D1728">
        <v>1725</v>
      </c>
      <c r="E1728" t="str">
        <f>VLOOKUP(B1728,Nuclides!A:F,5,FALSE)</f>
        <v>Au192</v>
      </c>
      <c r="F1728">
        <f>VLOOKUP(B1728,Nuclides!A:F,4,FALSE)</f>
        <v>17784</v>
      </c>
      <c r="G1728" s="3" t="str">
        <f t="shared" si="133"/>
        <v>4.94h</v>
      </c>
      <c r="H1728" s="3">
        <f t="shared" si="134"/>
        <v>3.8975887345925848E-5</v>
      </c>
      <c r="I1728" s="3">
        <f t="shared" si="135"/>
        <v>0</v>
      </c>
      <c r="J1728" s="3">
        <f t="shared" si="136"/>
        <v>0</v>
      </c>
      <c r="K1728" s="3" t="str">
        <f t="shared" si="137"/>
        <v>Au192</v>
      </c>
      <c r="L1728" s="3" cm="1">
        <f t="array" ref="L1728">SUM(($J1728*EXP(-$H1728*12*3600*_xlfn.SEQUENCE(L$1-1))))+$J1728</f>
        <v>0</v>
      </c>
      <c r="M1728" s="3"/>
      <c r="N1728" s="3"/>
    </row>
    <row r="1729" spans="2:14" hidden="1" x14ac:dyDescent="0.2">
      <c r="B1729" s="3">
        <v>79193</v>
      </c>
      <c r="C1729" s="3">
        <v>0</v>
      </c>
      <c r="D1729">
        <v>1726</v>
      </c>
      <c r="E1729" t="str">
        <f>VLOOKUP(B1729,Nuclides!A:F,5,FALSE)</f>
        <v>Au193</v>
      </c>
      <c r="F1729">
        <f>VLOOKUP(B1729,Nuclides!A:F,4,FALSE)</f>
        <v>63539.999999999898</v>
      </c>
      <c r="G1729" s="3" t="str">
        <f t="shared" si="133"/>
        <v>17.65h</v>
      </c>
      <c r="H1729" s="3">
        <f t="shared" si="134"/>
        <v>1.0908831925715242E-5</v>
      </c>
      <c r="I1729" s="3">
        <f t="shared" si="135"/>
        <v>0</v>
      </c>
      <c r="J1729" s="3">
        <f t="shared" si="136"/>
        <v>0</v>
      </c>
      <c r="K1729" s="3" t="str">
        <f t="shared" si="137"/>
        <v>Au193</v>
      </c>
      <c r="L1729" s="3" cm="1">
        <f t="array" ref="L1729">SUM(($J1729*EXP(-$H1729*12*3600*_xlfn.SEQUENCE(L$1-1))))+$J1729</f>
        <v>0</v>
      </c>
      <c r="M1729" s="3"/>
      <c r="N1729" s="3"/>
    </row>
    <row r="1730" spans="2:14" hidden="1" x14ac:dyDescent="0.2">
      <c r="B1730" s="3">
        <v>79194</v>
      </c>
      <c r="C1730" s="3">
        <v>0</v>
      </c>
      <c r="D1730">
        <v>1727</v>
      </c>
      <c r="E1730" t="str">
        <f>VLOOKUP(B1730,Nuclides!A:F,5,FALSE)</f>
        <v>Au194</v>
      </c>
      <c r="F1730">
        <f>VLOOKUP(B1730,Nuclides!A:F,4,FALSE)</f>
        <v>136872</v>
      </c>
      <c r="G1730" s="3" t="str">
        <f t="shared" si="133"/>
        <v>1.58d</v>
      </c>
      <c r="H1730" s="3">
        <f t="shared" si="134"/>
        <v>5.0641999865563832E-6</v>
      </c>
      <c r="I1730" s="3">
        <f t="shared" si="135"/>
        <v>0</v>
      </c>
      <c r="J1730" s="3">
        <f t="shared" si="136"/>
        <v>0</v>
      </c>
      <c r="K1730" s="3" t="str">
        <f t="shared" si="137"/>
        <v>Au194</v>
      </c>
      <c r="L1730" s="3" cm="1">
        <f t="array" ref="L1730">SUM(($J1730*EXP(-$H1730*12*3600*_xlfn.SEQUENCE(L$1-1))))+$J1730</f>
        <v>0</v>
      </c>
      <c r="M1730" s="3"/>
      <c r="N1730" s="3"/>
    </row>
    <row r="1731" spans="2:14" hidden="1" x14ac:dyDescent="0.2">
      <c r="B1731" s="3">
        <v>79195</v>
      </c>
      <c r="C1731" s="3">
        <v>0</v>
      </c>
      <c r="D1731">
        <v>1728</v>
      </c>
      <c r="E1731" t="str">
        <f>VLOOKUP(B1731,Nuclides!A:F,5,FALSE)</f>
        <v>Au195</v>
      </c>
      <c r="F1731">
        <f>VLOOKUP(B1731,Nuclides!A:F,4,FALSE)</f>
        <v>16071264</v>
      </c>
      <c r="G1731" s="3" t="str">
        <f t="shared" si="133"/>
        <v>186.01d</v>
      </c>
      <c r="H1731" s="3">
        <f t="shared" si="134"/>
        <v>4.3129599548607084E-8</v>
      </c>
      <c r="I1731" s="3">
        <f t="shared" si="135"/>
        <v>0</v>
      </c>
      <c r="J1731" s="3">
        <f t="shared" si="136"/>
        <v>0</v>
      </c>
      <c r="K1731" s="3" t="str">
        <f t="shared" si="137"/>
        <v>Au195</v>
      </c>
      <c r="L1731" s="3" cm="1">
        <f t="array" ref="L1731">SUM(($J1731*EXP(-$H1731*12*3600*_xlfn.SEQUENCE(L$1-1))))+$J1731</f>
        <v>0</v>
      </c>
      <c r="M1731" s="3"/>
      <c r="N1731" s="3"/>
    </row>
    <row r="1732" spans="2:14" hidden="1" x14ac:dyDescent="0.2">
      <c r="B1732" s="3">
        <v>79196</v>
      </c>
      <c r="C1732" s="3">
        <v>0</v>
      </c>
      <c r="D1732">
        <v>1729</v>
      </c>
      <c r="E1732" t="str">
        <f>VLOOKUP(B1732,Nuclides!A:F,5,FALSE)</f>
        <v>Au196</v>
      </c>
      <c r="F1732">
        <f>VLOOKUP(B1732,Nuclides!A:F,4,FALSE)</f>
        <v>532820.16</v>
      </c>
      <c r="G1732" s="3" t="str">
        <f t="shared" ref="G1732:G1795" si="138">IF(F1732="STABLE", "STABLE", IF(F1732&lt;60, F1732&amp;"s", IF(F1732&lt;3600, ROUND(F1732/60,2)&amp;"min", IF(F1732&lt;86400, ROUND(F1732/3600,2)&amp;"h", IF(F1732&lt;31536000, ROUND(F1732/86400,2)&amp;"d", ROUND(F1732/31536000,2)&amp;"y")))))</f>
        <v>6.17d</v>
      </c>
      <c r="H1732" s="3">
        <f t="shared" ref="H1732:H1795" si="139">LN(2)/F1732</f>
        <v>1.3009026921202555E-6</v>
      </c>
      <c r="I1732" s="3">
        <f t="shared" ref="I1732:I1795" si="140">100*6240000000000*C1732*(1-EXP(-H1732*2*3600))</f>
        <v>0</v>
      </c>
      <c r="J1732" s="3">
        <f t="shared" ref="J1732:J1795" si="141">I1732*EXP(-H1732*10*3600)</f>
        <v>0</v>
      </c>
      <c r="K1732" s="3" t="str">
        <f t="shared" ref="K1732:K1795" si="142">E1732</f>
        <v>Au196</v>
      </c>
      <c r="L1732" s="3" cm="1">
        <f t="array" ref="L1732">SUM(($J1732*EXP(-$H1732*12*3600*_xlfn.SEQUENCE(L$1-1))))+$J1732</f>
        <v>0</v>
      </c>
      <c r="M1732" s="3"/>
      <c r="N1732" s="3"/>
    </row>
    <row r="1733" spans="2:14" hidden="1" x14ac:dyDescent="0.2">
      <c r="B1733" s="3">
        <v>79197</v>
      </c>
      <c r="C1733" s="3">
        <v>0</v>
      </c>
      <c r="D1733">
        <v>1730</v>
      </c>
      <c r="E1733" t="str">
        <f>VLOOKUP(B1733,Nuclides!A:F,5,FALSE)</f>
        <v>Au197</v>
      </c>
      <c r="F1733" t="str">
        <f>VLOOKUP(B1733,Nuclides!A:F,4,FALSE)</f>
        <v>STABLE</v>
      </c>
      <c r="G1733" s="3" t="str">
        <f t="shared" si="138"/>
        <v>STABLE</v>
      </c>
      <c r="H1733" s="3" t="e">
        <f t="shared" si="139"/>
        <v>#VALUE!</v>
      </c>
      <c r="I1733" s="3" t="e">
        <f t="shared" si="140"/>
        <v>#VALUE!</v>
      </c>
      <c r="J1733" s="3" t="e">
        <f t="shared" si="141"/>
        <v>#VALUE!</v>
      </c>
      <c r="K1733" s="3" t="str">
        <f t="shared" si="142"/>
        <v>Au197</v>
      </c>
      <c r="L1733" s="3" t="e" cm="1">
        <f t="array" ref="L1733">SUM(($J1733*EXP(-$H1733*12*3600*_xlfn.SEQUENCE(L$1-1))))+$J1733</f>
        <v>#VALUE!</v>
      </c>
      <c r="M1733" s="3"/>
      <c r="N1733" s="3"/>
    </row>
    <row r="1734" spans="2:14" hidden="1" x14ac:dyDescent="0.2">
      <c r="B1734" s="3">
        <v>79198</v>
      </c>
      <c r="C1734" s="3">
        <v>0</v>
      </c>
      <c r="D1734">
        <v>1731</v>
      </c>
      <c r="E1734" t="str">
        <f>VLOOKUP(B1734,Nuclides!A:F,5,FALSE)</f>
        <v>Au198</v>
      </c>
      <c r="F1734">
        <f>VLOOKUP(B1734,Nuclides!A:F,4,FALSE)</f>
        <v>232770.24</v>
      </c>
      <c r="G1734" s="3" t="str">
        <f t="shared" si="138"/>
        <v>2.69d</v>
      </c>
      <c r="H1734" s="3">
        <f t="shared" si="139"/>
        <v>2.9778170120026741E-6</v>
      </c>
      <c r="I1734" s="3">
        <f t="shared" si="140"/>
        <v>0</v>
      </c>
      <c r="J1734" s="3">
        <f t="shared" si="141"/>
        <v>0</v>
      </c>
      <c r="K1734" s="3" t="str">
        <f t="shared" si="142"/>
        <v>Au198</v>
      </c>
      <c r="L1734" s="3" cm="1">
        <f t="array" ref="L1734">SUM(($J1734*EXP(-$H1734*12*3600*_xlfn.SEQUENCE(L$1-1))))+$J1734</f>
        <v>0</v>
      </c>
      <c r="M1734" s="3"/>
      <c r="N1734" s="3"/>
    </row>
    <row r="1735" spans="2:14" hidden="1" x14ac:dyDescent="0.2">
      <c r="B1735" s="3">
        <v>79199</v>
      </c>
      <c r="C1735" s="3">
        <v>0</v>
      </c>
      <c r="D1735">
        <v>1732</v>
      </c>
      <c r="E1735" t="str">
        <f>VLOOKUP(B1735,Nuclides!A:F,5,FALSE)</f>
        <v>Au199</v>
      </c>
      <c r="F1735">
        <f>VLOOKUP(B1735,Nuclides!A:F,4,FALSE)</f>
        <v>271209.59999999998</v>
      </c>
      <c r="G1735" s="3" t="str">
        <f t="shared" si="138"/>
        <v>3.14d</v>
      </c>
      <c r="H1735" s="3">
        <f t="shared" si="139"/>
        <v>2.5557619662428812E-6</v>
      </c>
      <c r="I1735" s="3">
        <f t="shared" si="140"/>
        <v>0</v>
      </c>
      <c r="J1735" s="3">
        <f t="shared" si="141"/>
        <v>0</v>
      </c>
      <c r="K1735" s="3" t="str">
        <f t="shared" si="142"/>
        <v>Au199</v>
      </c>
      <c r="L1735" s="3" cm="1">
        <f t="array" ref="L1735">SUM(($J1735*EXP(-$H1735*12*3600*_xlfn.SEQUENCE(L$1-1))))+$J1735</f>
        <v>0</v>
      </c>
      <c r="M1735" s="3"/>
      <c r="N1735" s="3"/>
    </row>
    <row r="1736" spans="2:14" hidden="1" x14ac:dyDescent="0.2">
      <c r="B1736" s="3">
        <v>79200</v>
      </c>
      <c r="C1736" s="3">
        <v>0</v>
      </c>
      <c r="D1736">
        <v>1733</v>
      </c>
      <c r="E1736" t="str">
        <f>VLOOKUP(B1736,Nuclides!A:F,5,FALSE)</f>
        <v>Au200</v>
      </c>
      <c r="F1736">
        <f>VLOOKUP(B1736,Nuclides!A:F,4,FALSE)</f>
        <v>2904</v>
      </c>
      <c r="G1736" s="3" t="str">
        <f t="shared" si="138"/>
        <v>48.4min</v>
      </c>
      <c r="H1736" s="3">
        <f t="shared" si="139"/>
        <v>2.3868704564736408E-4</v>
      </c>
      <c r="I1736" s="3">
        <f t="shared" si="140"/>
        <v>0</v>
      </c>
      <c r="J1736" s="3">
        <f t="shared" si="141"/>
        <v>0</v>
      </c>
      <c r="K1736" s="3" t="str">
        <f t="shared" si="142"/>
        <v>Au200</v>
      </c>
      <c r="L1736" s="3" cm="1">
        <f t="array" ref="L1736">SUM(($J1736*EXP(-$H1736*12*3600*_xlfn.SEQUENCE(L$1-1))))+$J1736</f>
        <v>0</v>
      </c>
      <c r="M1736" s="3"/>
      <c r="N1736" s="3"/>
    </row>
    <row r="1737" spans="2:14" hidden="1" x14ac:dyDescent="0.2">
      <c r="B1737" s="3">
        <v>79201</v>
      </c>
      <c r="C1737" s="3">
        <v>0</v>
      </c>
      <c r="D1737">
        <v>1734</v>
      </c>
      <c r="E1737" t="str">
        <f>VLOOKUP(B1737,Nuclides!A:F,5,FALSE)</f>
        <v>Au201</v>
      </c>
      <c r="F1737">
        <f>VLOOKUP(B1737,Nuclides!A:F,4,FALSE)</f>
        <v>1560</v>
      </c>
      <c r="G1737" s="3" t="str">
        <f t="shared" si="138"/>
        <v>26min</v>
      </c>
      <c r="H1737" s="3">
        <f t="shared" si="139"/>
        <v>4.4432511574355469E-4</v>
      </c>
      <c r="I1737" s="3">
        <f t="shared" si="140"/>
        <v>0</v>
      </c>
      <c r="J1737" s="3">
        <f t="shared" si="141"/>
        <v>0</v>
      </c>
      <c r="K1737" s="3" t="str">
        <f t="shared" si="142"/>
        <v>Au201</v>
      </c>
      <c r="L1737" s="3" cm="1">
        <f t="array" ref="L1737">SUM(($J1737*EXP(-$H1737*12*3600*_xlfn.SEQUENCE(L$1-1))))+$J1737</f>
        <v>0</v>
      </c>
      <c r="M1737" s="3"/>
      <c r="N1737" s="3"/>
    </row>
    <row r="1738" spans="2:14" hidden="1" x14ac:dyDescent="0.2">
      <c r="B1738" s="3">
        <v>79202</v>
      </c>
      <c r="C1738" s="3">
        <v>0</v>
      </c>
      <c r="D1738">
        <v>1735</v>
      </c>
      <c r="E1738" t="str">
        <f>VLOOKUP(B1738,Nuclides!A:F,5,FALSE)</f>
        <v>Au202</v>
      </c>
      <c r="F1738">
        <f>VLOOKUP(B1738,Nuclides!A:F,4,FALSE)</f>
        <v>28.4</v>
      </c>
      <c r="G1738" s="3" t="str">
        <f t="shared" si="138"/>
        <v>28.4s</v>
      </c>
      <c r="H1738" s="3">
        <f t="shared" si="139"/>
        <v>2.4406590864786807E-2</v>
      </c>
      <c r="I1738" s="3">
        <f t="shared" si="140"/>
        <v>0</v>
      </c>
      <c r="J1738" s="3">
        <f t="shared" si="141"/>
        <v>0</v>
      </c>
      <c r="K1738" s="3" t="str">
        <f t="shared" si="142"/>
        <v>Au202</v>
      </c>
      <c r="L1738" s="3" cm="1">
        <f t="array" ref="L1738">SUM(($J1738*EXP(-$H1738*12*3600*_xlfn.SEQUENCE(L$1-1))))+$J1738</f>
        <v>0</v>
      </c>
      <c r="M1738" s="3"/>
      <c r="N1738" s="3"/>
    </row>
    <row r="1739" spans="2:14" hidden="1" x14ac:dyDescent="0.2">
      <c r="B1739" s="3">
        <v>79203</v>
      </c>
      <c r="C1739" s="3">
        <v>0</v>
      </c>
      <c r="D1739">
        <v>1736</v>
      </c>
      <c r="E1739" t="str">
        <f>VLOOKUP(B1739,Nuclides!A:F,5,FALSE)</f>
        <v>Au203</v>
      </c>
      <c r="F1739">
        <f>VLOOKUP(B1739,Nuclides!A:F,4,FALSE)</f>
        <v>60</v>
      </c>
      <c r="G1739" s="3" t="str">
        <f t="shared" si="138"/>
        <v>1min</v>
      </c>
      <c r="H1739" s="3">
        <f t="shared" si="139"/>
        <v>1.1552453009332421E-2</v>
      </c>
      <c r="I1739" s="3">
        <f t="shared" si="140"/>
        <v>0</v>
      </c>
      <c r="J1739" s="3">
        <f t="shared" si="141"/>
        <v>0</v>
      </c>
      <c r="K1739" s="3" t="str">
        <f t="shared" si="142"/>
        <v>Au203</v>
      </c>
      <c r="L1739" s="3" cm="1">
        <f t="array" ref="L1739">SUM(($J1739*EXP(-$H1739*12*3600*_xlfn.SEQUENCE(L$1-1))))+$J1739</f>
        <v>0</v>
      </c>
      <c r="M1739" s="3"/>
      <c r="N1739" s="3"/>
    </row>
    <row r="1740" spans="2:14" hidden="1" x14ac:dyDescent="0.2">
      <c r="B1740" s="3">
        <v>79204</v>
      </c>
      <c r="C1740" s="3">
        <v>0</v>
      </c>
      <c r="D1740">
        <v>1737</v>
      </c>
      <c r="E1740" t="str">
        <f>VLOOKUP(B1740,Nuclides!A:F,5,FALSE)</f>
        <v>Au204</v>
      </c>
      <c r="F1740">
        <f>VLOOKUP(B1740,Nuclides!A:F,4,FALSE)</f>
        <v>39.799999999999997</v>
      </c>
      <c r="G1740" s="3" t="str">
        <f t="shared" si="138"/>
        <v>39.8s</v>
      </c>
      <c r="H1740" s="3">
        <f t="shared" si="139"/>
        <v>1.7415758305526264E-2</v>
      </c>
      <c r="I1740" s="3">
        <f t="shared" si="140"/>
        <v>0</v>
      </c>
      <c r="J1740" s="3">
        <f t="shared" si="141"/>
        <v>0</v>
      </c>
      <c r="K1740" s="3" t="str">
        <f t="shared" si="142"/>
        <v>Au204</v>
      </c>
      <c r="L1740" s="3" cm="1">
        <f t="array" ref="L1740">SUM(($J1740*EXP(-$H1740*12*3600*_xlfn.SEQUENCE(L$1-1))))+$J1740</f>
        <v>0</v>
      </c>
      <c r="M1740" s="3"/>
      <c r="N1740" s="3"/>
    </row>
    <row r="1741" spans="2:14" hidden="1" x14ac:dyDescent="0.2">
      <c r="B1741" s="3">
        <v>80177</v>
      </c>
      <c r="C1741" s="3">
        <v>0</v>
      </c>
      <c r="D1741">
        <v>1738</v>
      </c>
      <c r="E1741" t="str">
        <f>VLOOKUP(B1741,Nuclides!A:F,5,FALSE)</f>
        <v>Hg177</v>
      </c>
      <c r="F1741">
        <f>VLOOKUP(B1741,Nuclides!A:F,4,FALSE)</f>
        <v>0.11799999999999999</v>
      </c>
      <c r="G1741" s="3" t="str">
        <f t="shared" si="138"/>
        <v>0.118s</v>
      </c>
      <c r="H1741" s="3">
        <f t="shared" si="139"/>
        <v>5.8741286488130964</v>
      </c>
      <c r="I1741" s="3">
        <f t="shared" si="140"/>
        <v>0</v>
      </c>
      <c r="J1741" s="3">
        <f t="shared" si="141"/>
        <v>0</v>
      </c>
      <c r="K1741" s="3" t="str">
        <f t="shared" si="142"/>
        <v>Hg177</v>
      </c>
      <c r="L1741" s="3" cm="1">
        <f t="array" ref="L1741">SUM(($J1741*EXP(-$H1741*12*3600*_xlfn.SEQUENCE(L$1-1))))+$J1741</f>
        <v>0</v>
      </c>
      <c r="M1741" s="3"/>
      <c r="N1741" s="3"/>
    </row>
    <row r="1742" spans="2:14" hidden="1" x14ac:dyDescent="0.2">
      <c r="B1742" s="3">
        <v>80178</v>
      </c>
      <c r="C1742" s="3">
        <v>0</v>
      </c>
      <c r="D1742">
        <v>1739</v>
      </c>
      <c r="E1742" t="str">
        <f>VLOOKUP(B1742,Nuclides!A:F,5,FALSE)</f>
        <v>Hg178</v>
      </c>
      <c r="F1742">
        <f>VLOOKUP(B1742,Nuclides!A:F,4,FALSE)</f>
        <v>0.26650000000000001</v>
      </c>
      <c r="G1742" s="3" t="str">
        <f t="shared" si="138"/>
        <v>0.2665s</v>
      </c>
      <c r="H1742" s="3">
        <f t="shared" si="139"/>
        <v>2.6009275067915394</v>
      </c>
      <c r="I1742" s="3">
        <f t="shared" si="140"/>
        <v>0</v>
      </c>
      <c r="J1742" s="3">
        <f t="shared" si="141"/>
        <v>0</v>
      </c>
      <c r="K1742" s="3" t="str">
        <f t="shared" si="142"/>
        <v>Hg178</v>
      </c>
      <c r="L1742" s="3" cm="1">
        <f t="array" ref="L1742">SUM(($J1742*EXP(-$H1742*12*3600*_xlfn.SEQUENCE(L$1-1))))+$J1742</f>
        <v>0</v>
      </c>
      <c r="M1742" s="3"/>
      <c r="N1742" s="3"/>
    </row>
    <row r="1743" spans="2:14" hidden="1" x14ac:dyDescent="0.2">
      <c r="B1743" s="3">
        <v>80179</v>
      </c>
      <c r="C1743" s="3">
        <v>0</v>
      </c>
      <c r="D1743">
        <v>1740</v>
      </c>
      <c r="E1743" t="str">
        <f>VLOOKUP(B1743,Nuclides!A:F,5,FALSE)</f>
        <v>Hg179</v>
      </c>
      <c r="F1743">
        <f>VLOOKUP(B1743,Nuclides!A:F,4,FALSE)</f>
        <v>1.05</v>
      </c>
      <c r="G1743" s="3" t="str">
        <f t="shared" si="138"/>
        <v>1.05s</v>
      </c>
      <c r="H1743" s="3">
        <f t="shared" si="139"/>
        <v>0.6601401719618526</v>
      </c>
      <c r="I1743" s="3">
        <f t="shared" si="140"/>
        <v>0</v>
      </c>
      <c r="J1743" s="3">
        <f t="shared" si="141"/>
        <v>0</v>
      </c>
      <c r="K1743" s="3" t="str">
        <f t="shared" si="142"/>
        <v>Hg179</v>
      </c>
      <c r="L1743" s="3" cm="1">
        <f t="array" ref="L1743">SUM(($J1743*EXP(-$H1743*12*3600*_xlfn.SEQUENCE(L$1-1))))+$J1743</f>
        <v>0</v>
      </c>
      <c r="M1743" s="3"/>
      <c r="N1743" s="3"/>
    </row>
    <row r="1744" spans="2:14" hidden="1" x14ac:dyDescent="0.2">
      <c r="B1744" s="3">
        <v>80180</v>
      </c>
      <c r="C1744" s="3">
        <v>0</v>
      </c>
      <c r="D1744">
        <v>1741</v>
      </c>
      <c r="E1744" t="str">
        <f>VLOOKUP(B1744,Nuclides!A:F,5,FALSE)</f>
        <v>Hg180</v>
      </c>
      <c r="F1744">
        <f>VLOOKUP(B1744,Nuclides!A:F,4,FALSE)</f>
        <v>2.59</v>
      </c>
      <c r="G1744" s="3" t="str">
        <f t="shared" si="138"/>
        <v>2.59s</v>
      </c>
      <c r="H1744" s="3">
        <f t="shared" si="139"/>
        <v>0.26762439403858895</v>
      </c>
      <c r="I1744" s="3">
        <f t="shared" si="140"/>
        <v>0</v>
      </c>
      <c r="J1744" s="3">
        <f t="shared" si="141"/>
        <v>0</v>
      </c>
      <c r="K1744" s="3" t="str">
        <f t="shared" si="142"/>
        <v>Hg180</v>
      </c>
      <c r="L1744" s="3" cm="1">
        <f t="array" ref="L1744">SUM(($J1744*EXP(-$H1744*12*3600*_xlfn.SEQUENCE(L$1-1))))+$J1744</f>
        <v>0</v>
      </c>
      <c r="M1744" s="3"/>
      <c r="N1744" s="3"/>
    </row>
    <row r="1745" spans="2:14" hidden="1" x14ac:dyDescent="0.2">
      <c r="B1745" s="3">
        <v>80181</v>
      </c>
      <c r="C1745" s="3">
        <v>0</v>
      </c>
      <c r="D1745">
        <v>1742</v>
      </c>
      <c r="E1745" t="str">
        <f>VLOOKUP(B1745,Nuclides!A:F,5,FALSE)</f>
        <v>Hg181</v>
      </c>
      <c r="F1745">
        <f>VLOOKUP(B1745,Nuclides!A:F,4,FALSE)</f>
        <v>3.6</v>
      </c>
      <c r="G1745" s="3" t="str">
        <f t="shared" si="138"/>
        <v>3.6s</v>
      </c>
      <c r="H1745" s="3">
        <f t="shared" si="139"/>
        <v>0.19254088348887369</v>
      </c>
      <c r="I1745" s="3">
        <f t="shared" si="140"/>
        <v>0</v>
      </c>
      <c r="J1745" s="3">
        <f t="shared" si="141"/>
        <v>0</v>
      </c>
      <c r="K1745" s="3" t="str">
        <f t="shared" si="142"/>
        <v>Hg181</v>
      </c>
      <c r="L1745" s="3" cm="1">
        <f t="array" ref="L1745">SUM(($J1745*EXP(-$H1745*12*3600*_xlfn.SEQUENCE(L$1-1))))+$J1745</f>
        <v>0</v>
      </c>
      <c r="M1745" s="3"/>
      <c r="N1745" s="3"/>
    </row>
    <row r="1746" spans="2:14" hidden="1" x14ac:dyDescent="0.2">
      <c r="B1746" s="3">
        <v>80182</v>
      </c>
      <c r="C1746" s="3">
        <v>0</v>
      </c>
      <c r="D1746">
        <v>1743</v>
      </c>
      <c r="E1746" t="str">
        <f>VLOOKUP(B1746,Nuclides!A:F,5,FALSE)</f>
        <v>Hg182</v>
      </c>
      <c r="F1746">
        <f>VLOOKUP(B1746,Nuclides!A:F,4,FALSE)</f>
        <v>10.83</v>
      </c>
      <c r="G1746" s="3" t="str">
        <f t="shared" si="138"/>
        <v>10.83s</v>
      </c>
      <c r="H1746" s="3">
        <f t="shared" si="139"/>
        <v>6.4002509746994021E-2</v>
      </c>
      <c r="I1746" s="3">
        <f t="shared" si="140"/>
        <v>0</v>
      </c>
      <c r="J1746" s="3">
        <f t="shared" si="141"/>
        <v>0</v>
      </c>
      <c r="K1746" s="3" t="str">
        <f t="shared" si="142"/>
        <v>Hg182</v>
      </c>
      <c r="L1746" s="3" cm="1">
        <f t="array" ref="L1746">SUM(($J1746*EXP(-$H1746*12*3600*_xlfn.SEQUENCE(L$1-1))))+$J1746</f>
        <v>0</v>
      </c>
      <c r="M1746" s="3"/>
      <c r="N1746" s="3"/>
    </row>
    <row r="1747" spans="2:14" hidden="1" x14ac:dyDescent="0.2">
      <c r="B1747" s="3">
        <v>80183</v>
      </c>
      <c r="C1747" s="3">
        <v>0</v>
      </c>
      <c r="D1747">
        <v>1744</v>
      </c>
      <c r="E1747" t="str">
        <f>VLOOKUP(B1747,Nuclides!A:F,5,FALSE)</f>
        <v>Hg183</v>
      </c>
      <c r="F1747">
        <f>VLOOKUP(B1747,Nuclides!A:F,4,FALSE)</f>
        <v>9.4</v>
      </c>
      <c r="G1747" s="3" t="str">
        <f t="shared" si="138"/>
        <v>9.4s</v>
      </c>
      <c r="H1747" s="3">
        <f t="shared" si="139"/>
        <v>7.3739061761696298E-2</v>
      </c>
      <c r="I1747" s="3">
        <f t="shared" si="140"/>
        <v>0</v>
      </c>
      <c r="J1747" s="3">
        <f t="shared" si="141"/>
        <v>0</v>
      </c>
      <c r="K1747" s="3" t="str">
        <f t="shared" si="142"/>
        <v>Hg183</v>
      </c>
      <c r="L1747" s="3" cm="1">
        <f t="array" ref="L1747">SUM(($J1747*EXP(-$H1747*12*3600*_xlfn.SEQUENCE(L$1-1))))+$J1747</f>
        <v>0</v>
      </c>
      <c r="M1747" s="3"/>
      <c r="N1747" s="3"/>
    </row>
    <row r="1748" spans="2:14" hidden="1" x14ac:dyDescent="0.2">
      <c r="B1748" s="3">
        <v>80184</v>
      </c>
      <c r="C1748" s="3">
        <v>0</v>
      </c>
      <c r="D1748">
        <v>1745</v>
      </c>
      <c r="E1748" t="str">
        <f>VLOOKUP(B1748,Nuclides!A:F,5,FALSE)</f>
        <v>Hg184</v>
      </c>
      <c r="F1748">
        <f>VLOOKUP(B1748,Nuclides!A:F,4,FALSE)</f>
        <v>30.87</v>
      </c>
      <c r="G1748" s="3" t="str">
        <f t="shared" si="138"/>
        <v>30.87s</v>
      </c>
      <c r="H1748" s="3">
        <f t="shared" si="139"/>
        <v>2.2453747345641244E-2</v>
      </c>
      <c r="I1748" s="3">
        <f t="shared" si="140"/>
        <v>0</v>
      </c>
      <c r="J1748" s="3">
        <f t="shared" si="141"/>
        <v>0</v>
      </c>
      <c r="K1748" s="3" t="str">
        <f t="shared" si="142"/>
        <v>Hg184</v>
      </c>
      <c r="L1748" s="3" cm="1">
        <f t="array" ref="L1748">SUM(($J1748*EXP(-$H1748*12*3600*_xlfn.SEQUENCE(L$1-1))))+$J1748</f>
        <v>0</v>
      </c>
      <c r="M1748" s="3"/>
      <c r="N1748" s="3"/>
    </row>
    <row r="1749" spans="2:14" hidden="1" x14ac:dyDescent="0.2">
      <c r="B1749" s="3">
        <v>80185</v>
      </c>
      <c r="C1749" s="3">
        <v>0</v>
      </c>
      <c r="D1749">
        <v>1746</v>
      </c>
      <c r="E1749" t="str">
        <f>VLOOKUP(B1749,Nuclides!A:F,5,FALSE)</f>
        <v>Hg185</v>
      </c>
      <c r="F1749">
        <f>VLOOKUP(B1749,Nuclides!A:F,4,FALSE)</f>
        <v>49.1</v>
      </c>
      <c r="G1749" s="3" t="str">
        <f t="shared" si="138"/>
        <v>49.1s</v>
      </c>
      <c r="H1749" s="3">
        <f t="shared" si="139"/>
        <v>1.4117050520569149E-2</v>
      </c>
      <c r="I1749" s="3">
        <f t="shared" si="140"/>
        <v>0</v>
      </c>
      <c r="J1749" s="3">
        <f t="shared" si="141"/>
        <v>0</v>
      </c>
      <c r="K1749" s="3" t="str">
        <f t="shared" si="142"/>
        <v>Hg185</v>
      </c>
      <c r="L1749" s="3" cm="1">
        <f t="array" ref="L1749">SUM(($J1749*EXP(-$H1749*12*3600*_xlfn.SEQUENCE(L$1-1))))+$J1749</f>
        <v>0</v>
      </c>
      <c r="M1749" s="3"/>
      <c r="N1749" s="3"/>
    </row>
    <row r="1750" spans="2:14" hidden="1" x14ac:dyDescent="0.2">
      <c r="B1750" s="3">
        <v>80186</v>
      </c>
      <c r="C1750" s="3">
        <v>0</v>
      </c>
      <c r="D1750">
        <v>1747</v>
      </c>
      <c r="E1750" t="str">
        <f>VLOOKUP(B1750,Nuclides!A:F,5,FALSE)</f>
        <v>Hg186</v>
      </c>
      <c r="F1750">
        <f>VLOOKUP(B1750,Nuclides!A:F,4,FALSE)</f>
        <v>82.8</v>
      </c>
      <c r="G1750" s="3" t="str">
        <f t="shared" si="138"/>
        <v>1.38min</v>
      </c>
      <c r="H1750" s="3">
        <f t="shared" si="139"/>
        <v>8.3713427603858137E-3</v>
      </c>
      <c r="I1750" s="3">
        <f t="shared" si="140"/>
        <v>0</v>
      </c>
      <c r="J1750" s="3">
        <f t="shared" si="141"/>
        <v>0</v>
      </c>
      <c r="K1750" s="3" t="str">
        <f t="shared" si="142"/>
        <v>Hg186</v>
      </c>
      <c r="L1750" s="3" cm="1">
        <f t="array" ref="L1750">SUM(($J1750*EXP(-$H1750*12*3600*_xlfn.SEQUENCE(L$1-1))))+$J1750</f>
        <v>0</v>
      </c>
      <c r="M1750" s="3"/>
      <c r="N1750" s="3"/>
    </row>
    <row r="1751" spans="2:14" hidden="1" x14ac:dyDescent="0.2">
      <c r="B1751" s="3">
        <v>80187</v>
      </c>
      <c r="C1751" s="3">
        <v>0</v>
      </c>
      <c r="D1751">
        <v>1748</v>
      </c>
      <c r="E1751" t="str">
        <f>VLOOKUP(B1751,Nuclides!A:F,5,FALSE)</f>
        <v>Hg187</v>
      </c>
      <c r="F1751">
        <f>VLOOKUP(B1751,Nuclides!A:F,4,FALSE)</f>
        <v>114</v>
      </c>
      <c r="G1751" s="3" t="str">
        <f t="shared" si="138"/>
        <v>1.9min</v>
      </c>
      <c r="H1751" s="3">
        <f t="shared" si="139"/>
        <v>6.0802384259644321E-3</v>
      </c>
      <c r="I1751" s="3">
        <f t="shared" si="140"/>
        <v>0</v>
      </c>
      <c r="J1751" s="3">
        <f t="shared" si="141"/>
        <v>0</v>
      </c>
      <c r="K1751" s="3" t="str">
        <f t="shared" si="142"/>
        <v>Hg187</v>
      </c>
      <c r="L1751" s="3" cm="1">
        <f t="array" ref="L1751">SUM(($J1751*EXP(-$H1751*12*3600*_xlfn.SEQUENCE(L$1-1))))+$J1751</f>
        <v>0</v>
      </c>
      <c r="M1751" s="3"/>
      <c r="N1751" s="3"/>
    </row>
    <row r="1752" spans="2:14" hidden="1" x14ac:dyDescent="0.2">
      <c r="B1752" s="3">
        <v>80188</v>
      </c>
      <c r="C1752" s="3">
        <v>0</v>
      </c>
      <c r="D1752">
        <v>1749</v>
      </c>
      <c r="E1752" t="str">
        <f>VLOOKUP(B1752,Nuclides!A:F,5,FALSE)</f>
        <v>Hg188</v>
      </c>
      <c r="F1752">
        <f>VLOOKUP(B1752,Nuclides!A:F,4,FALSE)</f>
        <v>195</v>
      </c>
      <c r="G1752" s="3" t="str">
        <f t="shared" si="138"/>
        <v>3.25min</v>
      </c>
      <c r="H1752" s="3">
        <f t="shared" si="139"/>
        <v>3.5546009259484375E-3</v>
      </c>
      <c r="I1752" s="3">
        <f t="shared" si="140"/>
        <v>0</v>
      </c>
      <c r="J1752" s="3">
        <f t="shared" si="141"/>
        <v>0</v>
      </c>
      <c r="K1752" s="3" t="str">
        <f t="shared" si="142"/>
        <v>Hg188</v>
      </c>
      <c r="L1752" s="3" cm="1">
        <f t="array" ref="L1752">SUM(($J1752*EXP(-$H1752*12*3600*_xlfn.SEQUENCE(L$1-1))))+$J1752</f>
        <v>0</v>
      </c>
      <c r="M1752" s="3"/>
      <c r="N1752" s="3"/>
    </row>
    <row r="1753" spans="2:14" hidden="1" x14ac:dyDescent="0.2">
      <c r="B1753" s="3">
        <v>80189</v>
      </c>
      <c r="C1753" s="3">
        <v>0</v>
      </c>
      <c r="D1753">
        <v>1750</v>
      </c>
      <c r="E1753" t="str">
        <f>VLOOKUP(B1753,Nuclides!A:F,5,FALSE)</f>
        <v>Hg189</v>
      </c>
      <c r="F1753">
        <f>VLOOKUP(B1753,Nuclides!A:F,4,FALSE)</f>
        <v>456</v>
      </c>
      <c r="G1753" s="3" t="str">
        <f t="shared" si="138"/>
        <v>7.6min</v>
      </c>
      <c r="H1753" s="3">
        <f t="shared" si="139"/>
        <v>1.520059606491108E-3</v>
      </c>
      <c r="I1753" s="3">
        <f t="shared" si="140"/>
        <v>0</v>
      </c>
      <c r="J1753" s="3">
        <f t="shared" si="141"/>
        <v>0</v>
      </c>
      <c r="K1753" s="3" t="str">
        <f t="shared" si="142"/>
        <v>Hg189</v>
      </c>
      <c r="L1753" s="3" cm="1">
        <f t="array" ref="L1753">SUM(($J1753*EXP(-$H1753*12*3600*_xlfn.SEQUENCE(L$1-1))))+$J1753</f>
        <v>0</v>
      </c>
      <c r="M1753" s="3"/>
      <c r="N1753" s="3"/>
    </row>
    <row r="1754" spans="2:14" hidden="1" x14ac:dyDescent="0.2">
      <c r="B1754" s="3">
        <v>80190</v>
      </c>
      <c r="C1754" s="3">
        <v>0</v>
      </c>
      <c r="D1754">
        <v>1751</v>
      </c>
      <c r="E1754" t="str">
        <f>VLOOKUP(B1754,Nuclides!A:F,5,FALSE)</f>
        <v>Hg190</v>
      </c>
      <c r="F1754">
        <f>VLOOKUP(B1754,Nuclides!A:F,4,FALSE)</f>
        <v>1200</v>
      </c>
      <c r="G1754" s="3" t="str">
        <f t="shared" si="138"/>
        <v>20min</v>
      </c>
      <c r="H1754" s="3">
        <f t="shared" si="139"/>
        <v>5.7762265046662107E-4</v>
      </c>
      <c r="I1754" s="3">
        <f t="shared" si="140"/>
        <v>0</v>
      </c>
      <c r="J1754" s="3">
        <f t="shared" si="141"/>
        <v>0</v>
      </c>
      <c r="K1754" s="3" t="str">
        <f t="shared" si="142"/>
        <v>Hg190</v>
      </c>
      <c r="L1754" s="3" cm="1">
        <f t="array" ref="L1754">SUM(($J1754*EXP(-$H1754*12*3600*_xlfn.SEQUENCE(L$1-1))))+$J1754</f>
        <v>0</v>
      </c>
      <c r="M1754" s="3"/>
      <c r="N1754" s="3"/>
    </row>
    <row r="1755" spans="2:14" hidden="1" x14ac:dyDescent="0.2">
      <c r="B1755" s="3">
        <v>80191</v>
      </c>
      <c r="C1755" s="3">
        <v>0</v>
      </c>
      <c r="D1755">
        <v>1752</v>
      </c>
      <c r="E1755" t="str">
        <f>VLOOKUP(B1755,Nuclides!A:F,5,FALSE)</f>
        <v>Hg191</v>
      </c>
      <c r="F1755">
        <f>VLOOKUP(B1755,Nuclides!A:F,4,FALSE)</f>
        <v>2940</v>
      </c>
      <c r="G1755" s="3" t="str">
        <f t="shared" si="138"/>
        <v>49min</v>
      </c>
      <c r="H1755" s="3">
        <f t="shared" si="139"/>
        <v>2.3576434712923309E-4</v>
      </c>
      <c r="I1755" s="3">
        <f t="shared" si="140"/>
        <v>0</v>
      </c>
      <c r="J1755" s="3">
        <f t="shared" si="141"/>
        <v>0</v>
      </c>
      <c r="K1755" s="3" t="str">
        <f t="shared" si="142"/>
        <v>Hg191</v>
      </c>
      <c r="L1755" s="3" cm="1">
        <f t="array" ref="L1755">SUM(($J1755*EXP(-$H1755*12*3600*_xlfn.SEQUENCE(L$1-1))))+$J1755</f>
        <v>0</v>
      </c>
      <c r="M1755" s="3"/>
      <c r="N1755" s="3"/>
    </row>
    <row r="1756" spans="2:14" hidden="1" x14ac:dyDescent="0.2">
      <c r="B1756" s="3">
        <v>80192</v>
      </c>
      <c r="C1756" s="3">
        <v>0</v>
      </c>
      <c r="D1756">
        <v>1753</v>
      </c>
      <c r="E1756" t="str">
        <f>VLOOKUP(B1756,Nuclides!A:F,5,FALSE)</f>
        <v>Hg192</v>
      </c>
      <c r="F1756">
        <f>VLOOKUP(B1756,Nuclides!A:F,4,FALSE)</f>
        <v>17460</v>
      </c>
      <c r="G1756" s="3" t="str">
        <f t="shared" si="138"/>
        <v>4.85h</v>
      </c>
      <c r="H1756" s="3">
        <f t="shared" si="139"/>
        <v>3.9699151234819319E-5</v>
      </c>
      <c r="I1756" s="3">
        <f t="shared" si="140"/>
        <v>0</v>
      </c>
      <c r="J1756" s="3">
        <f t="shared" si="141"/>
        <v>0</v>
      </c>
      <c r="K1756" s="3" t="str">
        <f t="shared" si="142"/>
        <v>Hg192</v>
      </c>
      <c r="L1756" s="3" cm="1">
        <f t="array" ref="L1756">SUM(($J1756*EXP(-$H1756*12*3600*_xlfn.SEQUENCE(L$1-1))))+$J1756</f>
        <v>0</v>
      </c>
      <c r="M1756" s="3"/>
      <c r="N1756" s="3"/>
    </row>
    <row r="1757" spans="2:14" hidden="1" x14ac:dyDescent="0.2">
      <c r="B1757" s="3">
        <v>80193</v>
      </c>
      <c r="C1757" s="3">
        <v>0</v>
      </c>
      <c r="D1757">
        <v>1754</v>
      </c>
      <c r="E1757" t="str">
        <f>VLOOKUP(B1757,Nuclides!A:F,5,FALSE)</f>
        <v>Hg193</v>
      </c>
      <c r="F1757">
        <f>VLOOKUP(B1757,Nuclides!A:F,4,FALSE)</f>
        <v>13680</v>
      </c>
      <c r="G1757" s="3" t="str">
        <f t="shared" si="138"/>
        <v>3.8h</v>
      </c>
      <c r="H1757" s="3">
        <f t="shared" si="139"/>
        <v>5.0668653549703603E-5</v>
      </c>
      <c r="I1757" s="3">
        <f t="shared" si="140"/>
        <v>0</v>
      </c>
      <c r="J1757" s="3">
        <f t="shared" si="141"/>
        <v>0</v>
      </c>
      <c r="K1757" s="3" t="str">
        <f t="shared" si="142"/>
        <v>Hg193</v>
      </c>
      <c r="L1757" s="3" cm="1">
        <f t="array" ref="L1757">SUM(($J1757*EXP(-$H1757*12*3600*_xlfn.SEQUENCE(L$1-1))))+$J1757</f>
        <v>0</v>
      </c>
      <c r="M1757" s="3"/>
      <c r="N1757" s="3"/>
    </row>
    <row r="1758" spans="2:14" hidden="1" x14ac:dyDescent="0.2">
      <c r="B1758" s="3">
        <v>80194</v>
      </c>
      <c r="C1758" s="3">
        <v>0</v>
      </c>
      <c r="D1758">
        <v>1755</v>
      </c>
      <c r="E1758" t="str">
        <f>VLOOKUP(B1758,Nuclides!A:F,5,FALSE)</f>
        <v>Hg194</v>
      </c>
      <c r="F1758">
        <f>VLOOKUP(B1758,Nuclides!A:F,4,FALSE)</f>
        <v>14011574400</v>
      </c>
      <c r="G1758" s="3" t="str">
        <f t="shared" si="138"/>
        <v>444.3y</v>
      </c>
      <c r="H1758" s="3">
        <f t="shared" si="139"/>
        <v>4.94696142469147E-11</v>
      </c>
      <c r="I1758" s="3">
        <f t="shared" si="140"/>
        <v>0</v>
      </c>
      <c r="J1758" s="3">
        <f t="shared" si="141"/>
        <v>0</v>
      </c>
      <c r="K1758" s="3" t="str">
        <f t="shared" si="142"/>
        <v>Hg194</v>
      </c>
      <c r="L1758" s="3" cm="1">
        <f t="array" ref="L1758">SUM(($J1758*EXP(-$H1758*12*3600*_xlfn.SEQUENCE(L$1-1))))+$J1758</f>
        <v>0</v>
      </c>
      <c r="M1758" s="3"/>
      <c r="N1758" s="3"/>
    </row>
    <row r="1759" spans="2:14" hidden="1" x14ac:dyDescent="0.2">
      <c r="B1759" s="3">
        <v>80195</v>
      </c>
      <c r="C1759" s="3">
        <v>0</v>
      </c>
      <c r="D1759">
        <v>1756</v>
      </c>
      <c r="E1759" t="str">
        <f>VLOOKUP(B1759,Nuclides!A:F,5,FALSE)</f>
        <v>Hg195</v>
      </c>
      <c r="F1759">
        <f>VLOOKUP(B1759,Nuclides!A:F,4,FALSE)</f>
        <v>37908</v>
      </c>
      <c r="G1759" s="3" t="str">
        <f t="shared" si="138"/>
        <v>10.53h</v>
      </c>
      <c r="H1759" s="3">
        <f t="shared" si="139"/>
        <v>1.8284984186977558E-5</v>
      </c>
      <c r="I1759" s="3">
        <f t="shared" si="140"/>
        <v>0</v>
      </c>
      <c r="J1759" s="3">
        <f t="shared" si="141"/>
        <v>0</v>
      </c>
      <c r="K1759" s="3" t="str">
        <f t="shared" si="142"/>
        <v>Hg195</v>
      </c>
      <c r="L1759" s="3" cm="1">
        <f t="array" ref="L1759">SUM(($J1759*EXP(-$H1759*12*3600*_xlfn.SEQUENCE(L$1-1))))+$J1759</f>
        <v>0</v>
      </c>
      <c r="M1759" s="3"/>
      <c r="N1759" s="3"/>
    </row>
    <row r="1760" spans="2:14" hidden="1" x14ac:dyDescent="0.2">
      <c r="B1760" s="3">
        <v>80196</v>
      </c>
      <c r="C1760" s="3">
        <v>0</v>
      </c>
      <c r="D1760">
        <v>1757</v>
      </c>
      <c r="E1760" t="str">
        <f>VLOOKUP(B1760,Nuclides!A:F,5,FALSE)</f>
        <v>Hg196</v>
      </c>
      <c r="F1760" t="str">
        <f>VLOOKUP(B1760,Nuclides!A:F,4,FALSE)</f>
        <v>STABLE</v>
      </c>
      <c r="G1760" s="3" t="str">
        <f t="shared" si="138"/>
        <v>STABLE</v>
      </c>
      <c r="H1760" s="3" t="e">
        <f t="shared" si="139"/>
        <v>#VALUE!</v>
      </c>
      <c r="I1760" s="3" t="e">
        <f t="shared" si="140"/>
        <v>#VALUE!</v>
      </c>
      <c r="J1760" s="3" t="e">
        <f t="shared" si="141"/>
        <v>#VALUE!</v>
      </c>
      <c r="K1760" s="3" t="str">
        <f t="shared" si="142"/>
        <v>Hg196</v>
      </c>
      <c r="L1760" s="3" t="e" cm="1">
        <f t="array" ref="L1760">SUM(($J1760*EXP(-$H1760*12*3600*_xlfn.SEQUENCE(L$1-1))))+$J1760</f>
        <v>#VALUE!</v>
      </c>
      <c r="M1760" s="3"/>
      <c r="N1760" s="3"/>
    </row>
    <row r="1761" spans="2:14" hidden="1" x14ac:dyDescent="0.2">
      <c r="B1761" s="3">
        <v>80197</v>
      </c>
      <c r="C1761" s="3">
        <v>0</v>
      </c>
      <c r="D1761">
        <v>1758</v>
      </c>
      <c r="E1761" t="str">
        <f>VLOOKUP(B1761,Nuclides!A:F,5,FALSE)</f>
        <v>Hg197</v>
      </c>
      <c r="F1761">
        <f>VLOOKUP(B1761,Nuclides!A:F,4,FALSE)</f>
        <v>230904</v>
      </c>
      <c r="G1761" s="3" t="str">
        <f t="shared" si="138"/>
        <v>2.67d</v>
      </c>
      <c r="H1761" s="3">
        <f t="shared" si="139"/>
        <v>3.0018846817722745E-6</v>
      </c>
      <c r="I1761" s="3">
        <f t="shared" si="140"/>
        <v>0</v>
      </c>
      <c r="J1761" s="3">
        <f t="shared" si="141"/>
        <v>0</v>
      </c>
      <c r="K1761" s="3" t="str">
        <f t="shared" si="142"/>
        <v>Hg197</v>
      </c>
      <c r="L1761" s="3" cm="1">
        <f t="array" ref="L1761">SUM(($J1761*EXP(-$H1761*12*3600*_xlfn.SEQUENCE(L$1-1))))+$J1761</f>
        <v>0</v>
      </c>
      <c r="M1761" s="3"/>
      <c r="N1761" s="3"/>
    </row>
    <row r="1762" spans="2:14" hidden="1" x14ac:dyDescent="0.2">
      <c r="B1762" s="3">
        <v>80198</v>
      </c>
      <c r="C1762" s="3">
        <v>0</v>
      </c>
      <c r="D1762">
        <v>1759</v>
      </c>
      <c r="E1762" t="str">
        <f>VLOOKUP(B1762,Nuclides!A:F,5,FALSE)</f>
        <v>Hg198</v>
      </c>
      <c r="F1762" t="str">
        <f>VLOOKUP(B1762,Nuclides!A:F,4,FALSE)</f>
        <v>STABLE</v>
      </c>
      <c r="G1762" s="3" t="str">
        <f t="shared" si="138"/>
        <v>STABLE</v>
      </c>
      <c r="H1762" s="3" t="e">
        <f t="shared" si="139"/>
        <v>#VALUE!</v>
      </c>
      <c r="I1762" s="3" t="e">
        <f t="shared" si="140"/>
        <v>#VALUE!</v>
      </c>
      <c r="J1762" s="3" t="e">
        <f t="shared" si="141"/>
        <v>#VALUE!</v>
      </c>
      <c r="K1762" s="3" t="str">
        <f t="shared" si="142"/>
        <v>Hg198</v>
      </c>
      <c r="L1762" s="3" t="e" cm="1">
        <f t="array" ref="L1762">SUM(($J1762*EXP(-$H1762*12*3600*_xlfn.SEQUENCE(L$1-1))))+$J1762</f>
        <v>#VALUE!</v>
      </c>
      <c r="M1762" s="3"/>
      <c r="N1762" s="3"/>
    </row>
    <row r="1763" spans="2:14" hidden="1" x14ac:dyDescent="0.2">
      <c r="B1763" s="3">
        <v>80199</v>
      </c>
      <c r="C1763" s="3">
        <v>0</v>
      </c>
      <c r="D1763">
        <v>1760</v>
      </c>
      <c r="E1763" t="str">
        <f>VLOOKUP(B1763,Nuclides!A:F,5,FALSE)</f>
        <v>Hg199</v>
      </c>
      <c r="F1763" t="str">
        <f>VLOOKUP(B1763,Nuclides!A:F,4,FALSE)</f>
        <v>STABLE</v>
      </c>
      <c r="G1763" s="3" t="str">
        <f t="shared" si="138"/>
        <v>STABLE</v>
      </c>
      <c r="H1763" s="3" t="e">
        <f t="shared" si="139"/>
        <v>#VALUE!</v>
      </c>
      <c r="I1763" s="3" t="e">
        <f t="shared" si="140"/>
        <v>#VALUE!</v>
      </c>
      <c r="J1763" s="3" t="e">
        <f t="shared" si="141"/>
        <v>#VALUE!</v>
      </c>
      <c r="K1763" s="3" t="str">
        <f t="shared" si="142"/>
        <v>Hg199</v>
      </c>
      <c r="L1763" s="3" t="e" cm="1">
        <f t="array" ref="L1763">SUM(($J1763*EXP(-$H1763*12*3600*_xlfn.SEQUENCE(L$1-1))))+$J1763</f>
        <v>#VALUE!</v>
      </c>
      <c r="M1763" s="3"/>
      <c r="N1763" s="3"/>
    </row>
    <row r="1764" spans="2:14" hidden="1" x14ac:dyDescent="0.2">
      <c r="B1764" s="3">
        <v>80200</v>
      </c>
      <c r="C1764" s="3">
        <v>0</v>
      </c>
      <c r="D1764">
        <v>1761</v>
      </c>
      <c r="E1764" t="str">
        <f>VLOOKUP(B1764,Nuclides!A:F,5,FALSE)</f>
        <v>Hg200</v>
      </c>
      <c r="F1764" t="str">
        <f>VLOOKUP(B1764,Nuclides!A:F,4,FALSE)</f>
        <v>STABLE</v>
      </c>
      <c r="G1764" s="3" t="str">
        <f t="shared" si="138"/>
        <v>STABLE</v>
      </c>
      <c r="H1764" s="3" t="e">
        <f t="shared" si="139"/>
        <v>#VALUE!</v>
      </c>
      <c r="I1764" s="3" t="e">
        <f t="shared" si="140"/>
        <v>#VALUE!</v>
      </c>
      <c r="J1764" s="3" t="e">
        <f t="shared" si="141"/>
        <v>#VALUE!</v>
      </c>
      <c r="K1764" s="3" t="str">
        <f t="shared" si="142"/>
        <v>Hg200</v>
      </c>
      <c r="L1764" s="3" t="e" cm="1">
        <f t="array" ref="L1764">SUM(($J1764*EXP(-$H1764*12*3600*_xlfn.SEQUENCE(L$1-1))))+$J1764</f>
        <v>#VALUE!</v>
      </c>
      <c r="M1764" s="3"/>
      <c r="N1764" s="3"/>
    </row>
    <row r="1765" spans="2:14" hidden="1" x14ac:dyDescent="0.2">
      <c r="B1765" s="3">
        <v>80201</v>
      </c>
      <c r="C1765" s="3">
        <v>0</v>
      </c>
      <c r="D1765">
        <v>1762</v>
      </c>
      <c r="E1765" t="str">
        <f>VLOOKUP(B1765,Nuclides!A:F,5,FALSE)</f>
        <v>Hg201</v>
      </c>
      <c r="F1765" t="str">
        <f>VLOOKUP(B1765,Nuclides!A:F,4,FALSE)</f>
        <v>STABLE</v>
      </c>
      <c r="G1765" s="3" t="str">
        <f t="shared" si="138"/>
        <v>STABLE</v>
      </c>
      <c r="H1765" s="3" t="e">
        <f t="shared" si="139"/>
        <v>#VALUE!</v>
      </c>
      <c r="I1765" s="3" t="e">
        <f t="shared" si="140"/>
        <v>#VALUE!</v>
      </c>
      <c r="J1765" s="3" t="e">
        <f t="shared" si="141"/>
        <v>#VALUE!</v>
      </c>
      <c r="K1765" s="3" t="str">
        <f t="shared" si="142"/>
        <v>Hg201</v>
      </c>
      <c r="L1765" s="3" t="e" cm="1">
        <f t="array" ref="L1765">SUM(($J1765*EXP(-$H1765*12*3600*_xlfn.SEQUENCE(L$1-1))))+$J1765</f>
        <v>#VALUE!</v>
      </c>
      <c r="M1765" s="3"/>
      <c r="N1765" s="3"/>
    </row>
    <row r="1766" spans="2:14" hidden="1" x14ac:dyDescent="0.2">
      <c r="B1766" s="3">
        <v>80202</v>
      </c>
      <c r="C1766" s="3">
        <v>0</v>
      </c>
      <c r="D1766">
        <v>1763</v>
      </c>
      <c r="E1766" t="str">
        <f>VLOOKUP(B1766,Nuclides!A:F,5,FALSE)</f>
        <v>Hg202</v>
      </c>
      <c r="F1766" t="str">
        <f>VLOOKUP(B1766,Nuclides!A:F,4,FALSE)</f>
        <v>STABLE</v>
      </c>
      <c r="G1766" s="3" t="str">
        <f t="shared" si="138"/>
        <v>STABLE</v>
      </c>
      <c r="H1766" s="3" t="e">
        <f t="shared" si="139"/>
        <v>#VALUE!</v>
      </c>
      <c r="I1766" s="3" t="e">
        <f t="shared" si="140"/>
        <v>#VALUE!</v>
      </c>
      <c r="J1766" s="3" t="e">
        <f t="shared" si="141"/>
        <v>#VALUE!</v>
      </c>
      <c r="K1766" s="3" t="str">
        <f t="shared" si="142"/>
        <v>Hg202</v>
      </c>
      <c r="L1766" s="3" t="e" cm="1">
        <f t="array" ref="L1766">SUM(($J1766*EXP(-$H1766*12*3600*_xlfn.SEQUENCE(L$1-1))))+$J1766</f>
        <v>#VALUE!</v>
      </c>
      <c r="M1766" s="3"/>
      <c r="N1766" s="3"/>
    </row>
    <row r="1767" spans="2:14" hidden="1" x14ac:dyDescent="0.2">
      <c r="B1767" s="3">
        <v>80203</v>
      </c>
      <c r="C1767" s="3">
        <v>0</v>
      </c>
      <c r="D1767">
        <v>1764</v>
      </c>
      <c r="E1767" t="str">
        <f>VLOOKUP(B1767,Nuclides!A:F,5,FALSE)</f>
        <v>Hg203</v>
      </c>
      <c r="F1767">
        <f>VLOOKUP(B1767,Nuclides!A:F,4,FALSE)</f>
        <v>4025721.6</v>
      </c>
      <c r="G1767" s="3" t="str">
        <f t="shared" si="138"/>
        <v>46.59d</v>
      </c>
      <c r="H1767" s="3">
        <f t="shared" si="139"/>
        <v>1.7217961136705163E-7</v>
      </c>
      <c r="I1767" s="3">
        <f t="shared" si="140"/>
        <v>0</v>
      </c>
      <c r="J1767" s="3">
        <f t="shared" si="141"/>
        <v>0</v>
      </c>
      <c r="K1767" s="3" t="str">
        <f t="shared" si="142"/>
        <v>Hg203</v>
      </c>
      <c r="L1767" s="3" cm="1">
        <f t="array" ref="L1767">SUM(($J1767*EXP(-$H1767*12*3600*_xlfn.SEQUENCE(L$1-1))))+$J1767</f>
        <v>0</v>
      </c>
      <c r="M1767" s="3"/>
      <c r="N1767" s="3"/>
    </row>
    <row r="1768" spans="2:14" hidden="1" x14ac:dyDescent="0.2">
      <c r="B1768" s="3">
        <v>80204</v>
      </c>
      <c r="C1768" s="3">
        <v>0</v>
      </c>
      <c r="D1768">
        <v>1765</v>
      </c>
      <c r="E1768" t="str">
        <f>VLOOKUP(B1768,Nuclides!A:F,5,FALSE)</f>
        <v>Hg204</v>
      </c>
      <c r="F1768" t="str">
        <f>VLOOKUP(B1768,Nuclides!A:F,4,FALSE)</f>
        <v>STABLE</v>
      </c>
      <c r="G1768" s="3" t="str">
        <f t="shared" si="138"/>
        <v>STABLE</v>
      </c>
      <c r="H1768" s="3" t="e">
        <f t="shared" si="139"/>
        <v>#VALUE!</v>
      </c>
      <c r="I1768" s="3" t="e">
        <f t="shared" si="140"/>
        <v>#VALUE!</v>
      </c>
      <c r="J1768" s="3" t="e">
        <f t="shared" si="141"/>
        <v>#VALUE!</v>
      </c>
      <c r="K1768" s="3" t="str">
        <f t="shared" si="142"/>
        <v>Hg204</v>
      </c>
      <c r="L1768" s="3" t="e" cm="1">
        <f t="array" ref="L1768">SUM(($J1768*EXP(-$H1768*12*3600*_xlfn.SEQUENCE(L$1-1))))+$J1768</f>
        <v>#VALUE!</v>
      </c>
      <c r="M1768" s="3"/>
      <c r="N1768" s="3"/>
    </row>
    <row r="1769" spans="2:14" hidden="1" x14ac:dyDescent="0.2">
      <c r="B1769" s="3">
        <v>80205</v>
      </c>
      <c r="C1769" s="3">
        <v>0</v>
      </c>
      <c r="D1769">
        <v>1766</v>
      </c>
      <c r="E1769" t="str">
        <f>VLOOKUP(B1769,Nuclides!A:F,5,FALSE)</f>
        <v>Hg205</v>
      </c>
      <c r="F1769">
        <f>VLOOKUP(B1769,Nuclides!A:F,4,FALSE)</f>
        <v>308.39999999999998</v>
      </c>
      <c r="G1769" s="3" t="str">
        <f t="shared" si="138"/>
        <v>5.14min</v>
      </c>
      <c r="H1769" s="3">
        <f t="shared" si="139"/>
        <v>2.2475589512319888E-3</v>
      </c>
      <c r="I1769" s="3">
        <f t="shared" si="140"/>
        <v>0</v>
      </c>
      <c r="J1769" s="3">
        <f t="shared" si="141"/>
        <v>0</v>
      </c>
      <c r="K1769" s="3" t="str">
        <f t="shared" si="142"/>
        <v>Hg205</v>
      </c>
      <c r="L1769" s="3" cm="1">
        <f t="array" ref="L1769">SUM(($J1769*EXP(-$H1769*12*3600*_xlfn.SEQUENCE(L$1-1))))+$J1769</f>
        <v>0</v>
      </c>
      <c r="M1769" s="3"/>
      <c r="N1769" s="3"/>
    </row>
    <row r="1770" spans="2:14" hidden="1" x14ac:dyDescent="0.2">
      <c r="B1770" s="3">
        <v>80206</v>
      </c>
      <c r="C1770" s="3">
        <v>0</v>
      </c>
      <c r="D1770">
        <v>1767</v>
      </c>
      <c r="E1770" t="str">
        <f>VLOOKUP(B1770,Nuclides!A:F,5,FALSE)</f>
        <v>Hg206</v>
      </c>
      <c r="F1770">
        <f>VLOOKUP(B1770,Nuclides!A:F,4,FALSE)</f>
        <v>499.2</v>
      </c>
      <c r="G1770" s="3" t="str">
        <f t="shared" si="138"/>
        <v>8.32min</v>
      </c>
      <c r="H1770" s="3">
        <f t="shared" si="139"/>
        <v>1.3885159866986083E-3</v>
      </c>
      <c r="I1770" s="3">
        <f t="shared" si="140"/>
        <v>0</v>
      </c>
      <c r="J1770" s="3">
        <f t="shared" si="141"/>
        <v>0</v>
      </c>
      <c r="K1770" s="3" t="str">
        <f t="shared" si="142"/>
        <v>Hg206</v>
      </c>
      <c r="L1770" s="3" cm="1">
        <f t="array" ref="L1770">SUM(($J1770*EXP(-$H1770*12*3600*_xlfn.SEQUENCE(L$1-1))))+$J1770</f>
        <v>0</v>
      </c>
      <c r="M1770" s="3"/>
      <c r="N1770" s="3"/>
    </row>
    <row r="1771" spans="2:14" hidden="1" x14ac:dyDescent="0.2">
      <c r="B1771" s="3">
        <v>81184</v>
      </c>
      <c r="C1771" s="3">
        <v>0</v>
      </c>
      <c r="D1771">
        <v>1768</v>
      </c>
      <c r="E1771" t="str">
        <f>VLOOKUP(B1771,Nuclides!A:F,5,FALSE)</f>
        <v>Tl184</v>
      </c>
      <c r="F1771">
        <f>VLOOKUP(B1771,Nuclides!A:F,4,FALSE)</f>
        <v>10.1</v>
      </c>
      <c r="G1771" s="3" t="str">
        <f t="shared" si="138"/>
        <v>10.1s</v>
      </c>
      <c r="H1771" s="3">
        <f t="shared" si="139"/>
        <v>6.8628433718806461E-2</v>
      </c>
      <c r="I1771" s="3">
        <f t="shared" si="140"/>
        <v>0</v>
      </c>
      <c r="J1771" s="3">
        <f t="shared" si="141"/>
        <v>0</v>
      </c>
      <c r="K1771" s="3" t="str">
        <f t="shared" si="142"/>
        <v>Tl184</v>
      </c>
      <c r="L1771" s="3" cm="1">
        <f t="array" ref="L1771">SUM(($J1771*EXP(-$H1771*12*3600*_xlfn.SEQUENCE(L$1-1))))+$J1771</f>
        <v>0</v>
      </c>
      <c r="M1771" s="3"/>
      <c r="N1771" s="3"/>
    </row>
    <row r="1772" spans="2:14" hidden="1" x14ac:dyDescent="0.2">
      <c r="B1772" s="3">
        <v>81185</v>
      </c>
      <c r="C1772" s="3">
        <v>0</v>
      </c>
      <c r="D1772">
        <v>1769</v>
      </c>
      <c r="E1772" t="str">
        <f>VLOOKUP(B1772,Nuclides!A:F,5,FALSE)</f>
        <v>Tl185</v>
      </c>
      <c r="F1772">
        <f>VLOOKUP(B1772,Nuclides!A:F,4,FALSE)</f>
        <v>19.5</v>
      </c>
      <c r="G1772" s="3" t="str">
        <f t="shared" si="138"/>
        <v>19.5s</v>
      </c>
      <c r="H1772" s="3">
        <f t="shared" si="139"/>
        <v>3.5546009259484375E-2</v>
      </c>
      <c r="I1772" s="3">
        <f t="shared" si="140"/>
        <v>0</v>
      </c>
      <c r="J1772" s="3">
        <f t="shared" si="141"/>
        <v>0</v>
      </c>
      <c r="K1772" s="3" t="str">
        <f t="shared" si="142"/>
        <v>Tl185</v>
      </c>
      <c r="L1772" s="3" cm="1">
        <f t="array" ref="L1772">SUM(($J1772*EXP(-$H1772*12*3600*_xlfn.SEQUENCE(L$1-1))))+$J1772</f>
        <v>0</v>
      </c>
      <c r="M1772" s="3"/>
      <c r="N1772" s="3"/>
    </row>
    <row r="1773" spans="2:14" hidden="1" x14ac:dyDescent="0.2">
      <c r="B1773" s="3">
        <v>81186</v>
      </c>
      <c r="C1773" s="3">
        <v>0</v>
      </c>
      <c r="D1773">
        <v>1770</v>
      </c>
      <c r="E1773" t="str">
        <f>VLOOKUP(B1773,Nuclides!A:F,5,FALSE)</f>
        <v>Tl186</v>
      </c>
      <c r="F1773">
        <f>VLOOKUP(B1773,Nuclides!A:F,4,FALSE)</f>
        <v>27.5</v>
      </c>
      <c r="G1773" s="3" t="str">
        <f t="shared" si="138"/>
        <v>27.5s</v>
      </c>
      <c r="H1773" s="3">
        <f t="shared" si="139"/>
        <v>2.5205352020361647E-2</v>
      </c>
      <c r="I1773" s="3">
        <f t="shared" si="140"/>
        <v>0</v>
      </c>
      <c r="J1773" s="3">
        <f t="shared" si="141"/>
        <v>0</v>
      </c>
      <c r="K1773" s="3" t="str">
        <f t="shared" si="142"/>
        <v>Tl186</v>
      </c>
      <c r="L1773" s="3" cm="1">
        <f t="array" ref="L1773">SUM(($J1773*EXP(-$H1773*12*3600*_xlfn.SEQUENCE(L$1-1))))+$J1773</f>
        <v>0</v>
      </c>
      <c r="M1773" s="3"/>
      <c r="N1773" s="3"/>
    </row>
    <row r="1774" spans="2:14" hidden="1" x14ac:dyDescent="0.2">
      <c r="B1774" s="3">
        <v>81187</v>
      </c>
      <c r="C1774" s="3">
        <v>0</v>
      </c>
      <c r="D1774">
        <v>1771</v>
      </c>
      <c r="E1774" t="str">
        <f>VLOOKUP(B1774,Nuclides!A:F,5,FALSE)</f>
        <v>Tl187</v>
      </c>
      <c r="F1774">
        <f>VLOOKUP(B1774,Nuclides!A:F,4,FALSE)</f>
        <v>51</v>
      </c>
      <c r="G1774" s="3" t="str">
        <f t="shared" si="138"/>
        <v>51s</v>
      </c>
      <c r="H1774" s="3">
        <f t="shared" si="139"/>
        <v>1.3591121187449907E-2</v>
      </c>
      <c r="I1774" s="3">
        <f t="shared" si="140"/>
        <v>0</v>
      </c>
      <c r="J1774" s="3">
        <f t="shared" si="141"/>
        <v>0</v>
      </c>
      <c r="K1774" s="3" t="str">
        <f t="shared" si="142"/>
        <v>Tl187</v>
      </c>
      <c r="L1774" s="3" cm="1">
        <f t="array" ref="L1774">SUM(($J1774*EXP(-$H1774*12*3600*_xlfn.SEQUENCE(L$1-1))))+$J1774</f>
        <v>0</v>
      </c>
      <c r="M1774" s="3"/>
      <c r="N1774" s="3"/>
    </row>
    <row r="1775" spans="2:14" hidden="1" x14ac:dyDescent="0.2">
      <c r="B1775" s="3">
        <v>81188</v>
      </c>
      <c r="C1775" s="3">
        <v>0</v>
      </c>
      <c r="D1775">
        <v>1772</v>
      </c>
      <c r="E1775" t="str">
        <f>VLOOKUP(B1775,Nuclides!A:F,5,FALSE)</f>
        <v>Tl188</v>
      </c>
      <c r="F1775">
        <f>VLOOKUP(B1775,Nuclides!A:F,4,FALSE)</f>
        <v>71</v>
      </c>
      <c r="G1775" s="3" t="str">
        <f t="shared" si="138"/>
        <v>1.18min</v>
      </c>
      <c r="H1775" s="3">
        <f t="shared" si="139"/>
        <v>9.7626363459147221E-3</v>
      </c>
      <c r="I1775" s="3">
        <f t="shared" si="140"/>
        <v>0</v>
      </c>
      <c r="J1775" s="3">
        <f t="shared" si="141"/>
        <v>0</v>
      </c>
      <c r="K1775" s="3" t="str">
        <f t="shared" si="142"/>
        <v>Tl188</v>
      </c>
      <c r="L1775" s="3" cm="1">
        <f t="array" ref="L1775">SUM(($J1775*EXP(-$H1775*12*3600*_xlfn.SEQUENCE(L$1-1))))+$J1775</f>
        <v>0</v>
      </c>
      <c r="M1775" s="3"/>
      <c r="N1775" s="3"/>
    </row>
    <row r="1776" spans="2:14" hidden="1" x14ac:dyDescent="0.2">
      <c r="B1776" s="3">
        <v>81189</v>
      </c>
      <c r="C1776" s="3">
        <v>0</v>
      </c>
      <c r="D1776">
        <v>1773</v>
      </c>
      <c r="E1776" t="str">
        <f>VLOOKUP(B1776,Nuclides!A:F,5,FALSE)</f>
        <v>Tl189</v>
      </c>
      <c r="F1776">
        <f>VLOOKUP(B1776,Nuclides!A:F,4,FALSE)</f>
        <v>138</v>
      </c>
      <c r="G1776" s="3" t="str">
        <f t="shared" si="138"/>
        <v>2.3min</v>
      </c>
      <c r="H1776" s="3">
        <f t="shared" si="139"/>
        <v>5.0228056562314875E-3</v>
      </c>
      <c r="I1776" s="3">
        <f t="shared" si="140"/>
        <v>0</v>
      </c>
      <c r="J1776" s="3">
        <f t="shared" si="141"/>
        <v>0</v>
      </c>
      <c r="K1776" s="3" t="str">
        <f t="shared" si="142"/>
        <v>Tl189</v>
      </c>
      <c r="L1776" s="3" cm="1">
        <f t="array" ref="L1776">SUM(($J1776*EXP(-$H1776*12*3600*_xlfn.SEQUENCE(L$1-1))))+$J1776</f>
        <v>0</v>
      </c>
      <c r="M1776" s="3"/>
      <c r="N1776" s="3"/>
    </row>
    <row r="1777" spans="2:14" hidden="1" x14ac:dyDescent="0.2">
      <c r="B1777" s="3">
        <v>81190</v>
      </c>
      <c r="C1777" s="3">
        <v>0</v>
      </c>
      <c r="D1777">
        <v>1774</v>
      </c>
      <c r="E1777" t="str">
        <f>VLOOKUP(B1777,Nuclides!A:F,5,FALSE)</f>
        <v>Tl190</v>
      </c>
      <c r="F1777">
        <f>VLOOKUP(B1777,Nuclides!A:F,4,FALSE)</f>
        <v>156</v>
      </c>
      <c r="G1777" s="3" t="str">
        <f t="shared" si="138"/>
        <v>2.6min</v>
      </c>
      <c r="H1777" s="3">
        <f t="shared" si="139"/>
        <v>4.4432511574355469E-3</v>
      </c>
      <c r="I1777" s="3">
        <f t="shared" si="140"/>
        <v>0</v>
      </c>
      <c r="J1777" s="3">
        <f t="shared" si="141"/>
        <v>0</v>
      </c>
      <c r="K1777" s="3" t="str">
        <f t="shared" si="142"/>
        <v>Tl190</v>
      </c>
      <c r="L1777" s="3" cm="1">
        <f t="array" ref="L1777">SUM(($J1777*EXP(-$H1777*12*3600*_xlfn.SEQUENCE(L$1-1))))+$J1777</f>
        <v>0</v>
      </c>
      <c r="M1777" s="3"/>
      <c r="N1777" s="3"/>
    </row>
    <row r="1778" spans="2:14" hidden="1" x14ac:dyDescent="0.2">
      <c r="B1778" s="3">
        <v>81191</v>
      </c>
      <c r="C1778" s="3">
        <v>0</v>
      </c>
      <c r="D1778">
        <v>1775</v>
      </c>
      <c r="E1778" t="str">
        <f>VLOOKUP(B1778,Nuclides!A:F,5,FALSE)</f>
        <v>Tl191</v>
      </c>
      <c r="F1778">
        <f>VLOOKUP(B1778,Nuclides!A:F,4,FALSE)</f>
        <v>313.2</v>
      </c>
      <c r="G1778" s="3" t="str">
        <f t="shared" si="138"/>
        <v>5.22min</v>
      </c>
      <c r="H1778" s="3">
        <f t="shared" si="139"/>
        <v>2.2131136033203872E-3</v>
      </c>
      <c r="I1778" s="3">
        <f t="shared" si="140"/>
        <v>0</v>
      </c>
      <c r="J1778" s="3">
        <f t="shared" si="141"/>
        <v>0</v>
      </c>
      <c r="K1778" s="3" t="str">
        <f t="shared" si="142"/>
        <v>Tl191</v>
      </c>
      <c r="L1778" s="3" cm="1">
        <f t="array" ref="L1778">SUM(($J1778*EXP(-$H1778*12*3600*_xlfn.SEQUENCE(L$1-1))))+$J1778</f>
        <v>0</v>
      </c>
      <c r="M1778" s="3"/>
      <c r="N1778" s="3"/>
    </row>
    <row r="1779" spans="2:14" hidden="1" x14ac:dyDescent="0.2">
      <c r="B1779" s="3">
        <v>81192</v>
      </c>
      <c r="C1779" s="3">
        <v>0</v>
      </c>
      <c r="D1779">
        <v>1776</v>
      </c>
      <c r="E1779" t="str">
        <f>VLOOKUP(B1779,Nuclides!A:F,5,FALSE)</f>
        <v>Tl192</v>
      </c>
      <c r="F1779">
        <f>VLOOKUP(B1779,Nuclides!A:F,4,FALSE)</f>
        <v>576</v>
      </c>
      <c r="G1779" s="3" t="str">
        <f t="shared" si="138"/>
        <v>9.6min</v>
      </c>
      <c r="H1779" s="3">
        <f t="shared" si="139"/>
        <v>1.2033805218054606E-3</v>
      </c>
      <c r="I1779" s="3">
        <f t="shared" si="140"/>
        <v>0</v>
      </c>
      <c r="J1779" s="3">
        <f t="shared" si="141"/>
        <v>0</v>
      </c>
      <c r="K1779" s="3" t="str">
        <f t="shared" si="142"/>
        <v>Tl192</v>
      </c>
      <c r="L1779" s="3" cm="1">
        <f t="array" ref="L1779">SUM(($J1779*EXP(-$H1779*12*3600*_xlfn.SEQUENCE(L$1-1))))+$J1779</f>
        <v>0</v>
      </c>
      <c r="M1779" s="3"/>
      <c r="N1779" s="3"/>
    </row>
    <row r="1780" spans="2:14" hidden="1" x14ac:dyDescent="0.2">
      <c r="B1780" s="3">
        <v>81193</v>
      </c>
      <c r="C1780" s="3">
        <v>0</v>
      </c>
      <c r="D1780">
        <v>1777</v>
      </c>
      <c r="E1780" t="str">
        <f>VLOOKUP(B1780,Nuclides!A:F,5,FALSE)</f>
        <v>Tl193</v>
      </c>
      <c r="F1780">
        <f>VLOOKUP(B1780,Nuclides!A:F,4,FALSE)</f>
        <v>1296</v>
      </c>
      <c r="G1780" s="3" t="str">
        <f t="shared" si="138"/>
        <v>21.6min</v>
      </c>
      <c r="H1780" s="3">
        <f t="shared" si="139"/>
        <v>5.3483578746909362E-4</v>
      </c>
      <c r="I1780" s="3">
        <f t="shared" si="140"/>
        <v>0</v>
      </c>
      <c r="J1780" s="3">
        <f t="shared" si="141"/>
        <v>0</v>
      </c>
      <c r="K1780" s="3" t="str">
        <f t="shared" si="142"/>
        <v>Tl193</v>
      </c>
      <c r="L1780" s="3" cm="1">
        <f t="array" ref="L1780">SUM(($J1780*EXP(-$H1780*12*3600*_xlfn.SEQUENCE(L$1-1))))+$J1780</f>
        <v>0</v>
      </c>
      <c r="M1780" s="3"/>
      <c r="N1780" s="3"/>
    </row>
    <row r="1781" spans="2:14" hidden="1" x14ac:dyDescent="0.2">
      <c r="B1781" s="3">
        <v>81194</v>
      </c>
      <c r="C1781" s="3">
        <v>0</v>
      </c>
      <c r="D1781">
        <v>1778</v>
      </c>
      <c r="E1781" t="str">
        <f>VLOOKUP(B1781,Nuclides!A:F,5,FALSE)</f>
        <v>Tl194</v>
      </c>
      <c r="F1781">
        <f>VLOOKUP(B1781,Nuclides!A:F,4,FALSE)</f>
        <v>1980</v>
      </c>
      <c r="G1781" s="3" t="str">
        <f t="shared" si="138"/>
        <v>33min</v>
      </c>
      <c r="H1781" s="3">
        <f t="shared" si="139"/>
        <v>3.5007433361613398E-4</v>
      </c>
      <c r="I1781" s="3">
        <f t="shared" si="140"/>
        <v>0</v>
      </c>
      <c r="J1781" s="3">
        <f t="shared" si="141"/>
        <v>0</v>
      </c>
      <c r="K1781" s="3" t="str">
        <f t="shared" si="142"/>
        <v>Tl194</v>
      </c>
      <c r="L1781" s="3" cm="1">
        <f t="array" ref="L1781">SUM(($J1781*EXP(-$H1781*12*3600*_xlfn.SEQUENCE(L$1-1))))+$J1781</f>
        <v>0</v>
      </c>
      <c r="M1781" s="3"/>
      <c r="N1781" s="3"/>
    </row>
    <row r="1782" spans="2:14" hidden="1" x14ac:dyDescent="0.2">
      <c r="B1782" s="3">
        <v>81195</v>
      </c>
      <c r="C1782" s="3">
        <v>0</v>
      </c>
      <c r="D1782">
        <v>1779</v>
      </c>
      <c r="E1782" t="str">
        <f>VLOOKUP(B1782,Nuclides!A:F,5,FALSE)</f>
        <v>Tl195</v>
      </c>
      <c r="F1782">
        <f>VLOOKUP(B1782,Nuclides!A:F,4,FALSE)</f>
        <v>4176</v>
      </c>
      <c r="G1782" s="3" t="str">
        <f t="shared" si="138"/>
        <v>1.16h</v>
      </c>
      <c r="H1782" s="3">
        <f t="shared" si="139"/>
        <v>1.6598352024902905E-4</v>
      </c>
      <c r="I1782" s="3">
        <f t="shared" si="140"/>
        <v>0</v>
      </c>
      <c r="J1782" s="3">
        <f t="shared" si="141"/>
        <v>0</v>
      </c>
      <c r="K1782" s="3" t="str">
        <f t="shared" si="142"/>
        <v>Tl195</v>
      </c>
      <c r="L1782" s="3" cm="1">
        <f t="array" ref="L1782">SUM(($J1782*EXP(-$H1782*12*3600*_xlfn.SEQUENCE(L$1-1))))+$J1782</f>
        <v>0</v>
      </c>
      <c r="M1782" s="3"/>
      <c r="N1782" s="3"/>
    </row>
    <row r="1783" spans="2:14" hidden="1" x14ac:dyDescent="0.2">
      <c r="B1783" s="3">
        <v>81196</v>
      </c>
      <c r="C1783" s="3">
        <v>0</v>
      </c>
      <c r="D1783">
        <v>1780</v>
      </c>
      <c r="E1783" t="str">
        <f>VLOOKUP(B1783,Nuclides!A:F,5,FALSE)</f>
        <v>Tl196</v>
      </c>
      <c r="F1783">
        <f>VLOOKUP(B1783,Nuclides!A:F,4,FALSE)</f>
        <v>6624</v>
      </c>
      <c r="G1783" s="3" t="str">
        <f t="shared" si="138"/>
        <v>1.84h</v>
      </c>
      <c r="H1783" s="3">
        <f t="shared" si="139"/>
        <v>1.0464178450482265E-4</v>
      </c>
      <c r="I1783" s="3">
        <f t="shared" si="140"/>
        <v>0</v>
      </c>
      <c r="J1783" s="3">
        <f t="shared" si="141"/>
        <v>0</v>
      </c>
      <c r="K1783" s="3" t="str">
        <f t="shared" si="142"/>
        <v>Tl196</v>
      </c>
      <c r="L1783" s="3" cm="1">
        <f t="array" ref="L1783">SUM(($J1783*EXP(-$H1783*12*3600*_xlfn.SEQUENCE(L$1-1))))+$J1783</f>
        <v>0</v>
      </c>
      <c r="M1783" s="3"/>
      <c r="N1783" s="3"/>
    </row>
    <row r="1784" spans="2:14" hidden="1" x14ac:dyDescent="0.2">
      <c r="B1784" s="3">
        <v>81197</v>
      </c>
      <c r="C1784" s="3">
        <v>0</v>
      </c>
      <c r="D1784">
        <v>1781</v>
      </c>
      <c r="E1784" t="str">
        <f>VLOOKUP(B1784,Nuclides!A:F,5,FALSE)</f>
        <v>Tl197</v>
      </c>
      <c r="F1784">
        <f>VLOOKUP(B1784,Nuclides!A:F,4,FALSE)</f>
        <v>10224</v>
      </c>
      <c r="G1784" s="3" t="str">
        <f t="shared" si="138"/>
        <v>2.84h</v>
      </c>
      <c r="H1784" s="3">
        <f t="shared" si="139"/>
        <v>6.7796085735518903E-5</v>
      </c>
      <c r="I1784" s="3">
        <f t="shared" si="140"/>
        <v>0</v>
      </c>
      <c r="J1784" s="3">
        <f t="shared" si="141"/>
        <v>0</v>
      </c>
      <c r="K1784" s="3" t="str">
        <f t="shared" si="142"/>
        <v>Tl197</v>
      </c>
      <c r="L1784" s="3" cm="1">
        <f t="array" ref="L1784">SUM(($J1784*EXP(-$H1784*12*3600*_xlfn.SEQUENCE(L$1-1))))+$J1784</f>
        <v>0</v>
      </c>
      <c r="M1784" s="3"/>
      <c r="N1784" s="3"/>
    </row>
    <row r="1785" spans="2:14" hidden="1" x14ac:dyDescent="0.2">
      <c r="B1785" s="3">
        <v>81198</v>
      </c>
      <c r="C1785" s="3">
        <v>0</v>
      </c>
      <c r="D1785">
        <v>1782</v>
      </c>
      <c r="E1785" t="str">
        <f>VLOOKUP(B1785,Nuclides!A:F,5,FALSE)</f>
        <v>Tl198</v>
      </c>
      <c r="F1785">
        <f>VLOOKUP(B1785,Nuclides!A:F,4,FALSE)</f>
        <v>19080</v>
      </c>
      <c r="G1785" s="3" t="str">
        <f t="shared" si="138"/>
        <v>5.3h</v>
      </c>
      <c r="H1785" s="3">
        <f t="shared" si="139"/>
        <v>3.6328468582806354E-5</v>
      </c>
      <c r="I1785" s="3">
        <f t="shared" si="140"/>
        <v>0</v>
      </c>
      <c r="J1785" s="3">
        <f t="shared" si="141"/>
        <v>0</v>
      </c>
      <c r="K1785" s="3" t="str">
        <f t="shared" si="142"/>
        <v>Tl198</v>
      </c>
      <c r="L1785" s="3" cm="1">
        <f t="array" ref="L1785">SUM(($J1785*EXP(-$H1785*12*3600*_xlfn.SEQUENCE(L$1-1))))+$J1785</f>
        <v>0</v>
      </c>
      <c r="M1785" s="3"/>
      <c r="N1785" s="3"/>
    </row>
    <row r="1786" spans="2:14" hidden="1" x14ac:dyDescent="0.2">
      <c r="B1786" s="3">
        <v>81199</v>
      </c>
      <c r="C1786" s="3">
        <v>0</v>
      </c>
      <c r="D1786">
        <v>1783</v>
      </c>
      <c r="E1786" t="str">
        <f>VLOOKUP(B1786,Nuclides!A:F,5,FALSE)</f>
        <v>Tl199</v>
      </c>
      <c r="F1786">
        <f>VLOOKUP(B1786,Nuclides!A:F,4,FALSE)</f>
        <v>26712</v>
      </c>
      <c r="G1786" s="3" t="str">
        <f t="shared" si="138"/>
        <v>7.42h</v>
      </c>
      <c r="H1786" s="3">
        <f t="shared" si="139"/>
        <v>2.5948906130575968E-5</v>
      </c>
      <c r="I1786" s="3">
        <f t="shared" si="140"/>
        <v>0</v>
      </c>
      <c r="J1786" s="3">
        <f t="shared" si="141"/>
        <v>0</v>
      </c>
      <c r="K1786" s="3" t="str">
        <f t="shared" si="142"/>
        <v>Tl199</v>
      </c>
      <c r="L1786" s="3" cm="1">
        <f t="array" ref="L1786">SUM(($J1786*EXP(-$H1786*12*3600*_xlfn.SEQUENCE(L$1-1))))+$J1786</f>
        <v>0</v>
      </c>
      <c r="M1786" s="3"/>
      <c r="N1786" s="3"/>
    </row>
    <row r="1787" spans="2:14" hidden="1" x14ac:dyDescent="0.2">
      <c r="B1787" s="3">
        <v>81200</v>
      </c>
      <c r="C1787" s="3">
        <v>0</v>
      </c>
      <c r="D1787">
        <v>1784</v>
      </c>
      <c r="E1787" t="str">
        <f>VLOOKUP(B1787,Nuclides!A:F,5,FALSE)</f>
        <v>Tl200</v>
      </c>
      <c r="F1787">
        <f>VLOOKUP(B1787,Nuclides!A:F,4,FALSE)</f>
        <v>93960</v>
      </c>
      <c r="G1787" s="3" t="str">
        <f t="shared" si="138"/>
        <v>1.09d</v>
      </c>
      <c r="H1787" s="3">
        <f t="shared" si="139"/>
        <v>7.3770453444012912E-6</v>
      </c>
      <c r="I1787" s="3">
        <f t="shared" si="140"/>
        <v>0</v>
      </c>
      <c r="J1787" s="3">
        <f t="shared" si="141"/>
        <v>0</v>
      </c>
      <c r="K1787" s="3" t="str">
        <f t="shared" si="142"/>
        <v>Tl200</v>
      </c>
      <c r="L1787" s="3" cm="1">
        <f t="array" ref="L1787">SUM(($J1787*EXP(-$H1787*12*3600*_xlfn.SEQUENCE(L$1-1))))+$J1787</f>
        <v>0</v>
      </c>
      <c r="M1787" s="3"/>
      <c r="N1787" s="3"/>
    </row>
    <row r="1788" spans="2:14" hidden="1" x14ac:dyDescent="0.2">
      <c r="B1788" s="3">
        <v>81201</v>
      </c>
      <c r="C1788" s="3">
        <v>0</v>
      </c>
      <c r="D1788">
        <v>1785</v>
      </c>
      <c r="E1788" t="str">
        <f>VLOOKUP(B1788,Nuclides!A:F,5,FALSE)</f>
        <v>Tl201</v>
      </c>
      <c r="F1788">
        <f>VLOOKUP(B1788,Nuclides!A:F,4,FALSE)</f>
        <v>262837.44</v>
      </c>
      <c r="G1788" s="3" t="str">
        <f t="shared" si="138"/>
        <v>3.04d</v>
      </c>
      <c r="H1788" s="3">
        <f t="shared" si="139"/>
        <v>2.6371706426601372E-6</v>
      </c>
      <c r="I1788" s="3">
        <f t="shared" si="140"/>
        <v>0</v>
      </c>
      <c r="J1788" s="3">
        <f t="shared" si="141"/>
        <v>0</v>
      </c>
      <c r="K1788" s="3" t="str">
        <f t="shared" si="142"/>
        <v>Tl201</v>
      </c>
      <c r="L1788" s="3" cm="1">
        <f t="array" ref="L1788">SUM(($J1788*EXP(-$H1788*12*3600*_xlfn.SEQUENCE(L$1-1))))+$J1788</f>
        <v>0</v>
      </c>
      <c r="M1788" s="3"/>
      <c r="N1788" s="3"/>
    </row>
    <row r="1789" spans="2:14" hidden="1" x14ac:dyDescent="0.2">
      <c r="B1789" s="3">
        <v>81202</v>
      </c>
      <c r="C1789" s="3">
        <v>0</v>
      </c>
      <c r="D1789">
        <v>1786</v>
      </c>
      <c r="E1789" t="str">
        <f>VLOOKUP(B1789,Nuclides!A:F,5,FALSE)</f>
        <v>Tl202</v>
      </c>
      <c r="F1789">
        <f>VLOOKUP(B1789,Nuclides!A:F,4,FALSE)</f>
        <v>1063584</v>
      </c>
      <c r="G1789" s="3" t="str">
        <f t="shared" si="138"/>
        <v>12.31d</v>
      </c>
      <c r="H1789" s="3">
        <f t="shared" si="139"/>
        <v>6.5170892055535366E-7</v>
      </c>
      <c r="I1789" s="3">
        <f t="shared" si="140"/>
        <v>0</v>
      </c>
      <c r="J1789" s="3">
        <f t="shared" si="141"/>
        <v>0</v>
      </c>
      <c r="K1789" s="3" t="str">
        <f t="shared" si="142"/>
        <v>Tl202</v>
      </c>
      <c r="L1789" s="3" cm="1">
        <f t="array" ref="L1789">SUM(($J1789*EXP(-$H1789*12*3600*_xlfn.SEQUENCE(L$1-1))))+$J1789</f>
        <v>0</v>
      </c>
      <c r="M1789" s="3"/>
      <c r="N1789" s="3"/>
    </row>
    <row r="1790" spans="2:14" hidden="1" x14ac:dyDescent="0.2">
      <c r="B1790" s="3">
        <v>81203</v>
      </c>
      <c r="C1790" s="3">
        <v>0</v>
      </c>
      <c r="D1790">
        <v>1787</v>
      </c>
      <c r="E1790" t="str">
        <f>VLOOKUP(B1790,Nuclides!A:F,5,FALSE)</f>
        <v>Tl203</v>
      </c>
      <c r="F1790" t="str">
        <f>VLOOKUP(B1790,Nuclides!A:F,4,FALSE)</f>
        <v>STABLE</v>
      </c>
      <c r="G1790" s="3" t="str">
        <f t="shared" si="138"/>
        <v>STABLE</v>
      </c>
      <c r="H1790" s="3" t="e">
        <f t="shared" si="139"/>
        <v>#VALUE!</v>
      </c>
      <c r="I1790" s="3" t="e">
        <f t="shared" si="140"/>
        <v>#VALUE!</v>
      </c>
      <c r="J1790" s="3" t="e">
        <f t="shared" si="141"/>
        <v>#VALUE!</v>
      </c>
      <c r="K1790" s="3" t="str">
        <f t="shared" si="142"/>
        <v>Tl203</v>
      </c>
      <c r="L1790" s="3" t="e" cm="1">
        <f t="array" ref="L1790">SUM(($J1790*EXP(-$H1790*12*3600*_xlfn.SEQUENCE(L$1-1))))+$J1790</f>
        <v>#VALUE!</v>
      </c>
      <c r="M1790" s="3"/>
      <c r="N1790" s="3"/>
    </row>
    <row r="1791" spans="2:14" hidden="1" x14ac:dyDescent="0.2">
      <c r="B1791" s="3">
        <v>81204</v>
      </c>
      <c r="C1791" s="3">
        <v>0</v>
      </c>
      <c r="D1791">
        <v>1788</v>
      </c>
      <c r="E1791" t="str">
        <f>VLOOKUP(B1791,Nuclides!A:F,5,FALSE)</f>
        <v>Tl204</v>
      </c>
      <c r="F1791">
        <f>VLOOKUP(B1791,Nuclides!A:F,4,FALSE)</f>
        <v>119382400.8</v>
      </c>
      <c r="G1791" s="3" t="str">
        <f t="shared" si="138"/>
        <v>3.79y</v>
      </c>
      <c r="H1791" s="3">
        <f t="shared" si="139"/>
        <v>5.8061085714063249E-9</v>
      </c>
      <c r="I1791" s="3">
        <f t="shared" si="140"/>
        <v>0</v>
      </c>
      <c r="J1791" s="3">
        <f t="shared" si="141"/>
        <v>0</v>
      </c>
      <c r="K1791" s="3" t="str">
        <f t="shared" si="142"/>
        <v>Tl204</v>
      </c>
      <c r="L1791" s="3" cm="1">
        <f t="array" ref="L1791">SUM(($J1791*EXP(-$H1791*12*3600*_xlfn.SEQUENCE(L$1-1))))+$J1791</f>
        <v>0</v>
      </c>
      <c r="M1791" s="3"/>
      <c r="N1791" s="3"/>
    </row>
    <row r="1792" spans="2:14" hidden="1" x14ac:dyDescent="0.2">
      <c r="B1792" s="3">
        <v>81205</v>
      </c>
      <c r="C1792" s="3">
        <v>0</v>
      </c>
      <c r="D1792">
        <v>1789</v>
      </c>
      <c r="E1792" t="str">
        <f>VLOOKUP(B1792,Nuclides!A:F,5,FALSE)</f>
        <v>Tl205</v>
      </c>
      <c r="F1792" t="str">
        <f>VLOOKUP(B1792,Nuclides!A:F,4,FALSE)</f>
        <v>STABLE</v>
      </c>
      <c r="G1792" s="3" t="str">
        <f t="shared" si="138"/>
        <v>STABLE</v>
      </c>
      <c r="H1792" s="3" t="e">
        <f t="shared" si="139"/>
        <v>#VALUE!</v>
      </c>
      <c r="I1792" s="3" t="e">
        <f t="shared" si="140"/>
        <v>#VALUE!</v>
      </c>
      <c r="J1792" s="3" t="e">
        <f t="shared" si="141"/>
        <v>#VALUE!</v>
      </c>
      <c r="K1792" s="3" t="str">
        <f t="shared" si="142"/>
        <v>Tl205</v>
      </c>
      <c r="L1792" s="3" t="e" cm="1">
        <f t="array" ref="L1792">SUM(($J1792*EXP(-$H1792*12*3600*_xlfn.SEQUENCE(L$1-1))))+$J1792</f>
        <v>#VALUE!</v>
      </c>
      <c r="M1792" s="3"/>
      <c r="N1792" s="3"/>
    </row>
    <row r="1793" spans="2:14" hidden="1" x14ac:dyDescent="0.2">
      <c r="B1793" s="3">
        <v>81206</v>
      </c>
      <c r="C1793" s="3">
        <v>0</v>
      </c>
      <c r="D1793">
        <v>1790</v>
      </c>
      <c r="E1793" t="str">
        <f>VLOOKUP(B1793,Nuclides!A:F,5,FALSE)</f>
        <v>Tl206</v>
      </c>
      <c r="F1793">
        <f>VLOOKUP(B1793,Nuclides!A:F,4,FALSE)</f>
        <v>252.12</v>
      </c>
      <c r="G1793" s="3" t="str">
        <f t="shared" si="138"/>
        <v>4.2min</v>
      </c>
      <c r="H1793" s="3">
        <f t="shared" si="139"/>
        <v>2.7492748713308949E-3</v>
      </c>
      <c r="I1793" s="3">
        <f t="shared" si="140"/>
        <v>0</v>
      </c>
      <c r="J1793" s="3">
        <f t="shared" si="141"/>
        <v>0</v>
      </c>
      <c r="K1793" s="3" t="str">
        <f t="shared" si="142"/>
        <v>Tl206</v>
      </c>
      <c r="L1793" s="3" cm="1">
        <f t="array" ref="L1793">SUM(($J1793*EXP(-$H1793*12*3600*_xlfn.SEQUENCE(L$1-1))))+$J1793</f>
        <v>0</v>
      </c>
      <c r="M1793" s="3"/>
      <c r="N1793" s="3"/>
    </row>
    <row r="1794" spans="2:14" hidden="1" x14ac:dyDescent="0.2">
      <c r="B1794" s="3">
        <v>81207</v>
      </c>
      <c r="C1794" s="3">
        <v>0</v>
      </c>
      <c r="D1794">
        <v>1791</v>
      </c>
      <c r="E1794" t="str">
        <f>VLOOKUP(B1794,Nuclides!A:F,5,FALSE)</f>
        <v>Tl207</v>
      </c>
      <c r="F1794">
        <f>VLOOKUP(B1794,Nuclides!A:F,4,FALSE)</f>
        <v>286.2</v>
      </c>
      <c r="G1794" s="3" t="str">
        <f t="shared" si="138"/>
        <v>4.77min</v>
      </c>
      <c r="H1794" s="3">
        <f t="shared" si="139"/>
        <v>2.4218979055204239E-3</v>
      </c>
      <c r="I1794" s="3">
        <f t="shared" si="140"/>
        <v>0</v>
      </c>
      <c r="J1794" s="3">
        <f t="shared" si="141"/>
        <v>0</v>
      </c>
      <c r="K1794" s="3" t="str">
        <f t="shared" si="142"/>
        <v>Tl207</v>
      </c>
      <c r="L1794" s="3" cm="1">
        <f t="array" ref="L1794">SUM(($J1794*EXP(-$H1794*12*3600*_xlfn.SEQUENCE(L$1-1))))+$J1794</f>
        <v>0</v>
      </c>
      <c r="M1794" s="3"/>
      <c r="N1794" s="3"/>
    </row>
    <row r="1795" spans="2:14" hidden="1" x14ac:dyDescent="0.2">
      <c r="B1795" s="3">
        <v>81208</v>
      </c>
      <c r="C1795" s="3">
        <v>0</v>
      </c>
      <c r="D1795">
        <v>1792</v>
      </c>
      <c r="E1795" t="str">
        <f>VLOOKUP(B1795,Nuclides!A:F,5,FALSE)</f>
        <v>Tl208</v>
      </c>
      <c r="F1795">
        <f>VLOOKUP(B1795,Nuclides!A:F,4,FALSE)</f>
        <v>183.18</v>
      </c>
      <c r="G1795" s="3" t="str">
        <f t="shared" si="138"/>
        <v>3.05min</v>
      </c>
      <c r="H1795" s="3">
        <f t="shared" si="139"/>
        <v>3.7839675759359388E-3</v>
      </c>
      <c r="I1795" s="3">
        <f t="shared" si="140"/>
        <v>0</v>
      </c>
      <c r="J1795" s="3">
        <f t="shared" si="141"/>
        <v>0</v>
      </c>
      <c r="K1795" s="3" t="str">
        <f t="shared" si="142"/>
        <v>Tl208</v>
      </c>
      <c r="L1795" s="3" cm="1">
        <f t="array" ref="L1795">SUM(($J1795*EXP(-$H1795*12*3600*_xlfn.SEQUENCE(L$1-1))))+$J1795</f>
        <v>0</v>
      </c>
      <c r="M1795" s="3"/>
      <c r="N1795" s="3"/>
    </row>
    <row r="1796" spans="2:14" hidden="1" x14ac:dyDescent="0.2">
      <c r="B1796" s="3">
        <v>81209</v>
      </c>
      <c r="C1796" s="3">
        <v>0</v>
      </c>
      <c r="D1796">
        <v>1793</v>
      </c>
      <c r="E1796" t="str">
        <f>VLOOKUP(B1796,Nuclides!A:F,5,FALSE)</f>
        <v>Tl209</v>
      </c>
      <c r="F1796">
        <f>VLOOKUP(B1796,Nuclides!A:F,4,FALSE)</f>
        <v>129.72</v>
      </c>
      <c r="G1796" s="3" t="str">
        <f t="shared" ref="G1796:G1859" si="143">IF(F1796="STABLE", "STABLE", IF(F1796&lt;60, F1796&amp;"s", IF(F1796&lt;3600, ROUND(F1796/60,2)&amp;"min", IF(F1796&lt;86400, ROUND(F1796/3600,2)&amp;"h", IF(F1796&lt;31536000, ROUND(F1796/86400,2)&amp;"d", ROUND(F1796/31536000,2)&amp;"y")))))</f>
        <v>2.16min</v>
      </c>
      <c r="H1796" s="3">
        <f t="shared" ref="H1796:H1859" si="144">LN(2)/F1796</f>
        <v>5.3434102725866892E-3</v>
      </c>
      <c r="I1796" s="3">
        <f t="shared" ref="I1796:I1859" si="145">100*6240000000000*C1796*(1-EXP(-H1796*2*3600))</f>
        <v>0</v>
      </c>
      <c r="J1796" s="3">
        <f t="shared" ref="J1796:J1859" si="146">I1796*EXP(-H1796*10*3600)</f>
        <v>0</v>
      </c>
      <c r="K1796" s="3" t="str">
        <f t="shared" ref="K1796:K1859" si="147">E1796</f>
        <v>Tl209</v>
      </c>
      <c r="L1796" s="3" cm="1">
        <f t="array" ref="L1796">SUM(($J1796*EXP(-$H1796*12*3600*_xlfn.SEQUENCE(L$1-1))))+$J1796</f>
        <v>0</v>
      </c>
      <c r="M1796" s="3"/>
      <c r="N1796" s="3"/>
    </row>
    <row r="1797" spans="2:14" hidden="1" x14ac:dyDescent="0.2">
      <c r="B1797" s="3">
        <v>81210</v>
      </c>
      <c r="C1797" s="3">
        <v>0</v>
      </c>
      <c r="D1797">
        <v>1794</v>
      </c>
      <c r="E1797" t="str">
        <f>VLOOKUP(B1797,Nuclides!A:F,5,FALSE)</f>
        <v>Tl210</v>
      </c>
      <c r="F1797">
        <f>VLOOKUP(B1797,Nuclides!A:F,4,FALSE)</f>
        <v>78</v>
      </c>
      <c r="G1797" s="3" t="str">
        <f t="shared" si="143"/>
        <v>1.3min</v>
      </c>
      <c r="H1797" s="3">
        <f t="shared" si="144"/>
        <v>8.8865023148710937E-3</v>
      </c>
      <c r="I1797" s="3">
        <f t="shared" si="145"/>
        <v>0</v>
      </c>
      <c r="J1797" s="3">
        <f t="shared" si="146"/>
        <v>0</v>
      </c>
      <c r="K1797" s="3" t="str">
        <f t="shared" si="147"/>
        <v>Tl210</v>
      </c>
      <c r="L1797" s="3" cm="1">
        <f t="array" ref="L1797">SUM(($J1797*EXP(-$H1797*12*3600*_xlfn.SEQUENCE(L$1-1))))+$J1797</f>
        <v>0</v>
      </c>
      <c r="M1797" s="3"/>
      <c r="N1797" s="3"/>
    </row>
    <row r="1798" spans="2:14" hidden="1" x14ac:dyDescent="0.2">
      <c r="B1798" s="3">
        <v>82183</v>
      </c>
      <c r="C1798" s="3">
        <v>0</v>
      </c>
      <c r="D1798">
        <v>1795</v>
      </c>
      <c r="E1798" t="str">
        <f>VLOOKUP(B1798,Nuclides!A:F,5,FALSE)</f>
        <v>Pb183</v>
      </c>
      <c r="F1798">
        <f>VLOOKUP(B1798,Nuclides!A:F,4,FALSE)</f>
        <v>0.53500000000000003</v>
      </c>
      <c r="G1798" s="3" t="str">
        <f t="shared" si="143"/>
        <v>0.535s</v>
      </c>
      <c r="H1798" s="3">
        <f t="shared" si="144"/>
        <v>1.2956022066541033</v>
      </c>
      <c r="I1798" s="3">
        <f t="shared" si="145"/>
        <v>0</v>
      </c>
      <c r="J1798" s="3">
        <f t="shared" si="146"/>
        <v>0</v>
      </c>
      <c r="K1798" s="3" t="str">
        <f t="shared" si="147"/>
        <v>Pb183</v>
      </c>
      <c r="L1798" s="3" cm="1">
        <f t="array" ref="L1798">SUM(($J1798*EXP(-$H1798*12*3600*_xlfn.SEQUENCE(L$1-1))))+$J1798</f>
        <v>0</v>
      </c>
      <c r="M1798" s="3"/>
      <c r="N1798" s="3"/>
    </row>
    <row r="1799" spans="2:14" hidden="1" x14ac:dyDescent="0.2">
      <c r="B1799" s="3">
        <v>82184</v>
      </c>
      <c r="C1799" s="3">
        <v>0</v>
      </c>
      <c r="D1799">
        <v>1796</v>
      </c>
      <c r="E1799" t="str">
        <f>VLOOKUP(B1799,Nuclides!A:F,5,FALSE)</f>
        <v>Pb184</v>
      </c>
      <c r="F1799">
        <f>VLOOKUP(B1799,Nuclides!A:F,4,FALSE)</f>
        <v>0.49</v>
      </c>
      <c r="G1799" s="3" t="str">
        <f t="shared" si="143"/>
        <v>0.49s</v>
      </c>
      <c r="H1799" s="3">
        <f t="shared" si="144"/>
        <v>1.4145860827753987</v>
      </c>
      <c r="I1799" s="3">
        <f t="shared" si="145"/>
        <v>0</v>
      </c>
      <c r="J1799" s="3">
        <f t="shared" si="146"/>
        <v>0</v>
      </c>
      <c r="K1799" s="3" t="str">
        <f t="shared" si="147"/>
        <v>Pb184</v>
      </c>
      <c r="L1799" s="3" cm="1">
        <f t="array" ref="L1799">SUM(($J1799*EXP(-$H1799*12*3600*_xlfn.SEQUENCE(L$1-1))))+$J1799</f>
        <v>0</v>
      </c>
      <c r="M1799" s="3"/>
      <c r="N1799" s="3"/>
    </row>
    <row r="1800" spans="2:14" hidden="1" x14ac:dyDescent="0.2">
      <c r="B1800" s="3">
        <v>82185</v>
      </c>
      <c r="C1800" s="3">
        <v>0</v>
      </c>
      <c r="D1800">
        <v>1797</v>
      </c>
      <c r="E1800" t="str">
        <f>VLOOKUP(B1800,Nuclides!A:F,5,FALSE)</f>
        <v>Pb185</v>
      </c>
      <c r="F1800">
        <f>VLOOKUP(B1800,Nuclides!A:F,4,FALSE)</f>
        <v>6.3</v>
      </c>
      <c r="G1800" s="3" t="str">
        <f t="shared" si="143"/>
        <v>6.3s</v>
      </c>
      <c r="H1800" s="3">
        <f t="shared" si="144"/>
        <v>0.11002336199364211</v>
      </c>
      <c r="I1800" s="3">
        <f t="shared" si="145"/>
        <v>0</v>
      </c>
      <c r="J1800" s="3">
        <f t="shared" si="146"/>
        <v>0</v>
      </c>
      <c r="K1800" s="3" t="str">
        <f t="shared" si="147"/>
        <v>Pb185</v>
      </c>
      <c r="L1800" s="3" cm="1">
        <f t="array" ref="L1800">SUM(($J1800*EXP(-$H1800*12*3600*_xlfn.SEQUENCE(L$1-1))))+$J1800</f>
        <v>0</v>
      </c>
      <c r="M1800" s="3"/>
      <c r="N1800" s="3"/>
    </row>
    <row r="1801" spans="2:14" hidden="1" x14ac:dyDescent="0.2">
      <c r="B1801" s="3">
        <v>82186</v>
      </c>
      <c r="C1801" s="3">
        <v>0</v>
      </c>
      <c r="D1801">
        <v>1798</v>
      </c>
      <c r="E1801" t="str">
        <f>VLOOKUP(B1801,Nuclides!A:F,5,FALSE)</f>
        <v>Pb186</v>
      </c>
      <c r="F1801">
        <f>VLOOKUP(B1801,Nuclides!A:F,4,FALSE)</f>
        <v>4.82</v>
      </c>
      <c r="G1801" s="3" t="str">
        <f t="shared" si="143"/>
        <v>4.82s</v>
      </c>
      <c r="H1801" s="3">
        <f t="shared" si="144"/>
        <v>0.14380646899583927</v>
      </c>
      <c r="I1801" s="3">
        <f t="shared" si="145"/>
        <v>0</v>
      </c>
      <c r="J1801" s="3">
        <f t="shared" si="146"/>
        <v>0</v>
      </c>
      <c r="K1801" s="3" t="str">
        <f t="shared" si="147"/>
        <v>Pb186</v>
      </c>
      <c r="L1801" s="3" cm="1">
        <f t="array" ref="L1801">SUM(($J1801*EXP(-$H1801*12*3600*_xlfn.SEQUENCE(L$1-1))))+$J1801</f>
        <v>0</v>
      </c>
      <c r="M1801" s="3"/>
      <c r="N1801" s="3"/>
    </row>
    <row r="1802" spans="2:14" hidden="1" x14ac:dyDescent="0.2">
      <c r="B1802" s="3">
        <v>82187</v>
      </c>
      <c r="C1802" s="3">
        <v>0</v>
      </c>
      <c r="D1802">
        <v>1799</v>
      </c>
      <c r="E1802" t="str">
        <f>VLOOKUP(B1802,Nuclides!A:F,5,FALSE)</f>
        <v>Pb187</v>
      </c>
      <c r="F1802">
        <f>VLOOKUP(B1802,Nuclides!A:F,4,FALSE)</f>
        <v>15.2</v>
      </c>
      <c r="G1802" s="3" t="str">
        <f t="shared" si="143"/>
        <v>15.2s</v>
      </c>
      <c r="H1802" s="3">
        <f t="shared" si="144"/>
        <v>4.5601788194733248E-2</v>
      </c>
      <c r="I1802" s="3">
        <f t="shared" si="145"/>
        <v>0</v>
      </c>
      <c r="J1802" s="3">
        <f t="shared" si="146"/>
        <v>0</v>
      </c>
      <c r="K1802" s="3" t="str">
        <f t="shared" si="147"/>
        <v>Pb187</v>
      </c>
      <c r="L1802" s="3" cm="1">
        <f t="array" ref="L1802">SUM(($J1802*EXP(-$H1802*12*3600*_xlfn.SEQUENCE(L$1-1))))+$J1802</f>
        <v>0</v>
      </c>
      <c r="M1802" s="3"/>
      <c r="N1802" s="3"/>
    </row>
    <row r="1803" spans="2:14" hidden="1" x14ac:dyDescent="0.2">
      <c r="B1803" s="3">
        <v>82188</v>
      </c>
      <c r="C1803" s="3">
        <v>0</v>
      </c>
      <c r="D1803">
        <v>1800</v>
      </c>
      <c r="E1803" t="str">
        <f>VLOOKUP(B1803,Nuclides!A:F,5,FALSE)</f>
        <v>Pb188</v>
      </c>
      <c r="F1803">
        <f>VLOOKUP(B1803,Nuclides!A:F,4,FALSE)</f>
        <v>25.1</v>
      </c>
      <c r="G1803" s="3" t="str">
        <f t="shared" si="143"/>
        <v>25.1s</v>
      </c>
      <c r="H1803" s="3">
        <f t="shared" si="144"/>
        <v>2.7615425520316542E-2</v>
      </c>
      <c r="I1803" s="3">
        <f t="shared" si="145"/>
        <v>0</v>
      </c>
      <c r="J1803" s="3">
        <f t="shared" si="146"/>
        <v>0</v>
      </c>
      <c r="K1803" s="3" t="str">
        <f t="shared" si="147"/>
        <v>Pb188</v>
      </c>
      <c r="L1803" s="3" cm="1">
        <f t="array" ref="L1803">SUM(($J1803*EXP(-$H1803*12*3600*_xlfn.SEQUENCE(L$1-1))))+$J1803</f>
        <v>0</v>
      </c>
      <c r="M1803" s="3"/>
      <c r="N1803" s="3"/>
    </row>
    <row r="1804" spans="2:14" hidden="1" x14ac:dyDescent="0.2">
      <c r="B1804" s="3">
        <v>82189</v>
      </c>
      <c r="C1804" s="3">
        <v>0</v>
      </c>
      <c r="D1804">
        <v>1801</v>
      </c>
      <c r="E1804" t="str">
        <f>VLOOKUP(B1804,Nuclides!A:F,5,FALSE)</f>
        <v>Pb189</v>
      </c>
      <c r="F1804">
        <f>VLOOKUP(B1804,Nuclides!A:F,4,FALSE)</f>
        <v>39</v>
      </c>
      <c r="G1804" s="3" t="str">
        <f t="shared" si="143"/>
        <v>39s</v>
      </c>
      <c r="H1804" s="3">
        <f t="shared" si="144"/>
        <v>1.7773004629742187E-2</v>
      </c>
      <c r="I1804" s="3">
        <f t="shared" si="145"/>
        <v>0</v>
      </c>
      <c r="J1804" s="3">
        <f t="shared" si="146"/>
        <v>0</v>
      </c>
      <c r="K1804" s="3" t="str">
        <f t="shared" si="147"/>
        <v>Pb189</v>
      </c>
      <c r="L1804" s="3" cm="1">
        <f t="array" ref="L1804">SUM(($J1804*EXP(-$H1804*12*3600*_xlfn.SEQUENCE(L$1-1))))+$J1804</f>
        <v>0</v>
      </c>
      <c r="M1804" s="3"/>
      <c r="N1804" s="3"/>
    </row>
    <row r="1805" spans="2:14" hidden="1" x14ac:dyDescent="0.2">
      <c r="B1805" s="3">
        <v>82190</v>
      </c>
      <c r="C1805" s="3">
        <v>0</v>
      </c>
      <c r="D1805">
        <v>1802</v>
      </c>
      <c r="E1805" t="str">
        <f>VLOOKUP(B1805,Nuclides!A:F,5,FALSE)</f>
        <v>Pb190</v>
      </c>
      <c r="F1805">
        <f>VLOOKUP(B1805,Nuclides!A:F,4,FALSE)</f>
        <v>71</v>
      </c>
      <c r="G1805" s="3" t="str">
        <f t="shared" si="143"/>
        <v>1.18min</v>
      </c>
      <c r="H1805" s="3">
        <f t="shared" si="144"/>
        <v>9.7626363459147221E-3</v>
      </c>
      <c r="I1805" s="3">
        <f t="shared" si="145"/>
        <v>0</v>
      </c>
      <c r="J1805" s="3">
        <f t="shared" si="146"/>
        <v>0</v>
      </c>
      <c r="K1805" s="3" t="str">
        <f t="shared" si="147"/>
        <v>Pb190</v>
      </c>
      <c r="L1805" s="3" cm="1">
        <f t="array" ref="L1805">SUM(($J1805*EXP(-$H1805*12*3600*_xlfn.SEQUENCE(L$1-1))))+$J1805</f>
        <v>0</v>
      </c>
      <c r="M1805" s="3"/>
      <c r="N1805" s="3"/>
    </row>
    <row r="1806" spans="2:14" hidden="1" x14ac:dyDescent="0.2">
      <c r="B1806" s="3">
        <v>82191</v>
      </c>
      <c r="C1806" s="3">
        <v>0</v>
      </c>
      <c r="D1806">
        <v>1803</v>
      </c>
      <c r="E1806" t="str">
        <f>VLOOKUP(B1806,Nuclides!A:F,5,FALSE)</f>
        <v>Pb191</v>
      </c>
      <c r="F1806">
        <f>VLOOKUP(B1806,Nuclides!A:F,4,FALSE)</f>
        <v>79.8</v>
      </c>
      <c r="G1806" s="3" t="str">
        <f t="shared" si="143"/>
        <v>1.33min</v>
      </c>
      <c r="H1806" s="3">
        <f t="shared" si="144"/>
        <v>8.6860548942349035E-3</v>
      </c>
      <c r="I1806" s="3">
        <f t="shared" si="145"/>
        <v>0</v>
      </c>
      <c r="J1806" s="3">
        <f t="shared" si="146"/>
        <v>0</v>
      </c>
      <c r="K1806" s="3" t="str">
        <f t="shared" si="147"/>
        <v>Pb191</v>
      </c>
      <c r="L1806" s="3" cm="1">
        <f t="array" ref="L1806">SUM(($J1806*EXP(-$H1806*12*3600*_xlfn.SEQUENCE(L$1-1))))+$J1806</f>
        <v>0</v>
      </c>
      <c r="M1806" s="3"/>
      <c r="N1806" s="3"/>
    </row>
    <row r="1807" spans="2:14" hidden="1" x14ac:dyDescent="0.2">
      <c r="B1807" s="3">
        <v>82192</v>
      </c>
      <c r="C1807" s="3">
        <v>0</v>
      </c>
      <c r="D1807">
        <v>1804</v>
      </c>
      <c r="E1807" t="str">
        <f>VLOOKUP(B1807,Nuclides!A:F,5,FALSE)</f>
        <v>Pb192</v>
      </c>
      <c r="F1807">
        <f>VLOOKUP(B1807,Nuclides!A:F,4,FALSE)</f>
        <v>210</v>
      </c>
      <c r="G1807" s="3" t="str">
        <f t="shared" si="143"/>
        <v>3.5min</v>
      </c>
      <c r="H1807" s="3">
        <f t="shared" si="144"/>
        <v>3.3007008598092634E-3</v>
      </c>
      <c r="I1807" s="3">
        <f t="shared" si="145"/>
        <v>0</v>
      </c>
      <c r="J1807" s="3">
        <f t="shared" si="146"/>
        <v>0</v>
      </c>
      <c r="K1807" s="3" t="str">
        <f t="shared" si="147"/>
        <v>Pb192</v>
      </c>
      <c r="L1807" s="3" cm="1">
        <f t="array" ref="L1807">SUM(($J1807*EXP(-$H1807*12*3600*_xlfn.SEQUENCE(L$1-1))))+$J1807</f>
        <v>0</v>
      </c>
      <c r="M1807" s="3"/>
      <c r="N1807" s="3"/>
    </row>
    <row r="1808" spans="2:14" hidden="1" x14ac:dyDescent="0.2">
      <c r="B1808" s="3">
        <v>82193</v>
      </c>
      <c r="C1808" s="3">
        <v>0</v>
      </c>
      <c r="D1808">
        <v>1805</v>
      </c>
      <c r="E1808" t="str">
        <f>VLOOKUP(B1808,Nuclides!A:F,5,FALSE)</f>
        <v>Pb193</v>
      </c>
      <c r="F1808">
        <f>VLOOKUP(B1808,Nuclides!A:F,4,FALSE)</f>
        <v>348</v>
      </c>
      <c r="G1808" s="3" t="str">
        <f t="shared" si="143"/>
        <v>5.8min</v>
      </c>
      <c r="H1808" s="3">
        <f t="shared" si="144"/>
        <v>1.9918022429883486E-3</v>
      </c>
      <c r="I1808" s="3">
        <f t="shared" si="145"/>
        <v>0</v>
      </c>
      <c r="J1808" s="3">
        <f t="shared" si="146"/>
        <v>0</v>
      </c>
      <c r="K1808" s="3" t="str">
        <f t="shared" si="147"/>
        <v>Pb193</v>
      </c>
      <c r="L1808" s="3" cm="1">
        <f t="array" ref="L1808">SUM(($J1808*EXP(-$H1808*12*3600*_xlfn.SEQUENCE(L$1-1))))+$J1808</f>
        <v>0</v>
      </c>
      <c r="M1808" s="3"/>
      <c r="N1808" s="3"/>
    </row>
    <row r="1809" spans="2:14" hidden="1" x14ac:dyDescent="0.2">
      <c r="B1809" s="3">
        <v>82194</v>
      </c>
      <c r="C1809" s="3">
        <v>0</v>
      </c>
      <c r="D1809">
        <v>1806</v>
      </c>
      <c r="E1809" t="str">
        <f>VLOOKUP(B1809,Nuclides!A:F,5,FALSE)</f>
        <v>Pb194</v>
      </c>
      <c r="F1809">
        <f>VLOOKUP(B1809,Nuclides!A:F,4,FALSE)</f>
        <v>642</v>
      </c>
      <c r="G1809" s="3" t="str">
        <f t="shared" si="143"/>
        <v>10.7min</v>
      </c>
      <c r="H1809" s="3">
        <f t="shared" si="144"/>
        <v>1.079668505545086E-3</v>
      </c>
      <c r="I1809" s="3">
        <f t="shared" si="145"/>
        <v>0</v>
      </c>
      <c r="J1809" s="3">
        <f t="shared" si="146"/>
        <v>0</v>
      </c>
      <c r="K1809" s="3" t="str">
        <f t="shared" si="147"/>
        <v>Pb194</v>
      </c>
      <c r="L1809" s="3" cm="1">
        <f t="array" ref="L1809">SUM(($J1809*EXP(-$H1809*12*3600*_xlfn.SEQUENCE(L$1-1))))+$J1809</f>
        <v>0</v>
      </c>
      <c r="M1809" s="3"/>
      <c r="N1809" s="3"/>
    </row>
    <row r="1810" spans="2:14" hidden="1" x14ac:dyDescent="0.2">
      <c r="B1810" s="3">
        <v>82195</v>
      </c>
      <c r="C1810" s="3">
        <v>0</v>
      </c>
      <c r="D1810">
        <v>1807</v>
      </c>
      <c r="E1810" t="str">
        <f>VLOOKUP(B1810,Nuclides!A:F,5,FALSE)</f>
        <v>Pb195</v>
      </c>
      <c r="F1810">
        <f>VLOOKUP(B1810,Nuclides!A:F,4,FALSE)</f>
        <v>900</v>
      </c>
      <c r="G1810" s="3" t="str">
        <f t="shared" si="143"/>
        <v>15min</v>
      </c>
      <c r="H1810" s="3">
        <f t="shared" si="144"/>
        <v>7.7016353395549476E-4</v>
      </c>
      <c r="I1810" s="3">
        <f t="shared" si="145"/>
        <v>0</v>
      </c>
      <c r="J1810" s="3">
        <f t="shared" si="146"/>
        <v>0</v>
      </c>
      <c r="K1810" s="3" t="str">
        <f t="shared" si="147"/>
        <v>Pb195</v>
      </c>
      <c r="L1810" s="3" cm="1">
        <f t="array" ref="L1810">SUM(($J1810*EXP(-$H1810*12*3600*_xlfn.SEQUENCE(L$1-1))))+$J1810</f>
        <v>0</v>
      </c>
      <c r="M1810" s="3"/>
      <c r="N1810" s="3"/>
    </row>
    <row r="1811" spans="2:14" hidden="1" x14ac:dyDescent="0.2">
      <c r="B1811" s="3">
        <v>82196</v>
      </c>
      <c r="C1811" s="3">
        <v>0</v>
      </c>
      <c r="D1811">
        <v>1808</v>
      </c>
      <c r="E1811" t="str">
        <f>VLOOKUP(B1811,Nuclides!A:F,5,FALSE)</f>
        <v>Pb196</v>
      </c>
      <c r="F1811">
        <f>VLOOKUP(B1811,Nuclides!A:F,4,FALSE)</f>
        <v>2220</v>
      </c>
      <c r="G1811" s="3" t="str">
        <f t="shared" si="143"/>
        <v>37min</v>
      </c>
      <c r="H1811" s="3">
        <f t="shared" si="144"/>
        <v>3.1222845971168707E-4</v>
      </c>
      <c r="I1811" s="3">
        <f t="shared" si="145"/>
        <v>0</v>
      </c>
      <c r="J1811" s="3">
        <f t="shared" si="146"/>
        <v>0</v>
      </c>
      <c r="K1811" s="3" t="str">
        <f t="shared" si="147"/>
        <v>Pb196</v>
      </c>
      <c r="L1811" s="3" cm="1">
        <f t="array" ref="L1811">SUM(($J1811*EXP(-$H1811*12*3600*_xlfn.SEQUENCE(L$1-1))))+$J1811</f>
        <v>0</v>
      </c>
      <c r="M1811" s="3"/>
      <c r="N1811" s="3"/>
    </row>
    <row r="1812" spans="2:14" hidden="1" x14ac:dyDescent="0.2">
      <c r="B1812" s="3">
        <v>82197</v>
      </c>
      <c r="C1812" s="3">
        <v>0</v>
      </c>
      <c r="D1812">
        <v>1809</v>
      </c>
      <c r="E1812" t="str">
        <f>VLOOKUP(B1812,Nuclides!A:F,5,FALSE)</f>
        <v>Pb197</v>
      </c>
      <c r="F1812">
        <f>VLOOKUP(B1812,Nuclides!A:F,4,FALSE)</f>
        <v>486</v>
      </c>
      <c r="G1812" s="3" t="str">
        <f t="shared" si="143"/>
        <v>8.1min</v>
      </c>
      <c r="H1812" s="3">
        <f t="shared" si="144"/>
        <v>1.4262287665842495E-3</v>
      </c>
      <c r="I1812" s="3">
        <f t="shared" si="145"/>
        <v>0</v>
      </c>
      <c r="J1812" s="3">
        <f t="shared" si="146"/>
        <v>0</v>
      </c>
      <c r="K1812" s="3" t="str">
        <f t="shared" si="147"/>
        <v>Pb197</v>
      </c>
      <c r="L1812" s="3" cm="1">
        <f t="array" ref="L1812">SUM(($J1812*EXP(-$H1812*12*3600*_xlfn.SEQUENCE(L$1-1))))+$J1812</f>
        <v>0</v>
      </c>
      <c r="M1812" s="3"/>
      <c r="N1812" s="3"/>
    </row>
    <row r="1813" spans="2:14" hidden="1" x14ac:dyDescent="0.2">
      <c r="B1813" s="3">
        <v>82198</v>
      </c>
      <c r="C1813" s="3">
        <v>0</v>
      </c>
      <c r="D1813">
        <v>1810</v>
      </c>
      <c r="E1813" t="str">
        <f>VLOOKUP(B1813,Nuclides!A:F,5,FALSE)</f>
        <v>Pb198</v>
      </c>
      <c r="F1813">
        <f>VLOOKUP(B1813,Nuclides!A:F,4,FALSE)</f>
        <v>8640</v>
      </c>
      <c r="G1813" s="3" t="str">
        <f t="shared" si="143"/>
        <v>2.4h</v>
      </c>
      <c r="H1813" s="3">
        <f t="shared" si="144"/>
        <v>8.0225368120364038E-5</v>
      </c>
      <c r="I1813" s="3">
        <f t="shared" si="145"/>
        <v>0</v>
      </c>
      <c r="J1813" s="3">
        <f t="shared" si="146"/>
        <v>0</v>
      </c>
      <c r="K1813" s="3" t="str">
        <f t="shared" si="147"/>
        <v>Pb198</v>
      </c>
      <c r="L1813" s="3" cm="1">
        <f t="array" ref="L1813">SUM(($J1813*EXP(-$H1813*12*3600*_xlfn.SEQUENCE(L$1-1))))+$J1813</f>
        <v>0</v>
      </c>
      <c r="M1813" s="3"/>
      <c r="N1813" s="3"/>
    </row>
    <row r="1814" spans="2:14" hidden="1" x14ac:dyDescent="0.2">
      <c r="B1814" s="3">
        <v>82199</v>
      </c>
      <c r="C1814" s="3">
        <v>0</v>
      </c>
      <c r="D1814">
        <v>1811</v>
      </c>
      <c r="E1814" t="str">
        <f>VLOOKUP(B1814,Nuclides!A:F,5,FALSE)</f>
        <v>Pb199</v>
      </c>
      <c r="F1814">
        <f>VLOOKUP(B1814,Nuclides!A:F,4,FALSE)</f>
        <v>5400</v>
      </c>
      <c r="G1814" s="3" t="str">
        <f t="shared" si="143"/>
        <v>1.5h</v>
      </c>
      <c r="H1814" s="3">
        <f t="shared" si="144"/>
        <v>1.2836058899258246E-4</v>
      </c>
      <c r="I1814" s="3">
        <f t="shared" si="145"/>
        <v>0</v>
      </c>
      <c r="J1814" s="3">
        <f t="shared" si="146"/>
        <v>0</v>
      </c>
      <c r="K1814" s="3" t="str">
        <f t="shared" si="147"/>
        <v>Pb199</v>
      </c>
      <c r="L1814" s="3" cm="1">
        <f t="array" ref="L1814">SUM(($J1814*EXP(-$H1814*12*3600*_xlfn.SEQUENCE(L$1-1))))+$J1814</f>
        <v>0</v>
      </c>
      <c r="M1814" s="3"/>
      <c r="N1814" s="3"/>
    </row>
    <row r="1815" spans="2:14" hidden="1" x14ac:dyDescent="0.2">
      <c r="B1815" s="3">
        <v>82200</v>
      </c>
      <c r="C1815" s="3">
        <v>0</v>
      </c>
      <c r="D1815">
        <v>1812</v>
      </c>
      <c r="E1815" t="str">
        <f>VLOOKUP(B1815,Nuclides!A:F,5,FALSE)</f>
        <v>Pb200</v>
      </c>
      <c r="F1815">
        <f>VLOOKUP(B1815,Nuclides!A:F,4,FALSE)</f>
        <v>77400</v>
      </c>
      <c r="G1815" s="3" t="str">
        <f t="shared" si="143"/>
        <v>21.5h</v>
      </c>
      <c r="H1815" s="3">
        <f t="shared" si="144"/>
        <v>8.9553899297150559E-6</v>
      </c>
      <c r="I1815" s="3">
        <f t="shared" si="145"/>
        <v>0</v>
      </c>
      <c r="J1815" s="3">
        <f t="shared" si="146"/>
        <v>0</v>
      </c>
      <c r="K1815" s="3" t="str">
        <f t="shared" si="147"/>
        <v>Pb200</v>
      </c>
      <c r="L1815" s="3" cm="1">
        <f t="array" ref="L1815">SUM(($J1815*EXP(-$H1815*12*3600*_xlfn.SEQUENCE(L$1-1))))+$J1815</f>
        <v>0</v>
      </c>
      <c r="M1815" s="3"/>
      <c r="N1815" s="3"/>
    </row>
    <row r="1816" spans="2:14" hidden="1" x14ac:dyDescent="0.2">
      <c r="B1816" s="3">
        <v>82201</v>
      </c>
      <c r="C1816" s="3">
        <v>0</v>
      </c>
      <c r="D1816">
        <v>1813</v>
      </c>
      <c r="E1816" t="str">
        <f>VLOOKUP(B1816,Nuclides!A:F,5,FALSE)</f>
        <v>Pb201</v>
      </c>
      <c r="F1816">
        <f>VLOOKUP(B1816,Nuclides!A:F,4,FALSE)</f>
        <v>33588</v>
      </c>
      <c r="G1816" s="3" t="str">
        <f t="shared" si="143"/>
        <v>9.33h</v>
      </c>
      <c r="H1816" s="3">
        <f t="shared" si="144"/>
        <v>2.0636750641894285E-5</v>
      </c>
      <c r="I1816" s="3">
        <f t="shared" si="145"/>
        <v>0</v>
      </c>
      <c r="J1816" s="3">
        <f t="shared" si="146"/>
        <v>0</v>
      </c>
      <c r="K1816" s="3" t="str">
        <f t="shared" si="147"/>
        <v>Pb201</v>
      </c>
      <c r="L1816" s="3" cm="1">
        <f t="array" ref="L1816">SUM(($J1816*EXP(-$H1816*12*3600*_xlfn.SEQUENCE(L$1-1))))+$J1816</f>
        <v>0</v>
      </c>
      <c r="M1816" s="3"/>
      <c r="N1816" s="3"/>
    </row>
    <row r="1817" spans="2:14" hidden="1" x14ac:dyDescent="0.2">
      <c r="B1817" s="3">
        <v>82202</v>
      </c>
      <c r="C1817" s="3">
        <v>0</v>
      </c>
      <c r="D1817">
        <v>1814</v>
      </c>
      <c r="E1817" t="str">
        <f>VLOOKUP(B1817,Nuclides!A:F,5,FALSE)</f>
        <v>Pb202</v>
      </c>
      <c r="F1817">
        <f>VLOOKUP(B1817,Nuclides!A:F,4,FALSE)</f>
        <v>1656774000000</v>
      </c>
      <c r="G1817" s="3" t="str">
        <f t="shared" si="143"/>
        <v>52535.96y</v>
      </c>
      <c r="H1817" s="3">
        <f t="shared" si="144"/>
        <v>4.183715947739072E-13</v>
      </c>
      <c r="I1817" s="3">
        <f t="shared" si="145"/>
        <v>0</v>
      </c>
      <c r="J1817" s="3">
        <f t="shared" si="146"/>
        <v>0</v>
      </c>
      <c r="K1817" s="3" t="str">
        <f t="shared" si="147"/>
        <v>Pb202</v>
      </c>
      <c r="L1817" s="3" cm="1">
        <f t="array" ref="L1817">SUM(($J1817*EXP(-$H1817*12*3600*_xlfn.SEQUENCE(L$1-1))))+$J1817</f>
        <v>0</v>
      </c>
      <c r="M1817" s="3"/>
      <c r="N1817" s="3"/>
    </row>
    <row r="1818" spans="2:14" hidden="1" x14ac:dyDescent="0.2">
      <c r="B1818" s="3">
        <v>82203</v>
      </c>
      <c r="C1818" s="3">
        <v>0</v>
      </c>
      <c r="D1818">
        <v>1815</v>
      </c>
      <c r="E1818" t="str">
        <f>VLOOKUP(B1818,Nuclides!A:F,5,FALSE)</f>
        <v>Pb203</v>
      </c>
      <c r="F1818">
        <f>VLOOKUP(B1818,Nuclides!A:F,4,FALSE)</f>
        <v>186912</v>
      </c>
      <c r="G1818" s="3" t="str">
        <f t="shared" si="143"/>
        <v>2.16d</v>
      </c>
      <c r="H1818" s="3">
        <f t="shared" si="144"/>
        <v>3.7084145510183686E-6</v>
      </c>
      <c r="I1818" s="3">
        <f t="shared" si="145"/>
        <v>0</v>
      </c>
      <c r="J1818" s="3">
        <f t="shared" si="146"/>
        <v>0</v>
      </c>
      <c r="K1818" s="3" t="str">
        <f t="shared" si="147"/>
        <v>Pb203</v>
      </c>
      <c r="L1818" s="3" cm="1">
        <f t="array" ref="L1818">SUM(($J1818*EXP(-$H1818*12*3600*_xlfn.SEQUENCE(L$1-1))))+$J1818</f>
        <v>0</v>
      </c>
      <c r="M1818" s="3"/>
      <c r="N1818" s="3"/>
    </row>
    <row r="1819" spans="2:14" hidden="1" x14ac:dyDescent="0.2">
      <c r="B1819" s="3">
        <v>82204</v>
      </c>
      <c r="C1819" s="3">
        <v>0</v>
      </c>
      <c r="D1819">
        <v>1816</v>
      </c>
      <c r="E1819" t="str">
        <f>VLOOKUP(B1819,Nuclides!A:F,5,FALSE)</f>
        <v>Pb204</v>
      </c>
      <c r="F1819">
        <f>VLOOKUP(B1819,Nuclides!A:F,4,FALSE)</f>
        <v>4.418064E+24</v>
      </c>
      <c r="G1819" s="3" t="str">
        <f t="shared" si="143"/>
        <v>140095890410959000y</v>
      </c>
      <c r="H1819" s="3">
        <f t="shared" si="144"/>
        <v>1.5688934804021518E-25</v>
      </c>
      <c r="I1819" s="3">
        <f t="shared" si="145"/>
        <v>0</v>
      </c>
      <c r="J1819" s="3">
        <f t="shared" si="146"/>
        <v>0</v>
      </c>
      <c r="K1819" s="3" t="str">
        <f t="shared" si="147"/>
        <v>Pb204</v>
      </c>
      <c r="L1819" s="3" cm="1">
        <f t="array" ref="L1819">SUM(($J1819*EXP(-$H1819*12*3600*_xlfn.SEQUENCE(L$1-1))))+$J1819</f>
        <v>0</v>
      </c>
      <c r="M1819" s="3"/>
      <c r="N1819" s="3"/>
    </row>
    <row r="1820" spans="2:14" hidden="1" x14ac:dyDescent="0.2">
      <c r="B1820" s="3">
        <v>82205</v>
      </c>
      <c r="C1820" s="3">
        <v>0</v>
      </c>
      <c r="D1820">
        <v>1817</v>
      </c>
      <c r="E1820" t="str">
        <f>VLOOKUP(B1820,Nuclides!A:F,5,FALSE)</f>
        <v>Pb205</v>
      </c>
      <c r="F1820">
        <f>VLOOKUP(B1820,Nuclides!A:F,4,FALSE)</f>
        <v>545946480000000</v>
      </c>
      <c r="G1820" s="3" t="str">
        <f t="shared" si="143"/>
        <v>17311849.32y</v>
      </c>
      <c r="H1820" s="3">
        <f t="shared" si="144"/>
        <v>1.2696247818283309E-15</v>
      </c>
      <c r="I1820" s="3">
        <f t="shared" si="145"/>
        <v>0</v>
      </c>
      <c r="J1820" s="3">
        <f t="shared" si="146"/>
        <v>0</v>
      </c>
      <c r="K1820" s="3" t="str">
        <f t="shared" si="147"/>
        <v>Pb205</v>
      </c>
      <c r="L1820" s="3" cm="1">
        <f t="array" ref="L1820">SUM(($J1820*EXP(-$H1820*12*3600*_xlfn.SEQUENCE(L$1-1))))+$J1820</f>
        <v>0</v>
      </c>
      <c r="M1820" s="3"/>
      <c r="N1820" s="3"/>
    </row>
    <row r="1821" spans="2:14" hidden="1" x14ac:dyDescent="0.2">
      <c r="B1821" s="3">
        <v>82206</v>
      </c>
      <c r="C1821" s="3">
        <v>0</v>
      </c>
      <c r="D1821">
        <v>1818</v>
      </c>
      <c r="E1821" t="str">
        <f>VLOOKUP(B1821,Nuclides!A:F,5,FALSE)</f>
        <v>Pb206</v>
      </c>
      <c r="F1821" t="str">
        <f>VLOOKUP(B1821,Nuclides!A:F,4,FALSE)</f>
        <v>STABLE</v>
      </c>
      <c r="G1821" s="3" t="str">
        <f t="shared" si="143"/>
        <v>STABLE</v>
      </c>
      <c r="H1821" s="3" t="e">
        <f t="shared" si="144"/>
        <v>#VALUE!</v>
      </c>
      <c r="I1821" s="3" t="e">
        <f t="shared" si="145"/>
        <v>#VALUE!</v>
      </c>
      <c r="J1821" s="3" t="e">
        <f t="shared" si="146"/>
        <v>#VALUE!</v>
      </c>
      <c r="K1821" s="3" t="str">
        <f t="shared" si="147"/>
        <v>Pb206</v>
      </c>
      <c r="L1821" s="3" t="e" cm="1">
        <f t="array" ref="L1821">SUM(($J1821*EXP(-$H1821*12*3600*_xlfn.SEQUENCE(L$1-1))))+$J1821</f>
        <v>#VALUE!</v>
      </c>
      <c r="M1821" s="3"/>
      <c r="N1821" s="3"/>
    </row>
    <row r="1822" spans="2:14" hidden="1" x14ac:dyDescent="0.2">
      <c r="B1822" s="3">
        <v>82207</v>
      </c>
      <c r="C1822" s="3">
        <v>0</v>
      </c>
      <c r="D1822">
        <v>1819</v>
      </c>
      <c r="E1822" t="str">
        <f>VLOOKUP(B1822,Nuclides!A:F,5,FALSE)</f>
        <v>Pb207</v>
      </c>
      <c r="F1822" t="str">
        <f>VLOOKUP(B1822,Nuclides!A:F,4,FALSE)</f>
        <v>STABLE</v>
      </c>
      <c r="G1822" s="3" t="str">
        <f t="shared" si="143"/>
        <v>STABLE</v>
      </c>
      <c r="H1822" s="3" t="e">
        <f t="shared" si="144"/>
        <v>#VALUE!</v>
      </c>
      <c r="I1822" s="3" t="e">
        <f t="shared" si="145"/>
        <v>#VALUE!</v>
      </c>
      <c r="J1822" s="3" t="e">
        <f t="shared" si="146"/>
        <v>#VALUE!</v>
      </c>
      <c r="K1822" s="3" t="str">
        <f t="shared" si="147"/>
        <v>Pb207</v>
      </c>
      <c r="L1822" s="3" t="e" cm="1">
        <f t="array" ref="L1822">SUM(($J1822*EXP(-$H1822*12*3600*_xlfn.SEQUENCE(L$1-1))))+$J1822</f>
        <v>#VALUE!</v>
      </c>
      <c r="M1822" s="3"/>
      <c r="N1822" s="3"/>
    </row>
    <row r="1823" spans="2:14" hidden="1" x14ac:dyDescent="0.2">
      <c r="B1823" s="3">
        <v>82208</v>
      </c>
      <c r="C1823" s="3">
        <v>0</v>
      </c>
      <c r="D1823">
        <v>1820</v>
      </c>
      <c r="E1823" t="str">
        <f>VLOOKUP(B1823,Nuclides!A:F,5,FALSE)</f>
        <v>Pb208</v>
      </c>
      <c r="F1823" t="str">
        <f>VLOOKUP(B1823,Nuclides!A:F,4,FALSE)</f>
        <v>STABLE</v>
      </c>
      <c r="G1823" s="3" t="str">
        <f t="shared" si="143"/>
        <v>STABLE</v>
      </c>
      <c r="H1823" s="3" t="e">
        <f t="shared" si="144"/>
        <v>#VALUE!</v>
      </c>
      <c r="I1823" s="3" t="e">
        <f t="shared" si="145"/>
        <v>#VALUE!</v>
      </c>
      <c r="J1823" s="3" t="e">
        <f t="shared" si="146"/>
        <v>#VALUE!</v>
      </c>
      <c r="K1823" s="3" t="str">
        <f t="shared" si="147"/>
        <v>Pb208</v>
      </c>
      <c r="L1823" s="3" t="e" cm="1">
        <f t="array" ref="L1823">SUM(($J1823*EXP(-$H1823*12*3600*_xlfn.SEQUENCE(L$1-1))))+$J1823</f>
        <v>#VALUE!</v>
      </c>
      <c r="M1823" s="3"/>
      <c r="N1823" s="3"/>
    </row>
    <row r="1824" spans="2:14" hidden="1" x14ac:dyDescent="0.2">
      <c r="B1824" s="3">
        <v>82209</v>
      </c>
      <c r="C1824" s="3">
        <v>0</v>
      </c>
      <c r="D1824">
        <v>1821</v>
      </c>
      <c r="E1824" t="str">
        <f>VLOOKUP(B1824,Nuclides!A:F,5,FALSE)</f>
        <v>Pb209</v>
      </c>
      <c r="F1824">
        <f>VLOOKUP(B1824,Nuclides!A:F,4,FALSE)</f>
        <v>11642.4</v>
      </c>
      <c r="G1824" s="3" t="str">
        <f t="shared" si="143"/>
        <v>3.23h</v>
      </c>
      <c r="H1824" s="3">
        <f t="shared" si="144"/>
        <v>5.953645129526088E-5</v>
      </c>
      <c r="I1824" s="3">
        <f t="shared" si="145"/>
        <v>0</v>
      </c>
      <c r="J1824" s="3">
        <f t="shared" si="146"/>
        <v>0</v>
      </c>
      <c r="K1824" s="3" t="str">
        <f t="shared" si="147"/>
        <v>Pb209</v>
      </c>
      <c r="L1824" s="3" cm="1">
        <f t="array" ref="L1824">SUM(($J1824*EXP(-$H1824*12*3600*_xlfn.SEQUENCE(L$1-1))))+$J1824</f>
        <v>0</v>
      </c>
      <c r="M1824" s="3"/>
      <c r="N1824" s="3"/>
    </row>
    <row r="1825" spans="2:14" hidden="1" x14ac:dyDescent="0.2">
      <c r="B1825" s="3">
        <v>82210</v>
      </c>
      <c r="C1825" s="3">
        <v>0</v>
      </c>
      <c r="D1825">
        <v>1822</v>
      </c>
      <c r="E1825" t="str">
        <f>VLOOKUP(B1825,Nuclides!A:F,5,FALSE)</f>
        <v>Pb210</v>
      </c>
      <c r="F1825">
        <f>VLOOKUP(B1825,Nuclides!A:F,4,FALSE)</f>
        <v>700578720</v>
      </c>
      <c r="G1825" s="3" t="str">
        <f t="shared" si="143"/>
        <v>22.22y</v>
      </c>
      <c r="H1825" s="3">
        <f t="shared" si="144"/>
        <v>9.8939228493829396E-10</v>
      </c>
      <c r="I1825" s="3">
        <f t="shared" si="145"/>
        <v>0</v>
      </c>
      <c r="J1825" s="3">
        <f t="shared" si="146"/>
        <v>0</v>
      </c>
      <c r="K1825" s="3" t="str">
        <f t="shared" si="147"/>
        <v>Pb210</v>
      </c>
      <c r="L1825" s="3" cm="1">
        <f t="array" ref="L1825">SUM(($J1825*EXP(-$H1825*12*3600*_xlfn.SEQUENCE(L$1-1))))+$J1825</f>
        <v>0</v>
      </c>
      <c r="M1825" s="3"/>
      <c r="N1825" s="3"/>
    </row>
    <row r="1826" spans="2:14" hidden="1" x14ac:dyDescent="0.2">
      <c r="B1826" s="3">
        <v>82211</v>
      </c>
      <c r="C1826" s="3">
        <v>0</v>
      </c>
      <c r="D1826">
        <v>1823</v>
      </c>
      <c r="E1826" t="str">
        <f>VLOOKUP(B1826,Nuclides!A:F,5,FALSE)</f>
        <v>Pb211</v>
      </c>
      <c r="F1826">
        <f>VLOOKUP(B1826,Nuclides!A:F,4,FALSE)</f>
        <v>2166</v>
      </c>
      <c r="G1826" s="3" t="str">
        <f t="shared" si="143"/>
        <v>36.1min</v>
      </c>
      <c r="H1826" s="3">
        <f t="shared" si="144"/>
        <v>3.2001254873497011E-4</v>
      </c>
      <c r="I1826" s="3">
        <f t="shared" si="145"/>
        <v>0</v>
      </c>
      <c r="J1826" s="3">
        <f t="shared" si="146"/>
        <v>0</v>
      </c>
      <c r="K1826" s="3" t="str">
        <f t="shared" si="147"/>
        <v>Pb211</v>
      </c>
      <c r="L1826" s="3" cm="1">
        <f t="array" ref="L1826">SUM(($J1826*EXP(-$H1826*12*3600*_xlfn.SEQUENCE(L$1-1))))+$J1826</f>
        <v>0</v>
      </c>
      <c r="M1826" s="3"/>
      <c r="N1826" s="3"/>
    </row>
    <row r="1827" spans="2:14" hidden="1" x14ac:dyDescent="0.2">
      <c r="B1827" s="3">
        <v>82212</v>
      </c>
      <c r="C1827" s="3">
        <v>0</v>
      </c>
      <c r="D1827">
        <v>1824</v>
      </c>
      <c r="E1827" t="str">
        <f>VLOOKUP(B1827,Nuclides!A:F,5,FALSE)</f>
        <v>Pb212</v>
      </c>
      <c r="F1827">
        <f>VLOOKUP(B1827,Nuclides!A:F,4,FALSE)</f>
        <v>38304</v>
      </c>
      <c r="G1827" s="3" t="str">
        <f t="shared" si="143"/>
        <v>10.64h</v>
      </c>
      <c r="H1827" s="3">
        <f t="shared" si="144"/>
        <v>1.8095947696322715E-5</v>
      </c>
      <c r="I1827" s="3">
        <f t="shared" si="145"/>
        <v>0</v>
      </c>
      <c r="J1827" s="3">
        <f t="shared" si="146"/>
        <v>0</v>
      </c>
      <c r="K1827" s="3" t="str">
        <f t="shared" si="147"/>
        <v>Pb212</v>
      </c>
      <c r="L1827" s="3" cm="1">
        <f t="array" ref="L1827">SUM(($J1827*EXP(-$H1827*12*3600*_xlfn.SEQUENCE(L$1-1))))+$J1827</f>
        <v>0</v>
      </c>
      <c r="M1827" s="3"/>
      <c r="N1827" s="3"/>
    </row>
    <row r="1828" spans="2:14" hidden="1" x14ac:dyDescent="0.2">
      <c r="B1828" s="3">
        <v>82213</v>
      </c>
      <c r="C1828" s="3">
        <v>0</v>
      </c>
      <c r="D1828">
        <v>1825</v>
      </c>
      <c r="E1828" t="str">
        <f>VLOOKUP(B1828,Nuclides!A:F,5,FALSE)</f>
        <v>Pb213</v>
      </c>
      <c r="F1828">
        <f>VLOOKUP(B1828,Nuclides!A:F,4,FALSE)</f>
        <v>612</v>
      </c>
      <c r="G1828" s="3" t="str">
        <f t="shared" si="143"/>
        <v>10.2min</v>
      </c>
      <c r="H1828" s="3">
        <f t="shared" si="144"/>
        <v>1.1325934322874924E-3</v>
      </c>
      <c r="I1828" s="3">
        <f t="shared" si="145"/>
        <v>0</v>
      </c>
      <c r="J1828" s="3">
        <f t="shared" si="146"/>
        <v>0</v>
      </c>
      <c r="K1828" s="3" t="str">
        <f t="shared" si="147"/>
        <v>Pb213</v>
      </c>
      <c r="L1828" s="3" cm="1">
        <f t="array" ref="L1828">SUM(($J1828*EXP(-$H1828*12*3600*_xlfn.SEQUENCE(L$1-1))))+$J1828</f>
        <v>0</v>
      </c>
      <c r="M1828" s="3"/>
      <c r="N1828" s="3"/>
    </row>
    <row r="1829" spans="2:14" hidden="1" x14ac:dyDescent="0.2">
      <c r="B1829" s="3">
        <v>82214</v>
      </c>
      <c r="C1829" s="3">
        <v>0</v>
      </c>
      <c r="D1829">
        <v>1826</v>
      </c>
      <c r="E1829" t="str">
        <f>VLOOKUP(B1829,Nuclides!A:F,5,FALSE)</f>
        <v>Pb214</v>
      </c>
      <c r="F1829">
        <f>VLOOKUP(B1829,Nuclides!A:F,4,FALSE)</f>
        <v>1623.6</v>
      </c>
      <c r="G1829" s="3" t="str">
        <f t="shared" si="143"/>
        <v>27.06min</v>
      </c>
      <c r="H1829" s="3">
        <f t="shared" si="144"/>
        <v>4.2691991904406584E-4</v>
      </c>
      <c r="I1829" s="3">
        <f t="shared" si="145"/>
        <v>0</v>
      </c>
      <c r="J1829" s="3">
        <f t="shared" si="146"/>
        <v>0</v>
      </c>
      <c r="K1829" s="3" t="str">
        <f t="shared" si="147"/>
        <v>Pb214</v>
      </c>
      <c r="L1829" s="3" cm="1">
        <f t="array" ref="L1829">SUM(($J1829*EXP(-$H1829*12*3600*_xlfn.SEQUENCE(L$1-1))))+$J1829</f>
        <v>0</v>
      </c>
      <c r="M1829" s="3"/>
      <c r="N1829" s="3"/>
    </row>
    <row r="1830" spans="2:14" hidden="1" x14ac:dyDescent="0.2">
      <c r="B1830" s="3">
        <v>83188</v>
      </c>
      <c r="C1830" s="3">
        <v>0</v>
      </c>
      <c r="D1830">
        <v>1827</v>
      </c>
      <c r="E1830" t="str">
        <f>VLOOKUP(B1830,Nuclides!A:F,5,FALSE)</f>
        <v>Bi188</v>
      </c>
      <c r="F1830">
        <f>VLOOKUP(B1830,Nuclides!A:F,4,FALSE)</f>
        <v>0.26500000000000001</v>
      </c>
      <c r="G1830" s="3" t="str">
        <f t="shared" si="143"/>
        <v>0.265s</v>
      </c>
      <c r="H1830" s="3">
        <f t="shared" si="144"/>
        <v>2.6156497379620576</v>
      </c>
      <c r="I1830" s="3">
        <f t="shared" si="145"/>
        <v>0</v>
      </c>
      <c r="J1830" s="3">
        <f t="shared" si="146"/>
        <v>0</v>
      </c>
      <c r="K1830" s="3" t="str">
        <f t="shared" si="147"/>
        <v>Bi188</v>
      </c>
      <c r="L1830" s="3" cm="1">
        <f t="array" ref="L1830">SUM(($J1830*EXP(-$H1830*12*3600*_xlfn.SEQUENCE(L$1-1))))+$J1830</f>
        <v>0</v>
      </c>
      <c r="M1830" s="3"/>
      <c r="N1830" s="3"/>
    </row>
    <row r="1831" spans="2:14" hidden="1" x14ac:dyDescent="0.2">
      <c r="B1831" s="3">
        <v>83189</v>
      </c>
      <c r="C1831" s="3">
        <v>0</v>
      </c>
      <c r="D1831">
        <v>1828</v>
      </c>
      <c r="E1831" t="str">
        <f>VLOOKUP(B1831,Nuclides!A:F,5,FALSE)</f>
        <v>Bi189</v>
      </c>
      <c r="F1831">
        <f>VLOOKUP(B1831,Nuclides!A:F,4,FALSE)</f>
        <v>0.67400000000000004</v>
      </c>
      <c r="G1831" s="3" t="str">
        <f t="shared" si="143"/>
        <v>0.674s</v>
      </c>
      <c r="H1831" s="3">
        <f t="shared" si="144"/>
        <v>1.02840827976253</v>
      </c>
      <c r="I1831" s="3">
        <f t="shared" si="145"/>
        <v>0</v>
      </c>
      <c r="J1831" s="3">
        <f t="shared" si="146"/>
        <v>0</v>
      </c>
      <c r="K1831" s="3" t="str">
        <f t="shared" si="147"/>
        <v>Bi189</v>
      </c>
      <c r="L1831" s="3" cm="1">
        <f t="array" ref="L1831">SUM(($J1831*EXP(-$H1831*12*3600*_xlfn.SEQUENCE(L$1-1))))+$J1831</f>
        <v>0</v>
      </c>
      <c r="M1831" s="3"/>
      <c r="N1831" s="3"/>
    </row>
    <row r="1832" spans="2:14" hidden="1" x14ac:dyDescent="0.2">
      <c r="B1832" s="3">
        <v>83190</v>
      </c>
      <c r="C1832" s="3">
        <v>0</v>
      </c>
      <c r="D1832">
        <v>1829</v>
      </c>
      <c r="E1832" t="str">
        <f>VLOOKUP(B1832,Nuclides!A:F,5,FALSE)</f>
        <v>Bi190</v>
      </c>
      <c r="F1832">
        <f>VLOOKUP(B1832,Nuclides!A:F,4,FALSE)</f>
        <v>6.3</v>
      </c>
      <c r="G1832" s="3" t="str">
        <f t="shared" si="143"/>
        <v>6.3s</v>
      </c>
      <c r="H1832" s="3">
        <f t="shared" si="144"/>
        <v>0.11002336199364211</v>
      </c>
      <c r="I1832" s="3">
        <f t="shared" si="145"/>
        <v>0</v>
      </c>
      <c r="J1832" s="3">
        <f t="shared" si="146"/>
        <v>0</v>
      </c>
      <c r="K1832" s="3" t="str">
        <f t="shared" si="147"/>
        <v>Bi190</v>
      </c>
      <c r="L1832" s="3" cm="1">
        <f t="array" ref="L1832">SUM(($J1832*EXP(-$H1832*12*3600*_xlfn.SEQUENCE(L$1-1))))+$J1832</f>
        <v>0</v>
      </c>
      <c r="M1832" s="3"/>
      <c r="N1832" s="3"/>
    </row>
    <row r="1833" spans="2:14" hidden="1" x14ac:dyDescent="0.2">
      <c r="B1833" s="3">
        <v>83191</v>
      </c>
      <c r="C1833" s="3">
        <v>0</v>
      </c>
      <c r="D1833">
        <v>1830</v>
      </c>
      <c r="E1833" t="str">
        <f>VLOOKUP(B1833,Nuclides!A:F,5,FALSE)</f>
        <v>Bi191</v>
      </c>
      <c r="F1833">
        <f>VLOOKUP(B1833,Nuclides!A:F,4,FALSE)</f>
        <v>12.4</v>
      </c>
      <c r="G1833" s="3" t="str">
        <f t="shared" si="143"/>
        <v>12.4s</v>
      </c>
      <c r="H1833" s="3">
        <f t="shared" si="144"/>
        <v>5.5898966174189137E-2</v>
      </c>
      <c r="I1833" s="3">
        <f t="shared" si="145"/>
        <v>0</v>
      </c>
      <c r="J1833" s="3">
        <f t="shared" si="146"/>
        <v>0</v>
      </c>
      <c r="K1833" s="3" t="str">
        <f t="shared" si="147"/>
        <v>Bi191</v>
      </c>
      <c r="L1833" s="3" cm="1">
        <f t="array" ref="L1833">SUM(($J1833*EXP(-$H1833*12*3600*_xlfn.SEQUENCE(L$1-1))))+$J1833</f>
        <v>0</v>
      </c>
      <c r="M1833" s="3"/>
      <c r="N1833" s="3"/>
    </row>
    <row r="1834" spans="2:14" hidden="1" x14ac:dyDescent="0.2">
      <c r="B1834" s="3">
        <v>83192</v>
      </c>
      <c r="C1834" s="3">
        <v>0</v>
      </c>
      <c r="D1834">
        <v>1831</v>
      </c>
      <c r="E1834" t="str">
        <f>VLOOKUP(B1834,Nuclides!A:F,5,FALSE)</f>
        <v>Bi192</v>
      </c>
      <c r="F1834">
        <f>VLOOKUP(B1834,Nuclides!A:F,4,FALSE)</f>
        <v>34.6</v>
      </c>
      <c r="G1834" s="3" t="str">
        <f t="shared" si="143"/>
        <v>34.6s</v>
      </c>
      <c r="H1834" s="3">
        <f t="shared" si="144"/>
        <v>2.0033155507512869E-2</v>
      </c>
      <c r="I1834" s="3">
        <f t="shared" si="145"/>
        <v>0</v>
      </c>
      <c r="J1834" s="3">
        <f t="shared" si="146"/>
        <v>0</v>
      </c>
      <c r="K1834" s="3" t="str">
        <f t="shared" si="147"/>
        <v>Bi192</v>
      </c>
      <c r="L1834" s="3" cm="1">
        <f t="array" ref="L1834">SUM(($J1834*EXP(-$H1834*12*3600*_xlfn.SEQUENCE(L$1-1))))+$J1834</f>
        <v>0</v>
      </c>
      <c r="M1834" s="3"/>
      <c r="N1834" s="3"/>
    </row>
    <row r="1835" spans="2:14" hidden="1" x14ac:dyDescent="0.2">
      <c r="B1835" s="3">
        <v>83193</v>
      </c>
      <c r="C1835" s="3">
        <v>0</v>
      </c>
      <c r="D1835">
        <v>1832</v>
      </c>
      <c r="E1835" t="str">
        <f>VLOOKUP(B1835,Nuclides!A:F,5,FALSE)</f>
        <v>Bi193</v>
      </c>
      <c r="F1835">
        <f>VLOOKUP(B1835,Nuclides!A:F,4,FALSE)</f>
        <v>63.6</v>
      </c>
      <c r="G1835" s="3" t="str">
        <f t="shared" si="143"/>
        <v>1.06min</v>
      </c>
      <c r="H1835" s="3">
        <f t="shared" si="144"/>
        <v>1.0898540574841907E-2</v>
      </c>
      <c r="I1835" s="3">
        <f t="shared" si="145"/>
        <v>0</v>
      </c>
      <c r="J1835" s="3">
        <f t="shared" si="146"/>
        <v>0</v>
      </c>
      <c r="K1835" s="3" t="str">
        <f t="shared" si="147"/>
        <v>Bi193</v>
      </c>
      <c r="L1835" s="3" cm="1">
        <f t="array" ref="L1835">SUM(($J1835*EXP(-$H1835*12*3600*_xlfn.SEQUENCE(L$1-1))))+$J1835</f>
        <v>0</v>
      </c>
      <c r="M1835" s="3"/>
      <c r="N1835" s="3"/>
    </row>
    <row r="1836" spans="2:14" hidden="1" x14ac:dyDescent="0.2">
      <c r="B1836" s="3">
        <v>83194</v>
      </c>
      <c r="C1836" s="3">
        <v>0</v>
      </c>
      <c r="D1836">
        <v>1833</v>
      </c>
      <c r="E1836" t="str">
        <f>VLOOKUP(B1836,Nuclides!A:F,5,FALSE)</f>
        <v>Bi194</v>
      </c>
      <c r="F1836">
        <f>VLOOKUP(B1836,Nuclides!A:F,4,FALSE)</f>
        <v>95</v>
      </c>
      <c r="G1836" s="3" t="str">
        <f t="shared" si="143"/>
        <v>1.58min</v>
      </c>
      <c r="H1836" s="3">
        <f t="shared" si="144"/>
        <v>7.2962861111573185E-3</v>
      </c>
      <c r="I1836" s="3">
        <f t="shared" si="145"/>
        <v>0</v>
      </c>
      <c r="J1836" s="3">
        <f t="shared" si="146"/>
        <v>0</v>
      </c>
      <c r="K1836" s="3" t="str">
        <f t="shared" si="147"/>
        <v>Bi194</v>
      </c>
      <c r="L1836" s="3" cm="1">
        <f t="array" ref="L1836">SUM(($J1836*EXP(-$H1836*12*3600*_xlfn.SEQUENCE(L$1-1))))+$J1836</f>
        <v>0</v>
      </c>
      <c r="M1836" s="3"/>
      <c r="N1836" s="3"/>
    </row>
    <row r="1837" spans="2:14" hidden="1" x14ac:dyDescent="0.2">
      <c r="B1837" s="3">
        <v>83195</v>
      </c>
      <c r="C1837" s="3">
        <v>0</v>
      </c>
      <c r="D1837">
        <v>1834</v>
      </c>
      <c r="E1837" t="str">
        <f>VLOOKUP(B1837,Nuclides!A:F,5,FALSE)</f>
        <v>Bi195</v>
      </c>
      <c r="F1837">
        <f>VLOOKUP(B1837,Nuclides!A:F,4,FALSE)</f>
        <v>183</v>
      </c>
      <c r="G1837" s="3" t="str">
        <f t="shared" si="143"/>
        <v>3.05min</v>
      </c>
      <c r="H1837" s="3">
        <f t="shared" si="144"/>
        <v>3.7876895112565318E-3</v>
      </c>
      <c r="I1837" s="3">
        <f t="shared" si="145"/>
        <v>0</v>
      </c>
      <c r="J1837" s="3">
        <f t="shared" si="146"/>
        <v>0</v>
      </c>
      <c r="K1837" s="3" t="str">
        <f t="shared" si="147"/>
        <v>Bi195</v>
      </c>
      <c r="L1837" s="3" cm="1">
        <f t="array" ref="L1837">SUM(($J1837*EXP(-$H1837*12*3600*_xlfn.SEQUENCE(L$1-1))))+$J1837</f>
        <v>0</v>
      </c>
      <c r="M1837" s="3"/>
      <c r="N1837" s="3"/>
    </row>
    <row r="1838" spans="2:14" hidden="1" x14ac:dyDescent="0.2">
      <c r="B1838" s="3">
        <v>83196</v>
      </c>
      <c r="C1838" s="3">
        <v>0</v>
      </c>
      <c r="D1838">
        <v>1835</v>
      </c>
      <c r="E1838" t="str">
        <f>VLOOKUP(B1838,Nuclides!A:F,5,FALSE)</f>
        <v>Bi196</v>
      </c>
      <c r="F1838">
        <f>VLOOKUP(B1838,Nuclides!A:F,4,FALSE)</f>
        <v>308</v>
      </c>
      <c r="G1838" s="3" t="str">
        <f t="shared" si="143"/>
        <v>5.13min</v>
      </c>
      <c r="H1838" s="3">
        <f t="shared" si="144"/>
        <v>2.2504778589608615E-3</v>
      </c>
      <c r="I1838" s="3">
        <f t="shared" si="145"/>
        <v>0</v>
      </c>
      <c r="J1838" s="3">
        <f t="shared" si="146"/>
        <v>0</v>
      </c>
      <c r="K1838" s="3" t="str">
        <f t="shared" si="147"/>
        <v>Bi196</v>
      </c>
      <c r="L1838" s="3" cm="1">
        <f t="array" ref="L1838">SUM(($J1838*EXP(-$H1838*12*3600*_xlfn.SEQUENCE(L$1-1))))+$J1838</f>
        <v>0</v>
      </c>
      <c r="M1838" s="3"/>
      <c r="N1838" s="3"/>
    </row>
    <row r="1839" spans="2:14" hidden="1" x14ac:dyDescent="0.2">
      <c r="B1839" s="3">
        <v>83197</v>
      </c>
      <c r="C1839" s="3">
        <v>0</v>
      </c>
      <c r="D1839">
        <v>1836</v>
      </c>
      <c r="E1839" t="str">
        <f>VLOOKUP(B1839,Nuclides!A:F,5,FALSE)</f>
        <v>Bi197</v>
      </c>
      <c r="F1839">
        <f>VLOOKUP(B1839,Nuclides!A:F,4,FALSE)</f>
        <v>559.79999999999995</v>
      </c>
      <c r="G1839" s="3" t="str">
        <f t="shared" si="143"/>
        <v>9.33min</v>
      </c>
      <c r="H1839" s="3">
        <f t="shared" si="144"/>
        <v>1.2382050385136574E-3</v>
      </c>
      <c r="I1839" s="3">
        <f t="shared" si="145"/>
        <v>0</v>
      </c>
      <c r="J1839" s="3">
        <f t="shared" si="146"/>
        <v>0</v>
      </c>
      <c r="K1839" s="3" t="str">
        <f t="shared" si="147"/>
        <v>Bi197</v>
      </c>
      <c r="L1839" s="3" cm="1">
        <f t="array" ref="L1839">SUM(($J1839*EXP(-$H1839*12*3600*_xlfn.SEQUENCE(L$1-1))))+$J1839</f>
        <v>0</v>
      </c>
      <c r="M1839" s="3"/>
      <c r="N1839" s="3"/>
    </row>
    <row r="1840" spans="2:14" hidden="1" x14ac:dyDescent="0.2">
      <c r="B1840" s="3">
        <v>83198</v>
      </c>
      <c r="C1840" s="3">
        <v>0</v>
      </c>
      <c r="D1840">
        <v>1837</v>
      </c>
      <c r="E1840" t="str">
        <f>VLOOKUP(B1840,Nuclides!A:F,5,FALSE)</f>
        <v>Bi198</v>
      </c>
      <c r="F1840">
        <f>VLOOKUP(B1840,Nuclides!A:F,4,FALSE)</f>
        <v>618</v>
      </c>
      <c r="G1840" s="3" t="str">
        <f t="shared" si="143"/>
        <v>10.3min</v>
      </c>
      <c r="H1840" s="3">
        <f t="shared" si="144"/>
        <v>1.1215973795468371E-3</v>
      </c>
      <c r="I1840" s="3">
        <f t="shared" si="145"/>
        <v>0</v>
      </c>
      <c r="J1840" s="3">
        <f t="shared" si="146"/>
        <v>0</v>
      </c>
      <c r="K1840" s="3" t="str">
        <f t="shared" si="147"/>
        <v>Bi198</v>
      </c>
      <c r="L1840" s="3" cm="1">
        <f t="array" ref="L1840">SUM(($J1840*EXP(-$H1840*12*3600*_xlfn.SEQUENCE(L$1-1))))+$J1840</f>
        <v>0</v>
      </c>
      <c r="M1840" s="3"/>
      <c r="N1840" s="3"/>
    </row>
    <row r="1841" spans="2:14" hidden="1" x14ac:dyDescent="0.2">
      <c r="B1841" s="3">
        <v>83199</v>
      </c>
      <c r="C1841" s="3">
        <v>0</v>
      </c>
      <c r="D1841">
        <v>1838</v>
      </c>
      <c r="E1841" t="str">
        <f>VLOOKUP(B1841,Nuclides!A:F,5,FALSE)</f>
        <v>Bi199</v>
      </c>
      <c r="F1841">
        <f>VLOOKUP(B1841,Nuclides!A:F,4,FALSE)</f>
        <v>1620</v>
      </c>
      <c r="G1841" s="3" t="str">
        <f t="shared" si="143"/>
        <v>27min</v>
      </c>
      <c r="H1841" s="3">
        <f t="shared" si="144"/>
        <v>4.2786862997527489E-4</v>
      </c>
      <c r="I1841" s="3">
        <f t="shared" si="145"/>
        <v>0</v>
      </c>
      <c r="J1841" s="3">
        <f t="shared" si="146"/>
        <v>0</v>
      </c>
      <c r="K1841" s="3" t="str">
        <f t="shared" si="147"/>
        <v>Bi199</v>
      </c>
      <c r="L1841" s="3" cm="1">
        <f t="array" ref="L1841">SUM(($J1841*EXP(-$H1841*12*3600*_xlfn.SEQUENCE(L$1-1))))+$J1841</f>
        <v>0</v>
      </c>
      <c r="M1841" s="3"/>
      <c r="N1841" s="3"/>
    </row>
    <row r="1842" spans="2:14" hidden="1" x14ac:dyDescent="0.2">
      <c r="B1842" s="3">
        <v>83200</v>
      </c>
      <c r="C1842" s="3">
        <v>0</v>
      </c>
      <c r="D1842">
        <v>1839</v>
      </c>
      <c r="E1842" t="str">
        <f>VLOOKUP(B1842,Nuclides!A:F,5,FALSE)</f>
        <v>Bi200</v>
      </c>
      <c r="F1842">
        <f>VLOOKUP(B1842,Nuclides!A:F,4,FALSE)</f>
        <v>2184</v>
      </c>
      <c r="G1842" s="3" t="str">
        <f t="shared" si="143"/>
        <v>36.4min</v>
      </c>
      <c r="H1842" s="3">
        <f t="shared" si="144"/>
        <v>3.1737508267396761E-4</v>
      </c>
      <c r="I1842" s="3">
        <f t="shared" si="145"/>
        <v>0</v>
      </c>
      <c r="J1842" s="3">
        <f t="shared" si="146"/>
        <v>0</v>
      </c>
      <c r="K1842" s="3" t="str">
        <f t="shared" si="147"/>
        <v>Bi200</v>
      </c>
      <c r="L1842" s="3" cm="1">
        <f t="array" ref="L1842">SUM(($J1842*EXP(-$H1842*12*3600*_xlfn.SEQUENCE(L$1-1))))+$J1842</f>
        <v>0</v>
      </c>
      <c r="M1842" s="3"/>
      <c r="N1842" s="3"/>
    </row>
    <row r="1843" spans="2:14" hidden="1" x14ac:dyDescent="0.2">
      <c r="B1843" s="3">
        <v>83201</v>
      </c>
      <c r="C1843" s="3">
        <v>0</v>
      </c>
      <c r="D1843">
        <v>1840</v>
      </c>
      <c r="E1843" t="str">
        <f>VLOOKUP(B1843,Nuclides!A:F,5,FALSE)</f>
        <v>Bi201</v>
      </c>
      <c r="F1843">
        <f>VLOOKUP(B1843,Nuclides!A:F,4,FALSE)</f>
        <v>6180</v>
      </c>
      <c r="G1843" s="3" t="str">
        <f t="shared" si="143"/>
        <v>1.72h</v>
      </c>
      <c r="H1843" s="3">
        <f t="shared" si="144"/>
        <v>1.121597379546837E-4</v>
      </c>
      <c r="I1843" s="3">
        <f t="shared" si="145"/>
        <v>0</v>
      </c>
      <c r="J1843" s="3">
        <f t="shared" si="146"/>
        <v>0</v>
      </c>
      <c r="K1843" s="3" t="str">
        <f t="shared" si="147"/>
        <v>Bi201</v>
      </c>
      <c r="L1843" s="3" cm="1">
        <f t="array" ref="L1843">SUM(($J1843*EXP(-$H1843*12*3600*_xlfn.SEQUENCE(L$1-1))))+$J1843</f>
        <v>0</v>
      </c>
      <c r="M1843" s="3"/>
      <c r="N1843" s="3"/>
    </row>
    <row r="1844" spans="2:14" hidden="1" x14ac:dyDescent="0.2">
      <c r="B1844" s="3">
        <v>83202</v>
      </c>
      <c r="C1844" s="3">
        <v>0</v>
      </c>
      <c r="D1844">
        <v>1841</v>
      </c>
      <c r="E1844" t="str">
        <f>VLOOKUP(B1844,Nuclides!A:F,5,FALSE)</f>
        <v>Bi202</v>
      </c>
      <c r="F1844">
        <f>VLOOKUP(B1844,Nuclides!A:F,4,FALSE)</f>
        <v>6156</v>
      </c>
      <c r="G1844" s="3" t="str">
        <f t="shared" si="143"/>
        <v>1.71h</v>
      </c>
      <c r="H1844" s="3">
        <f t="shared" si="144"/>
        <v>1.1259700788823022E-4</v>
      </c>
      <c r="I1844" s="3">
        <f t="shared" si="145"/>
        <v>0</v>
      </c>
      <c r="J1844" s="3">
        <f t="shared" si="146"/>
        <v>0</v>
      </c>
      <c r="K1844" s="3" t="str">
        <f t="shared" si="147"/>
        <v>Bi202</v>
      </c>
      <c r="L1844" s="3" cm="1">
        <f t="array" ref="L1844">SUM(($J1844*EXP(-$H1844*12*3600*_xlfn.SEQUENCE(L$1-1))))+$J1844</f>
        <v>0</v>
      </c>
      <c r="M1844" s="3"/>
      <c r="N1844" s="3"/>
    </row>
    <row r="1845" spans="2:14" hidden="1" x14ac:dyDescent="0.2">
      <c r="B1845" s="3">
        <v>83203</v>
      </c>
      <c r="C1845" s="3">
        <v>0</v>
      </c>
      <c r="D1845">
        <v>1842</v>
      </c>
      <c r="E1845" t="str">
        <f>VLOOKUP(B1845,Nuclides!A:F,5,FALSE)</f>
        <v>Bi203</v>
      </c>
      <c r="F1845">
        <f>VLOOKUP(B1845,Nuclides!A:F,4,FALSE)</f>
        <v>42336</v>
      </c>
      <c r="G1845" s="3" t="str">
        <f t="shared" si="143"/>
        <v>11.76h</v>
      </c>
      <c r="H1845" s="3">
        <f t="shared" si="144"/>
        <v>1.6372524106196744E-5</v>
      </c>
      <c r="I1845" s="3">
        <f t="shared" si="145"/>
        <v>0</v>
      </c>
      <c r="J1845" s="3">
        <f t="shared" si="146"/>
        <v>0</v>
      </c>
      <c r="K1845" s="3" t="str">
        <f t="shared" si="147"/>
        <v>Bi203</v>
      </c>
      <c r="L1845" s="3" cm="1">
        <f t="array" ref="L1845">SUM(($J1845*EXP(-$H1845*12*3600*_xlfn.SEQUENCE(L$1-1))))+$J1845</f>
        <v>0</v>
      </c>
      <c r="M1845" s="3"/>
      <c r="N1845" s="3"/>
    </row>
    <row r="1846" spans="2:14" hidden="1" x14ac:dyDescent="0.2">
      <c r="B1846" s="3">
        <v>83204</v>
      </c>
      <c r="C1846" s="3">
        <v>0</v>
      </c>
      <c r="D1846">
        <v>1843</v>
      </c>
      <c r="E1846" t="str">
        <f>VLOOKUP(B1846,Nuclides!A:F,5,FALSE)</f>
        <v>Bi204</v>
      </c>
      <c r="F1846">
        <f>VLOOKUP(B1846,Nuclides!A:F,4,FALSE)</f>
        <v>40392</v>
      </c>
      <c r="G1846" s="3" t="str">
        <f t="shared" si="143"/>
        <v>11.22h</v>
      </c>
      <c r="H1846" s="3">
        <f t="shared" si="144"/>
        <v>1.7160506549810488E-5</v>
      </c>
      <c r="I1846" s="3">
        <f t="shared" si="145"/>
        <v>0</v>
      </c>
      <c r="J1846" s="3">
        <f t="shared" si="146"/>
        <v>0</v>
      </c>
      <c r="K1846" s="3" t="str">
        <f t="shared" si="147"/>
        <v>Bi204</v>
      </c>
      <c r="L1846" s="3" cm="1">
        <f t="array" ref="L1846">SUM(($J1846*EXP(-$H1846*12*3600*_xlfn.SEQUENCE(L$1-1))))+$J1846</f>
        <v>0</v>
      </c>
      <c r="M1846" s="3"/>
      <c r="N1846" s="3"/>
    </row>
    <row r="1847" spans="2:14" hidden="1" x14ac:dyDescent="0.2">
      <c r="B1847" s="3">
        <v>83205</v>
      </c>
      <c r="C1847" s="3">
        <v>0</v>
      </c>
      <c r="D1847">
        <v>1844</v>
      </c>
      <c r="E1847" t="str">
        <f>VLOOKUP(B1847,Nuclides!A:F,5,FALSE)</f>
        <v>Bi205</v>
      </c>
      <c r="F1847">
        <f>VLOOKUP(B1847,Nuclides!A:F,4,FALSE)</f>
        <v>1322784</v>
      </c>
      <c r="G1847" s="3" t="str">
        <f t="shared" si="143"/>
        <v>15.31d</v>
      </c>
      <c r="H1847" s="3">
        <f t="shared" si="144"/>
        <v>5.2400632345110407E-7</v>
      </c>
      <c r="I1847" s="3">
        <f t="shared" si="145"/>
        <v>0</v>
      </c>
      <c r="J1847" s="3">
        <f t="shared" si="146"/>
        <v>0</v>
      </c>
      <c r="K1847" s="3" t="str">
        <f t="shared" si="147"/>
        <v>Bi205</v>
      </c>
      <c r="L1847" s="3" cm="1">
        <f t="array" ref="L1847">SUM(($J1847*EXP(-$H1847*12*3600*_xlfn.SEQUENCE(L$1-1))))+$J1847</f>
        <v>0</v>
      </c>
      <c r="M1847" s="3"/>
      <c r="N1847" s="3"/>
    </row>
    <row r="1848" spans="2:14" hidden="1" x14ac:dyDescent="0.2">
      <c r="B1848" s="3">
        <v>83206</v>
      </c>
      <c r="C1848" s="3">
        <v>0</v>
      </c>
      <c r="D1848">
        <v>1845</v>
      </c>
      <c r="E1848" t="str">
        <f>VLOOKUP(B1848,Nuclides!A:F,5,FALSE)</f>
        <v>Bi206</v>
      </c>
      <c r="F1848">
        <f>VLOOKUP(B1848,Nuclides!A:F,4,FALSE)</f>
        <v>539395.19999999995</v>
      </c>
      <c r="G1848" s="3" t="str">
        <f t="shared" si="143"/>
        <v>6.24d</v>
      </c>
      <c r="H1848" s="3">
        <f t="shared" si="144"/>
        <v>1.2850451404831658E-6</v>
      </c>
      <c r="I1848" s="3">
        <f t="shared" si="145"/>
        <v>0</v>
      </c>
      <c r="J1848" s="3">
        <f t="shared" si="146"/>
        <v>0</v>
      </c>
      <c r="K1848" s="3" t="str">
        <f t="shared" si="147"/>
        <v>Bi206</v>
      </c>
      <c r="L1848" s="3" cm="1">
        <f t="array" ref="L1848">SUM(($J1848*EXP(-$H1848*12*3600*_xlfn.SEQUENCE(L$1-1))))+$J1848</f>
        <v>0</v>
      </c>
      <c r="M1848" s="3"/>
      <c r="N1848" s="3"/>
    </row>
    <row r="1849" spans="2:14" hidden="1" x14ac:dyDescent="0.2">
      <c r="B1849" s="3">
        <v>83207</v>
      </c>
      <c r="C1849" s="3">
        <v>0</v>
      </c>
      <c r="D1849">
        <v>1846</v>
      </c>
      <c r="E1849" t="str">
        <f>VLOOKUP(B1849,Nuclides!A:F,5,FALSE)</f>
        <v>Bi207</v>
      </c>
      <c r="F1849">
        <f>VLOOKUP(B1849,Nuclides!A:F,4,FALSE)</f>
        <v>995642280</v>
      </c>
      <c r="G1849" s="3" t="str">
        <f t="shared" si="143"/>
        <v>31.57y</v>
      </c>
      <c r="H1849" s="3">
        <f t="shared" si="144"/>
        <v>6.9618094217528134E-10</v>
      </c>
      <c r="I1849" s="3">
        <f t="shared" si="145"/>
        <v>0</v>
      </c>
      <c r="J1849" s="3">
        <f t="shared" si="146"/>
        <v>0</v>
      </c>
      <c r="K1849" s="3" t="str">
        <f t="shared" si="147"/>
        <v>Bi207</v>
      </c>
      <c r="L1849" s="3" cm="1">
        <f t="array" ref="L1849">SUM(($J1849*EXP(-$H1849*12*3600*_xlfn.SEQUENCE(L$1-1))))+$J1849</f>
        <v>0</v>
      </c>
      <c r="M1849" s="3"/>
      <c r="N1849" s="3"/>
    </row>
    <row r="1850" spans="2:14" hidden="1" x14ac:dyDescent="0.2">
      <c r="B1850" s="3">
        <v>83208</v>
      </c>
      <c r="C1850" s="3">
        <v>0</v>
      </c>
      <c r="D1850">
        <v>1847</v>
      </c>
      <c r="E1850" t="str">
        <f>VLOOKUP(B1850,Nuclides!A:F,5,FALSE)</f>
        <v>Bi208</v>
      </c>
      <c r="F1850">
        <f>VLOOKUP(B1850,Nuclides!A:F,4,FALSE)</f>
        <v>11613196800000</v>
      </c>
      <c r="G1850" s="3" t="str">
        <f t="shared" si="143"/>
        <v>368252.05y</v>
      </c>
      <c r="H1850" s="3">
        <f t="shared" si="144"/>
        <v>5.9686165015299255E-14</v>
      </c>
      <c r="I1850" s="3">
        <f t="shared" si="145"/>
        <v>0</v>
      </c>
      <c r="J1850" s="3">
        <f t="shared" si="146"/>
        <v>0</v>
      </c>
      <c r="K1850" s="3" t="str">
        <f t="shared" si="147"/>
        <v>Bi208</v>
      </c>
      <c r="L1850" s="3" cm="1">
        <f t="array" ref="L1850">SUM(($J1850*EXP(-$H1850*12*3600*_xlfn.SEQUENCE(L$1-1))))+$J1850</f>
        <v>0</v>
      </c>
      <c r="M1850" s="3"/>
      <c r="N1850" s="3"/>
    </row>
    <row r="1851" spans="2:14" hidden="1" x14ac:dyDescent="0.2">
      <c r="B1851" s="3">
        <v>83209</v>
      </c>
      <c r="C1851" s="3">
        <v>0</v>
      </c>
      <c r="D1851">
        <v>1848</v>
      </c>
      <c r="E1851" t="str">
        <f>VLOOKUP(B1851,Nuclides!A:F,5,FALSE)</f>
        <v>Bi209</v>
      </c>
      <c r="F1851">
        <f>VLOOKUP(B1851,Nuclides!A:F,4,FALSE)</f>
        <v>6.3430775999999998E+26</v>
      </c>
      <c r="G1851" s="3" t="str">
        <f t="shared" si="143"/>
        <v>20113767123287700000y</v>
      </c>
      <c r="H1851" s="3">
        <f t="shared" si="144"/>
        <v>1.0927616281408023E-27</v>
      </c>
      <c r="I1851" s="3">
        <f t="shared" si="145"/>
        <v>0</v>
      </c>
      <c r="J1851" s="3">
        <f t="shared" si="146"/>
        <v>0</v>
      </c>
      <c r="K1851" s="3" t="str">
        <f t="shared" si="147"/>
        <v>Bi209</v>
      </c>
      <c r="L1851" s="3" cm="1">
        <f t="array" ref="L1851">SUM(($J1851*EXP(-$H1851*12*3600*_xlfn.SEQUENCE(L$1-1))))+$J1851</f>
        <v>0</v>
      </c>
      <c r="M1851" s="3"/>
      <c r="N1851" s="3"/>
    </row>
    <row r="1852" spans="2:14" hidden="1" x14ac:dyDescent="0.2">
      <c r="B1852" s="3">
        <v>83210</v>
      </c>
      <c r="C1852" s="3">
        <v>0</v>
      </c>
      <c r="D1852">
        <v>1849</v>
      </c>
      <c r="E1852" t="str">
        <f>VLOOKUP(B1852,Nuclides!A:F,5,FALSE)</f>
        <v>Bi210</v>
      </c>
      <c r="F1852">
        <f>VLOOKUP(B1852,Nuclides!A:F,4,FALSE)</f>
        <v>433036.79999999999</v>
      </c>
      <c r="G1852" s="3" t="str">
        <f t="shared" si="143"/>
        <v>5.01d</v>
      </c>
      <c r="H1852" s="3">
        <f t="shared" si="144"/>
        <v>1.6006657645723072E-6</v>
      </c>
      <c r="I1852" s="3">
        <f t="shared" si="145"/>
        <v>0</v>
      </c>
      <c r="J1852" s="3">
        <f t="shared" si="146"/>
        <v>0</v>
      </c>
      <c r="K1852" s="3" t="str">
        <f t="shared" si="147"/>
        <v>Bi210</v>
      </c>
      <c r="L1852" s="3" cm="1">
        <f t="array" ref="L1852">SUM(($J1852*EXP(-$H1852*12*3600*_xlfn.SEQUENCE(L$1-1))))+$J1852</f>
        <v>0</v>
      </c>
      <c r="M1852" s="3"/>
      <c r="N1852" s="3"/>
    </row>
    <row r="1853" spans="2:14" hidden="1" x14ac:dyDescent="0.2">
      <c r="B1853" s="3">
        <v>83211</v>
      </c>
      <c r="C1853" s="3">
        <v>0</v>
      </c>
      <c r="D1853">
        <v>1850</v>
      </c>
      <c r="E1853" t="str">
        <f>VLOOKUP(B1853,Nuclides!A:F,5,FALSE)</f>
        <v>Bi211</v>
      </c>
      <c r="F1853">
        <f>VLOOKUP(B1853,Nuclides!A:F,4,FALSE)</f>
        <v>128.4</v>
      </c>
      <c r="G1853" s="3" t="str">
        <f t="shared" si="143"/>
        <v>2.14min</v>
      </c>
      <c r="H1853" s="3">
        <f t="shared" si="144"/>
        <v>5.3983425277254306E-3</v>
      </c>
      <c r="I1853" s="3">
        <f t="shared" si="145"/>
        <v>0</v>
      </c>
      <c r="J1853" s="3">
        <f t="shared" si="146"/>
        <v>0</v>
      </c>
      <c r="K1853" s="3" t="str">
        <f t="shared" si="147"/>
        <v>Bi211</v>
      </c>
      <c r="L1853" s="3" cm="1">
        <f t="array" ref="L1853">SUM(($J1853*EXP(-$H1853*12*3600*_xlfn.SEQUENCE(L$1-1))))+$J1853</f>
        <v>0</v>
      </c>
      <c r="M1853" s="3"/>
      <c r="N1853" s="3"/>
    </row>
    <row r="1854" spans="2:14" hidden="1" x14ac:dyDescent="0.2">
      <c r="B1854" s="3">
        <v>83212</v>
      </c>
      <c r="C1854" s="3">
        <v>0</v>
      </c>
      <c r="D1854">
        <v>1851</v>
      </c>
      <c r="E1854" t="str">
        <f>VLOOKUP(B1854,Nuclides!A:F,5,FALSE)</f>
        <v>Bi212</v>
      </c>
      <c r="F1854">
        <f>VLOOKUP(B1854,Nuclides!A:F,4,FALSE)</f>
        <v>3633</v>
      </c>
      <c r="G1854" s="3" t="str">
        <f t="shared" si="143"/>
        <v>1.01h</v>
      </c>
      <c r="H1854" s="3">
        <f t="shared" si="144"/>
        <v>1.9079195721440829E-4</v>
      </c>
      <c r="I1854" s="3">
        <f t="shared" si="145"/>
        <v>0</v>
      </c>
      <c r="J1854" s="3">
        <f t="shared" si="146"/>
        <v>0</v>
      </c>
      <c r="K1854" s="3" t="str">
        <f t="shared" si="147"/>
        <v>Bi212</v>
      </c>
      <c r="L1854" s="3" cm="1">
        <f t="array" ref="L1854">SUM(($J1854*EXP(-$H1854*12*3600*_xlfn.SEQUENCE(L$1-1))))+$J1854</f>
        <v>0</v>
      </c>
      <c r="M1854" s="3"/>
      <c r="N1854" s="3"/>
    </row>
    <row r="1855" spans="2:14" hidden="1" x14ac:dyDescent="0.2">
      <c r="B1855" s="3">
        <v>83213</v>
      </c>
      <c r="C1855" s="3">
        <v>0</v>
      </c>
      <c r="D1855">
        <v>1852</v>
      </c>
      <c r="E1855" t="str">
        <f>VLOOKUP(B1855,Nuclides!A:F,5,FALSE)</f>
        <v>Bi213</v>
      </c>
      <c r="F1855">
        <f>VLOOKUP(B1855,Nuclides!A:F,4,FALSE)</f>
        <v>2736.6</v>
      </c>
      <c r="G1855" s="3" t="str">
        <f t="shared" si="143"/>
        <v>45.61min</v>
      </c>
      <c r="H1855" s="3">
        <f t="shared" si="144"/>
        <v>2.5328772219540498E-4</v>
      </c>
      <c r="I1855" s="3">
        <f t="shared" si="145"/>
        <v>0</v>
      </c>
      <c r="J1855" s="3">
        <f t="shared" si="146"/>
        <v>0</v>
      </c>
      <c r="K1855" s="3" t="str">
        <f t="shared" si="147"/>
        <v>Bi213</v>
      </c>
      <c r="L1855" s="3" cm="1">
        <f t="array" ref="L1855">SUM(($J1855*EXP(-$H1855*12*3600*_xlfn.SEQUENCE(L$1-1))))+$J1855</f>
        <v>0</v>
      </c>
      <c r="M1855" s="3"/>
      <c r="N1855" s="3"/>
    </row>
    <row r="1856" spans="2:14" hidden="1" x14ac:dyDescent="0.2">
      <c r="B1856" s="3">
        <v>83214</v>
      </c>
      <c r="C1856" s="3">
        <v>0</v>
      </c>
      <c r="D1856">
        <v>1853</v>
      </c>
      <c r="E1856" t="str">
        <f>VLOOKUP(B1856,Nuclides!A:F,5,FALSE)</f>
        <v>Bi214</v>
      </c>
      <c r="F1856">
        <f>VLOOKUP(B1856,Nuclides!A:F,4,FALSE)</f>
        <v>1194</v>
      </c>
      <c r="G1856" s="3" t="str">
        <f t="shared" si="143"/>
        <v>19.9min</v>
      </c>
      <c r="H1856" s="3">
        <f t="shared" si="144"/>
        <v>5.8052527685087548E-4</v>
      </c>
      <c r="I1856" s="3">
        <f t="shared" si="145"/>
        <v>0</v>
      </c>
      <c r="J1856" s="3">
        <f t="shared" si="146"/>
        <v>0</v>
      </c>
      <c r="K1856" s="3" t="str">
        <f t="shared" si="147"/>
        <v>Bi214</v>
      </c>
      <c r="L1856" s="3" cm="1">
        <f t="array" ref="L1856">SUM(($J1856*EXP(-$H1856*12*3600*_xlfn.SEQUENCE(L$1-1))))+$J1856</f>
        <v>0</v>
      </c>
      <c r="M1856" s="3"/>
      <c r="N1856" s="3"/>
    </row>
    <row r="1857" spans="2:14" hidden="1" x14ac:dyDescent="0.2">
      <c r="B1857" s="3">
        <v>83215</v>
      </c>
      <c r="C1857" s="3">
        <v>0</v>
      </c>
      <c r="D1857">
        <v>1854</v>
      </c>
      <c r="E1857" t="str">
        <f>VLOOKUP(B1857,Nuclides!A:F,5,FALSE)</f>
        <v>Bi215</v>
      </c>
      <c r="F1857">
        <f>VLOOKUP(B1857,Nuclides!A:F,4,FALSE)</f>
        <v>456</v>
      </c>
      <c r="G1857" s="3" t="str">
        <f t="shared" si="143"/>
        <v>7.6min</v>
      </c>
      <c r="H1857" s="3">
        <f t="shared" si="144"/>
        <v>1.520059606491108E-3</v>
      </c>
      <c r="I1857" s="3">
        <f t="shared" si="145"/>
        <v>0</v>
      </c>
      <c r="J1857" s="3">
        <f t="shared" si="146"/>
        <v>0</v>
      </c>
      <c r="K1857" s="3" t="str">
        <f t="shared" si="147"/>
        <v>Bi215</v>
      </c>
      <c r="L1857" s="3" cm="1">
        <f t="array" ref="L1857">SUM(($J1857*EXP(-$H1857*12*3600*_xlfn.SEQUENCE(L$1-1))))+$J1857</f>
        <v>0</v>
      </c>
      <c r="M1857" s="3"/>
      <c r="N1857" s="3"/>
    </row>
    <row r="1858" spans="2:14" hidden="1" x14ac:dyDescent="0.2">
      <c r="B1858" s="3">
        <v>84192</v>
      </c>
      <c r="C1858" s="3">
        <v>0</v>
      </c>
      <c r="D1858">
        <v>1855</v>
      </c>
      <c r="E1858" t="str">
        <f>VLOOKUP(B1858,Nuclides!A:F,5,FALSE)</f>
        <v>Po192</v>
      </c>
      <c r="F1858">
        <f>VLOOKUP(B1858,Nuclides!A:F,4,FALSE)</f>
        <v>3.2199999999999999E-2</v>
      </c>
      <c r="G1858" s="3" t="str">
        <f t="shared" si="143"/>
        <v>0.0322s</v>
      </c>
      <c r="H1858" s="3">
        <f t="shared" si="144"/>
        <v>21.526309955277803</v>
      </c>
      <c r="I1858" s="3">
        <f t="shared" si="145"/>
        <v>0</v>
      </c>
      <c r="J1858" s="3">
        <f t="shared" si="146"/>
        <v>0</v>
      </c>
      <c r="K1858" s="3" t="str">
        <f t="shared" si="147"/>
        <v>Po192</v>
      </c>
      <c r="L1858" s="3" cm="1">
        <f t="array" ref="L1858">SUM(($J1858*EXP(-$H1858*12*3600*_xlfn.SEQUENCE(L$1-1))))+$J1858</f>
        <v>0</v>
      </c>
      <c r="M1858" s="3"/>
      <c r="N1858" s="3"/>
    </row>
    <row r="1859" spans="2:14" hidden="1" x14ac:dyDescent="0.2">
      <c r="B1859" s="3">
        <v>84193</v>
      </c>
      <c r="C1859" s="3">
        <v>0</v>
      </c>
      <c r="D1859">
        <v>1856</v>
      </c>
      <c r="E1859" t="str">
        <f>VLOOKUP(B1859,Nuclides!A:F,5,FALSE)</f>
        <v>Po193</v>
      </c>
      <c r="F1859">
        <f>VLOOKUP(B1859,Nuclides!A:F,4,FALSE)</f>
        <v>0.245</v>
      </c>
      <c r="G1859" s="3" t="str">
        <f t="shared" si="143"/>
        <v>0.245s</v>
      </c>
      <c r="H1859" s="3">
        <f t="shared" si="144"/>
        <v>2.8291721655507973</v>
      </c>
      <c r="I1859" s="3">
        <f t="shared" si="145"/>
        <v>0</v>
      </c>
      <c r="J1859" s="3">
        <f t="shared" si="146"/>
        <v>0</v>
      </c>
      <c r="K1859" s="3" t="str">
        <f t="shared" si="147"/>
        <v>Po193</v>
      </c>
      <c r="L1859" s="3" cm="1">
        <f t="array" ref="L1859">SUM(($J1859*EXP(-$H1859*12*3600*_xlfn.SEQUENCE(L$1-1))))+$J1859</f>
        <v>0</v>
      </c>
      <c r="M1859" s="3"/>
      <c r="N1859" s="3"/>
    </row>
    <row r="1860" spans="2:14" hidden="1" x14ac:dyDescent="0.2">
      <c r="B1860" s="3">
        <v>84194</v>
      </c>
      <c r="C1860" s="3">
        <v>0</v>
      </c>
      <c r="D1860">
        <v>1857</v>
      </c>
      <c r="E1860" t="str">
        <f>VLOOKUP(B1860,Nuclides!A:F,5,FALSE)</f>
        <v>Po194</v>
      </c>
      <c r="F1860">
        <f>VLOOKUP(B1860,Nuclides!A:F,4,FALSE)</f>
        <v>0.39200000000000002</v>
      </c>
      <c r="G1860" s="3" t="str">
        <f t="shared" ref="G1860:G1923" si="148">IF(F1860="STABLE", "STABLE", IF(F1860&lt;60, F1860&amp;"s", IF(F1860&lt;3600, ROUND(F1860/60,2)&amp;"min", IF(F1860&lt;86400, ROUND(F1860/3600,2)&amp;"h", IF(F1860&lt;31536000, ROUND(F1860/86400,2)&amp;"d", ROUND(F1860/31536000,2)&amp;"y")))))</f>
        <v>0.392s</v>
      </c>
      <c r="H1860" s="3">
        <f t="shared" ref="H1860:H1923" si="149">LN(2)/F1860</f>
        <v>1.7682326034692482</v>
      </c>
      <c r="I1860" s="3">
        <f t="shared" ref="I1860:I1923" si="150">100*6240000000000*C1860*(1-EXP(-H1860*2*3600))</f>
        <v>0</v>
      </c>
      <c r="J1860" s="3">
        <f t="shared" ref="J1860:J1923" si="151">I1860*EXP(-H1860*10*3600)</f>
        <v>0</v>
      </c>
      <c r="K1860" s="3" t="str">
        <f t="shared" ref="K1860:K1923" si="152">E1860</f>
        <v>Po194</v>
      </c>
      <c r="L1860" s="3" cm="1">
        <f t="array" ref="L1860">SUM(($J1860*EXP(-$H1860*12*3600*_xlfn.SEQUENCE(L$1-1))))+$J1860</f>
        <v>0</v>
      </c>
      <c r="M1860" s="3"/>
      <c r="N1860" s="3"/>
    </row>
    <row r="1861" spans="2:14" hidden="1" x14ac:dyDescent="0.2">
      <c r="B1861" s="3">
        <v>84195</v>
      </c>
      <c r="C1861" s="3">
        <v>0</v>
      </c>
      <c r="D1861">
        <v>1858</v>
      </c>
      <c r="E1861" t="str">
        <f>VLOOKUP(B1861,Nuclides!A:F,5,FALSE)</f>
        <v>Po195</v>
      </c>
      <c r="F1861">
        <f>VLOOKUP(B1861,Nuclides!A:F,4,FALSE)</f>
        <v>4.6399999999999997</v>
      </c>
      <c r="G1861" s="3" t="str">
        <f t="shared" si="148"/>
        <v>4.64s</v>
      </c>
      <c r="H1861" s="3">
        <f t="shared" si="149"/>
        <v>0.14938516822412615</v>
      </c>
      <c r="I1861" s="3">
        <f t="shared" si="150"/>
        <v>0</v>
      </c>
      <c r="J1861" s="3">
        <f t="shared" si="151"/>
        <v>0</v>
      </c>
      <c r="K1861" s="3" t="str">
        <f t="shared" si="152"/>
        <v>Po195</v>
      </c>
      <c r="L1861" s="3" cm="1">
        <f t="array" ref="L1861">SUM(($J1861*EXP(-$H1861*12*3600*_xlfn.SEQUENCE(L$1-1))))+$J1861</f>
        <v>0</v>
      </c>
      <c r="M1861" s="3"/>
      <c r="N1861" s="3"/>
    </row>
    <row r="1862" spans="2:14" hidden="1" x14ac:dyDescent="0.2">
      <c r="B1862" s="3">
        <v>84196</v>
      </c>
      <c r="C1862" s="3">
        <v>0</v>
      </c>
      <c r="D1862">
        <v>1859</v>
      </c>
      <c r="E1862" t="str">
        <f>VLOOKUP(B1862,Nuclides!A:F,5,FALSE)</f>
        <v>Po196</v>
      </c>
      <c r="F1862">
        <f>VLOOKUP(B1862,Nuclides!A:F,4,FALSE)</f>
        <v>5.8</v>
      </c>
      <c r="G1862" s="3" t="str">
        <f t="shared" si="148"/>
        <v>5.8s</v>
      </c>
      <c r="H1862" s="3">
        <f t="shared" si="149"/>
        <v>0.11950813457930091</v>
      </c>
      <c r="I1862" s="3">
        <f t="shared" si="150"/>
        <v>0</v>
      </c>
      <c r="J1862" s="3">
        <f t="shared" si="151"/>
        <v>0</v>
      </c>
      <c r="K1862" s="3" t="str">
        <f t="shared" si="152"/>
        <v>Po196</v>
      </c>
      <c r="L1862" s="3" cm="1">
        <f t="array" ref="L1862">SUM(($J1862*EXP(-$H1862*12*3600*_xlfn.SEQUENCE(L$1-1))))+$J1862</f>
        <v>0</v>
      </c>
      <c r="M1862" s="3"/>
      <c r="N1862" s="3"/>
    </row>
    <row r="1863" spans="2:14" hidden="1" x14ac:dyDescent="0.2">
      <c r="B1863" s="3">
        <v>84197</v>
      </c>
      <c r="C1863" s="3">
        <v>0</v>
      </c>
      <c r="D1863">
        <v>1860</v>
      </c>
      <c r="E1863" t="str">
        <f>VLOOKUP(B1863,Nuclides!A:F,5,FALSE)</f>
        <v>Po197</v>
      </c>
      <c r="F1863">
        <f>VLOOKUP(B1863,Nuclides!A:F,4,FALSE)</f>
        <v>84</v>
      </c>
      <c r="G1863" s="3" t="str">
        <f t="shared" si="148"/>
        <v>1.4min</v>
      </c>
      <c r="H1863" s="3">
        <f t="shared" si="149"/>
        <v>8.2517521495231588E-3</v>
      </c>
      <c r="I1863" s="3">
        <f t="shared" si="150"/>
        <v>0</v>
      </c>
      <c r="J1863" s="3">
        <f t="shared" si="151"/>
        <v>0</v>
      </c>
      <c r="K1863" s="3" t="str">
        <f t="shared" si="152"/>
        <v>Po197</v>
      </c>
      <c r="L1863" s="3" cm="1">
        <f t="array" ref="L1863">SUM(($J1863*EXP(-$H1863*12*3600*_xlfn.SEQUENCE(L$1-1))))+$J1863</f>
        <v>0</v>
      </c>
      <c r="M1863" s="3"/>
      <c r="N1863" s="3"/>
    </row>
    <row r="1864" spans="2:14" hidden="1" x14ac:dyDescent="0.2">
      <c r="B1864" s="3">
        <v>84198</v>
      </c>
      <c r="C1864" s="3">
        <v>0</v>
      </c>
      <c r="D1864">
        <v>1861</v>
      </c>
      <c r="E1864" t="str">
        <f>VLOOKUP(B1864,Nuclides!A:F,5,FALSE)</f>
        <v>Po198</v>
      </c>
      <c r="F1864">
        <f>VLOOKUP(B1864,Nuclides!A:F,4,FALSE)</f>
        <v>105.6</v>
      </c>
      <c r="G1864" s="3" t="str">
        <f t="shared" si="148"/>
        <v>1.76min</v>
      </c>
      <c r="H1864" s="3">
        <f t="shared" si="149"/>
        <v>6.5638937553025127E-3</v>
      </c>
      <c r="I1864" s="3">
        <f t="shared" si="150"/>
        <v>0</v>
      </c>
      <c r="J1864" s="3">
        <f t="shared" si="151"/>
        <v>0</v>
      </c>
      <c r="K1864" s="3" t="str">
        <f t="shared" si="152"/>
        <v>Po198</v>
      </c>
      <c r="L1864" s="3" cm="1">
        <f t="array" ref="L1864">SUM(($J1864*EXP(-$H1864*12*3600*_xlfn.SEQUENCE(L$1-1))))+$J1864</f>
        <v>0</v>
      </c>
      <c r="M1864" s="3"/>
      <c r="N1864" s="3"/>
    </row>
    <row r="1865" spans="2:14" hidden="1" x14ac:dyDescent="0.2">
      <c r="B1865" s="3">
        <v>84199</v>
      </c>
      <c r="C1865" s="3">
        <v>0</v>
      </c>
      <c r="D1865">
        <v>1862</v>
      </c>
      <c r="E1865" t="str">
        <f>VLOOKUP(B1865,Nuclides!A:F,5,FALSE)</f>
        <v>Po199</v>
      </c>
      <c r="F1865">
        <f>VLOOKUP(B1865,Nuclides!A:F,4,FALSE)</f>
        <v>328.2</v>
      </c>
      <c r="G1865" s="3" t="str">
        <f t="shared" si="148"/>
        <v>5.47min</v>
      </c>
      <c r="H1865" s="3">
        <f t="shared" si="149"/>
        <v>2.1119658152344463E-3</v>
      </c>
      <c r="I1865" s="3">
        <f t="shared" si="150"/>
        <v>0</v>
      </c>
      <c r="J1865" s="3">
        <f t="shared" si="151"/>
        <v>0</v>
      </c>
      <c r="K1865" s="3" t="str">
        <f t="shared" si="152"/>
        <v>Po199</v>
      </c>
      <c r="L1865" s="3" cm="1">
        <f t="array" ref="L1865">SUM(($J1865*EXP(-$H1865*12*3600*_xlfn.SEQUENCE(L$1-1))))+$J1865</f>
        <v>0</v>
      </c>
      <c r="M1865" s="3"/>
      <c r="N1865" s="3"/>
    </row>
    <row r="1866" spans="2:14" hidden="1" x14ac:dyDescent="0.2">
      <c r="B1866" s="3">
        <v>84200</v>
      </c>
      <c r="C1866" s="3">
        <v>0</v>
      </c>
      <c r="D1866">
        <v>1863</v>
      </c>
      <c r="E1866" t="str">
        <f>VLOOKUP(B1866,Nuclides!A:F,5,FALSE)</f>
        <v>Po200</v>
      </c>
      <c r="F1866">
        <f>VLOOKUP(B1866,Nuclides!A:F,4,FALSE)</f>
        <v>690.6</v>
      </c>
      <c r="G1866" s="3" t="str">
        <f t="shared" si="148"/>
        <v>11.51min</v>
      </c>
      <c r="H1866" s="3">
        <f t="shared" si="149"/>
        <v>1.0036883587604189E-3</v>
      </c>
      <c r="I1866" s="3">
        <f t="shared" si="150"/>
        <v>0</v>
      </c>
      <c r="J1866" s="3">
        <f t="shared" si="151"/>
        <v>0</v>
      </c>
      <c r="K1866" s="3" t="str">
        <f t="shared" si="152"/>
        <v>Po200</v>
      </c>
      <c r="L1866" s="3" cm="1">
        <f t="array" ref="L1866">SUM(($J1866*EXP(-$H1866*12*3600*_xlfn.SEQUENCE(L$1-1))))+$J1866</f>
        <v>0</v>
      </c>
      <c r="M1866" s="3"/>
      <c r="N1866" s="3"/>
    </row>
    <row r="1867" spans="2:14" hidden="1" x14ac:dyDescent="0.2">
      <c r="B1867" s="3">
        <v>84201</v>
      </c>
      <c r="C1867" s="3">
        <v>0</v>
      </c>
      <c r="D1867">
        <v>1864</v>
      </c>
      <c r="E1867" t="str">
        <f>VLOOKUP(B1867,Nuclides!A:F,5,FALSE)</f>
        <v>Po201</v>
      </c>
      <c r="F1867">
        <f>VLOOKUP(B1867,Nuclides!A:F,4,FALSE)</f>
        <v>936</v>
      </c>
      <c r="G1867" s="3" t="str">
        <f t="shared" si="148"/>
        <v>15.6min</v>
      </c>
      <c r="H1867" s="3">
        <f t="shared" si="149"/>
        <v>7.4054185957259111E-4</v>
      </c>
      <c r="I1867" s="3">
        <f t="shared" si="150"/>
        <v>0</v>
      </c>
      <c r="J1867" s="3">
        <f t="shared" si="151"/>
        <v>0</v>
      </c>
      <c r="K1867" s="3" t="str">
        <f t="shared" si="152"/>
        <v>Po201</v>
      </c>
      <c r="L1867" s="3" cm="1">
        <f t="array" ref="L1867">SUM(($J1867*EXP(-$H1867*12*3600*_xlfn.SEQUENCE(L$1-1))))+$J1867</f>
        <v>0</v>
      </c>
      <c r="M1867" s="3"/>
      <c r="N1867" s="3"/>
    </row>
    <row r="1868" spans="2:14" hidden="1" x14ac:dyDescent="0.2">
      <c r="B1868" s="3">
        <v>84202</v>
      </c>
      <c r="C1868" s="3">
        <v>0</v>
      </c>
      <c r="D1868">
        <v>1865</v>
      </c>
      <c r="E1868" t="str">
        <f>VLOOKUP(B1868,Nuclides!A:F,5,FALSE)</f>
        <v>Po202</v>
      </c>
      <c r="F1868">
        <f>VLOOKUP(B1868,Nuclides!A:F,4,FALSE)</f>
        <v>2676</v>
      </c>
      <c r="G1868" s="3" t="str">
        <f t="shared" si="148"/>
        <v>44.6min</v>
      </c>
      <c r="H1868" s="3">
        <f t="shared" si="149"/>
        <v>2.5902361007471795E-4</v>
      </c>
      <c r="I1868" s="3">
        <f t="shared" si="150"/>
        <v>0</v>
      </c>
      <c r="J1868" s="3">
        <f t="shared" si="151"/>
        <v>0</v>
      </c>
      <c r="K1868" s="3" t="str">
        <f t="shared" si="152"/>
        <v>Po202</v>
      </c>
      <c r="L1868" s="3" cm="1">
        <f t="array" ref="L1868">SUM(($J1868*EXP(-$H1868*12*3600*_xlfn.SEQUENCE(L$1-1))))+$J1868</f>
        <v>0</v>
      </c>
      <c r="M1868" s="3"/>
      <c r="N1868" s="3"/>
    </row>
    <row r="1869" spans="2:14" hidden="1" x14ac:dyDescent="0.2">
      <c r="B1869" s="3">
        <v>84203</v>
      </c>
      <c r="C1869" s="3">
        <v>0</v>
      </c>
      <c r="D1869">
        <v>1866</v>
      </c>
      <c r="E1869" t="str">
        <f>VLOOKUP(B1869,Nuclides!A:F,5,FALSE)</f>
        <v>Po203</v>
      </c>
      <c r="F1869">
        <f>VLOOKUP(B1869,Nuclides!A:F,4,FALSE)</f>
        <v>2202</v>
      </c>
      <c r="G1869" s="3" t="str">
        <f t="shared" si="148"/>
        <v>36.7min</v>
      </c>
      <c r="H1869" s="3">
        <f t="shared" si="149"/>
        <v>3.1478073594911233E-4</v>
      </c>
      <c r="I1869" s="3">
        <f t="shared" si="150"/>
        <v>0</v>
      </c>
      <c r="J1869" s="3">
        <f t="shared" si="151"/>
        <v>0</v>
      </c>
      <c r="K1869" s="3" t="str">
        <f t="shared" si="152"/>
        <v>Po203</v>
      </c>
      <c r="L1869" s="3" cm="1">
        <f t="array" ref="L1869">SUM(($J1869*EXP(-$H1869*12*3600*_xlfn.SEQUENCE(L$1-1))))+$J1869</f>
        <v>0</v>
      </c>
      <c r="M1869" s="3"/>
      <c r="N1869" s="3"/>
    </row>
    <row r="1870" spans="2:14" hidden="1" x14ac:dyDescent="0.2">
      <c r="B1870" s="3">
        <v>84204</v>
      </c>
      <c r="C1870" s="3">
        <v>0</v>
      </c>
      <c r="D1870">
        <v>1867</v>
      </c>
      <c r="E1870" t="str">
        <f>VLOOKUP(B1870,Nuclides!A:F,5,FALSE)</f>
        <v>Po204</v>
      </c>
      <c r="F1870">
        <f>VLOOKUP(B1870,Nuclides!A:F,4,FALSE)</f>
        <v>12668.4</v>
      </c>
      <c r="G1870" s="3" t="str">
        <f t="shared" si="148"/>
        <v>3.52h</v>
      </c>
      <c r="H1870" s="3">
        <f t="shared" si="149"/>
        <v>5.4714658564613153E-5</v>
      </c>
      <c r="I1870" s="3">
        <f t="shared" si="150"/>
        <v>0</v>
      </c>
      <c r="J1870" s="3">
        <f t="shared" si="151"/>
        <v>0</v>
      </c>
      <c r="K1870" s="3" t="str">
        <f t="shared" si="152"/>
        <v>Po204</v>
      </c>
      <c r="L1870" s="3" cm="1">
        <f t="array" ref="L1870">SUM(($J1870*EXP(-$H1870*12*3600*_xlfn.SEQUENCE(L$1-1))))+$J1870</f>
        <v>0</v>
      </c>
      <c r="M1870" s="3"/>
      <c r="N1870" s="3"/>
    </row>
    <row r="1871" spans="2:14" hidden="1" x14ac:dyDescent="0.2">
      <c r="B1871" s="3">
        <v>84205</v>
      </c>
      <c r="C1871" s="3">
        <v>0</v>
      </c>
      <c r="D1871">
        <v>1868</v>
      </c>
      <c r="E1871" t="str">
        <f>VLOOKUP(B1871,Nuclides!A:F,5,FALSE)</f>
        <v>Po205</v>
      </c>
      <c r="F1871">
        <f>VLOOKUP(B1871,Nuclides!A:F,4,FALSE)</f>
        <v>6264</v>
      </c>
      <c r="G1871" s="3" t="str">
        <f t="shared" si="148"/>
        <v>1.74h</v>
      </c>
      <c r="H1871" s="3">
        <f t="shared" si="149"/>
        <v>1.1065568016601936E-4</v>
      </c>
      <c r="I1871" s="3">
        <f t="shared" si="150"/>
        <v>0</v>
      </c>
      <c r="J1871" s="3">
        <f t="shared" si="151"/>
        <v>0</v>
      </c>
      <c r="K1871" s="3" t="str">
        <f t="shared" si="152"/>
        <v>Po205</v>
      </c>
      <c r="L1871" s="3" cm="1">
        <f t="array" ref="L1871">SUM(($J1871*EXP(-$H1871*12*3600*_xlfn.SEQUENCE(L$1-1))))+$J1871</f>
        <v>0</v>
      </c>
      <c r="M1871" s="3"/>
      <c r="N1871" s="3"/>
    </row>
    <row r="1872" spans="2:14" hidden="1" x14ac:dyDescent="0.2">
      <c r="B1872" s="3">
        <v>84206</v>
      </c>
      <c r="C1872" s="3">
        <v>0</v>
      </c>
      <c r="D1872">
        <v>1869</v>
      </c>
      <c r="E1872" t="str">
        <f>VLOOKUP(B1872,Nuclides!A:F,5,FALSE)</f>
        <v>Po206</v>
      </c>
      <c r="F1872">
        <f>VLOOKUP(B1872,Nuclides!A:F,4,FALSE)</f>
        <v>760320</v>
      </c>
      <c r="G1872" s="3" t="str">
        <f t="shared" si="148"/>
        <v>8.8d</v>
      </c>
      <c r="H1872" s="3">
        <f t="shared" si="149"/>
        <v>9.1165191045868224E-7</v>
      </c>
      <c r="I1872" s="3">
        <f t="shared" si="150"/>
        <v>0</v>
      </c>
      <c r="J1872" s="3">
        <f t="shared" si="151"/>
        <v>0</v>
      </c>
      <c r="K1872" s="3" t="str">
        <f t="shared" si="152"/>
        <v>Po206</v>
      </c>
      <c r="L1872" s="3" cm="1">
        <f t="array" ref="L1872">SUM(($J1872*EXP(-$H1872*12*3600*_xlfn.SEQUENCE(L$1-1))))+$J1872</f>
        <v>0</v>
      </c>
      <c r="M1872" s="3"/>
      <c r="N1872" s="3"/>
    </row>
    <row r="1873" spans="2:14" hidden="1" x14ac:dyDescent="0.2">
      <c r="B1873" s="3">
        <v>84207</v>
      </c>
      <c r="C1873" s="3">
        <v>0</v>
      </c>
      <c r="D1873">
        <v>1870</v>
      </c>
      <c r="E1873" t="str">
        <f>VLOOKUP(B1873,Nuclides!A:F,5,FALSE)</f>
        <v>Po207</v>
      </c>
      <c r="F1873">
        <f>VLOOKUP(B1873,Nuclides!A:F,4,FALSE)</f>
        <v>20880</v>
      </c>
      <c r="G1873" s="3" t="str">
        <f t="shared" si="148"/>
        <v>5.8h</v>
      </c>
      <c r="H1873" s="3">
        <f t="shared" si="149"/>
        <v>3.3196704049805806E-5</v>
      </c>
      <c r="I1873" s="3">
        <f t="shared" si="150"/>
        <v>0</v>
      </c>
      <c r="J1873" s="3">
        <f t="shared" si="151"/>
        <v>0</v>
      </c>
      <c r="K1873" s="3" t="str">
        <f t="shared" si="152"/>
        <v>Po207</v>
      </c>
      <c r="L1873" s="3" cm="1">
        <f t="array" ref="L1873">SUM(($J1873*EXP(-$H1873*12*3600*_xlfn.SEQUENCE(L$1-1))))+$J1873</f>
        <v>0</v>
      </c>
      <c r="M1873" s="3"/>
      <c r="N1873" s="3"/>
    </row>
    <row r="1874" spans="2:14" hidden="1" x14ac:dyDescent="0.2">
      <c r="B1874" s="3">
        <v>84208</v>
      </c>
      <c r="C1874" s="3">
        <v>0</v>
      </c>
      <c r="D1874">
        <v>1871</v>
      </c>
      <c r="E1874" t="str">
        <f>VLOOKUP(B1874,Nuclides!A:F,5,FALSE)</f>
        <v>Po208</v>
      </c>
      <c r="F1874">
        <f>VLOOKUP(B1874,Nuclides!A:F,4,FALSE)</f>
        <v>91453924.799999997</v>
      </c>
      <c r="G1874" s="3" t="str">
        <f t="shared" si="148"/>
        <v>2.9y</v>
      </c>
      <c r="H1874" s="3">
        <f t="shared" si="149"/>
        <v>7.5791955574983193E-9</v>
      </c>
      <c r="I1874" s="3">
        <f t="shared" si="150"/>
        <v>0</v>
      </c>
      <c r="J1874" s="3">
        <f t="shared" si="151"/>
        <v>0</v>
      </c>
      <c r="K1874" s="3" t="str">
        <f t="shared" si="152"/>
        <v>Po208</v>
      </c>
      <c r="L1874" s="3" cm="1">
        <f t="array" ref="L1874">SUM(($J1874*EXP(-$H1874*12*3600*_xlfn.SEQUENCE(L$1-1))))+$J1874</f>
        <v>0</v>
      </c>
      <c r="M1874" s="3"/>
      <c r="N1874" s="3"/>
    </row>
    <row r="1875" spans="2:14" hidden="1" x14ac:dyDescent="0.2">
      <c r="B1875" s="3">
        <v>84209</v>
      </c>
      <c r="C1875" s="3">
        <v>0</v>
      </c>
      <c r="D1875">
        <v>1872</v>
      </c>
      <c r="E1875" t="str">
        <f>VLOOKUP(B1875,Nuclides!A:F,5,FALSE)</f>
        <v>Po209</v>
      </c>
      <c r="F1875">
        <f>VLOOKUP(B1875,Nuclides!A:F,4,FALSE)</f>
        <v>3913142400</v>
      </c>
      <c r="G1875" s="3" t="str">
        <f t="shared" si="148"/>
        <v>124.08y</v>
      </c>
      <c r="H1875" s="3">
        <f t="shared" si="149"/>
        <v>1.7713313488411393E-10</v>
      </c>
      <c r="I1875" s="3">
        <f t="shared" si="150"/>
        <v>0</v>
      </c>
      <c r="J1875" s="3">
        <f t="shared" si="151"/>
        <v>0</v>
      </c>
      <c r="K1875" s="3" t="str">
        <f t="shared" si="152"/>
        <v>Po209</v>
      </c>
      <c r="L1875" s="3" cm="1">
        <f t="array" ref="L1875">SUM(($J1875*EXP(-$H1875*12*3600*_xlfn.SEQUENCE(L$1-1))))+$J1875</f>
        <v>0</v>
      </c>
      <c r="M1875" s="3"/>
      <c r="N1875" s="3"/>
    </row>
    <row r="1876" spans="2:14" hidden="1" x14ac:dyDescent="0.2">
      <c r="B1876" s="3">
        <v>84210</v>
      </c>
      <c r="C1876" s="3">
        <v>0</v>
      </c>
      <c r="D1876">
        <v>1873</v>
      </c>
      <c r="E1876" t="str">
        <f>VLOOKUP(B1876,Nuclides!A:F,5,FALSE)</f>
        <v>Po210</v>
      </c>
      <c r="F1876">
        <f>VLOOKUP(B1876,Nuclides!A:F,4,FALSE)</f>
        <v>11955686.4</v>
      </c>
      <c r="G1876" s="3" t="str">
        <f t="shared" si="148"/>
        <v>138.38d</v>
      </c>
      <c r="H1876" s="3">
        <f t="shared" si="149"/>
        <v>5.7976360149421891E-8</v>
      </c>
      <c r="I1876" s="3">
        <f t="shared" si="150"/>
        <v>0</v>
      </c>
      <c r="J1876" s="3">
        <f t="shared" si="151"/>
        <v>0</v>
      </c>
      <c r="K1876" s="3" t="str">
        <f t="shared" si="152"/>
        <v>Po210</v>
      </c>
      <c r="L1876" s="3" cm="1">
        <f t="array" ref="L1876">SUM(($J1876*EXP(-$H1876*12*3600*_xlfn.SEQUENCE(L$1-1))))+$J1876</f>
        <v>0</v>
      </c>
      <c r="M1876" s="3"/>
      <c r="N1876" s="3"/>
    </row>
    <row r="1877" spans="2:14" hidden="1" x14ac:dyDescent="0.2">
      <c r="B1877" s="3">
        <v>84211</v>
      </c>
      <c r="C1877" s="3">
        <v>0</v>
      </c>
      <c r="D1877">
        <v>1874</v>
      </c>
      <c r="E1877" t="str">
        <f>VLOOKUP(B1877,Nuclides!A:F,5,FALSE)</f>
        <v>Po211</v>
      </c>
      <c r="F1877">
        <f>VLOOKUP(B1877,Nuclides!A:F,4,FALSE)</f>
        <v>0.51600000000000001</v>
      </c>
      <c r="G1877" s="3" t="str">
        <f t="shared" si="148"/>
        <v>0.516s</v>
      </c>
      <c r="H1877" s="3">
        <f t="shared" si="149"/>
        <v>1.3433084894572582</v>
      </c>
      <c r="I1877" s="3">
        <f t="shared" si="150"/>
        <v>0</v>
      </c>
      <c r="J1877" s="3">
        <f t="shared" si="151"/>
        <v>0</v>
      </c>
      <c r="K1877" s="3" t="str">
        <f t="shared" si="152"/>
        <v>Po211</v>
      </c>
      <c r="L1877" s="3" cm="1">
        <f t="array" ref="L1877">SUM(($J1877*EXP(-$H1877*12*3600*_xlfn.SEQUENCE(L$1-1))))+$J1877</f>
        <v>0</v>
      </c>
      <c r="M1877" s="3"/>
      <c r="N1877" s="3"/>
    </row>
    <row r="1878" spans="2:14" hidden="1" x14ac:dyDescent="0.2">
      <c r="B1878" s="3">
        <v>84212</v>
      </c>
      <c r="C1878" s="3">
        <v>0</v>
      </c>
      <c r="D1878">
        <v>1875</v>
      </c>
      <c r="E1878" t="str">
        <f>VLOOKUP(B1878,Nuclides!A:F,5,FALSE)</f>
        <v>Po212</v>
      </c>
      <c r="F1878">
        <f>VLOOKUP(B1878,Nuclides!A:F,4,FALSE)</f>
        <v>2.9899999999999901E-7</v>
      </c>
      <c r="G1878" s="3" t="str">
        <f t="shared" si="148"/>
        <v>2.98999999999999E-07s</v>
      </c>
      <c r="H1878" s="3">
        <f t="shared" si="149"/>
        <v>2318217.995183771</v>
      </c>
      <c r="I1878" s="3">
        <f t="shared" si="150"/>
        <v>0</v>
      </c>
      <c r="J1878" s="3">
        <f t="shared" si="151"/>
        <v>0</v>
      </c>
      <c r="K1878" s="3" t="str">
        <f t="shared" si="152"/>
        <v>Po212</v>
      </c>
      <c r="L1878" s="3" cm="1">
        <f t="array" ref="L1878">SUM(($J1878*EXP(-$H1878*12*3600*_xlfn.SEQUENCE(L$1-1))))+$J1878</f>
        <v>0</v>
      </c>
      <c r="M1878" s="3"/>
      <c r="N1878" s="3"/>
    </row>
    <row r="1879" spans="2:14" hidden="1" x14ac:dyDescent="0.2">
      <c r="B1879" s="3">
        <v>84213</v>
      </c>
      <c r="C1879" s="3">
        <v>0</v>
      </c>
      <c r="D1879">
        <v>1876</v>
      </c>
      <c r="E1879" t="str">
        <f>VLOOKUP(B1879,Nuclides!A:F,5,FALSE)</f>
        <v>Po213</v>
      </c>
      <c r="F1879">
        <f>VLOOKUP(B1879,Nuclides!A:F,4,FALSE)</f>
        <v>3.72E-6</v>
      </c>
      <c r="G1879" s="3" t="str">
        <f t="shared" si="148"/>
        <v>0.00000372s</v>
      </c>
      <c r="H1879" s="3">
        <f t="shared" si="149"/>
        <v>186329.88724729713</v>
      </c>
      <c r="I1879" s="3">
        <f t="shared" si="150"/>
        <v>0</v>
      </c>
      <c r="J1879" s="3">
        <f t="shared" si="151"/>
        <v>0</v>
      </c>
      <c r="K1879" s="3" t="str">
        <f t="shared" si="152"/>
        <v>Po213</v>
      </c>
      <c r="L1879" s="3" cm="1">
        <f t="array" ref="L1879">SUM(($J1879*EXP(-$H1879*12*3600*_xlfn.SEQUENCE(L$1-1))))+$J1879</f>
        <v>0</v>
      </c>
      <c r="M1879" s="3"/>
      <c r="N1879" s="3"/>
    </row>
    <row r="1880" spans="2:14" hidden="1" x14ac:dyDescent="0.2">
      <c r="B1880" s="3">
        <v>84214</v>
      </c>
      <c r="C1880" s="3">
        <v>0</v>
      </c>
      <c r="D1880">
        <v>1877</v>
      </c>
      <c r="E1880" t="str">
        <f>VLOOKUP(B1880,Nuclides!A:F,5,FALSE)</f>
        <v>Po214</v>
      </c>
      <c r="F1880">
        <f>VLOOKUP(B1880,Nuclides!A:F,4,FALSE)</f>
        <v>1.6359999999999999E-4</v>
      </c>
      <c r="G1880" s="3" t="str">
        <f t="shared" si="148"/>
        <v>0.0001636s</v>
      </c>
      <c r="H1880" s="3">
        <f t="shared" si="149"/>
        <v>4236.8409569678806</v>
      </c>
      <c r="I1880" s="3">
        <f t="shared" si="150"/>
        <v>0</v>
      </c>
      <c r="J1880" s="3">
        <f t="shared" si="151"/>
        <v>0</v>
      </c>
      <c r="K1880" s="3" t="str">
        <f t="shared" si="152"/>
        <v>Po214</v>
      </c>
      <c r="L1880" s="3" cm="1">
        <f t="array" ref="L1880">SUM(($J1880*EXP(-$H1880*12*3600*_xlfn.SEQUENCE(L$1-1))))+$J1880</f>
        <v>0</v>
      </c>
      <c r="M1880" s="3"/>
      <c r="N1880" s="3"/>
    </row>
    <row r="1881" spans="2:14" hidden="1" x14ac:dyDescent="0.2">
      <c r="B1881" s="3">
        <v>84215</v>
      </c>
      <c r="C1881" s="3">
        <v>0</v>
      </c>
      <c r="D1881">
        <v>1878</v>
      </c>
      <c r="E1881" t="str">
        <f>VLOOKUP(B1881,Nuclides!A:F,5,FALSE)</f>
        <v>Po215</v>
      </c>
      <c r="F1881">
        <f>VLOOKUP(B1881,Nuclides!A:F,4,FALSE)</f>
        <v>1.781E-3</v>
      </c>
      <c r="G1881" s="3" t="str">
        <f t="shared" si="148"/>
        <v>0.001781s</v>
      </c>
      <c r="H1881" s="3">
        <f t="shared" si="149"/>
        <v>389.18988240311359</v>
      </c>
      <c r="I1881" s="3">
        <f t="shared" si="150"/>
        <v>0</v>
      </c>
      <c r="J1881" s="3">
        <f t="shared" si="151"/>
        <v>0</v>
      </c>
      <c r="K1881" s="3" t="str">
        <f t="shared" si="152"/>
        <v>Po215</v>
      </c>
      <c r="L1881" s="3" cm="1">
        <f t="array" ref="L1881">SUM(($J1881*EXP(-$H1881*12*3600*_xlfn.SEQUENCE(L$1-1))))+$J1881</f>
        <v>0</v>
      </c>
      <c r="M1881" s="3"/>
      <c r="N1881" s="3"/>
    </row>
    <row r="1882" spans="2:14" hidden="1" x14ac:dyDescent="0.2">
      <c r="B1882" s="3">
        <v>84216</v>
      </c>
      <c r="C1882" s="3">
        <v>0</v>
      </c>
      <c r="D1882">
        <v>1879</v>
      </c>
      <c r="E1882" t="str">
        <f>VLOOKUP(B1882,Nuclides!A:F,5,FALSE)</f>
        <v>Po216</v>
      </c>
      <c r="F1882">
        <f>VLOOKUP(B1882,Nuclides!A:F,4,FALSE)</f>
        <v>0.14499999999999999</v>
      </c>
      <c r="G1882" s="3" t="str">
        <f t="shared" si="148"/>
        <v>0.145s</v>
      </c>
      <c r="H1882" s="3">
        <f t="shared" si="149"/>
        <v>4.7803253831720367</v>
      </c>
      <c r="I1882" s="3">
        <f t="shared" si="150"/>
        <v>0</v>
      </c>
      <c r="J1882" s="3">
        <f t="shared" si="151"/>
        <v>0</v>
      </c>
      <c r="K1882" s="3" t="str">
        <f t="shared" si="152"/>
        <v>Po216</v>
      </c>
      <c r="L1882" s="3" cm="1">
        <f t="array" ref="L1882">SUM(($J1882*EXP(-$H1882*12*3600*_xlfn.SEQUENCE(L$1-1))))+$J1882</f>
        <v>0</v>
      </c>
      <c r="M1882" s="3"/>
      <c r="N1882" s="3"/>
    </row>
    <row r="1883" spans="2:14" hidden="1" x14ac:dyDescent="0.2">
      <c r="B1883" s="3">
        <v>84217</v>
      </c>
      <c r="C1883" s="3">
        <v>0</v>
      </c>
      <c r="D1883">
        <v>1880</v>
      </c>
      <c r="E1883" t="str">
        <f>VLOOKUP(B1883,Nuclides!A:F,5,FALSE)</f>
        <v>Po217</v>
      </c>
      <c r="F1883">
        <f>VLOOKUP(B1883,Nuclides!A:F,4,FALSE)</f>
        <v>1.53</v>
      </c>
      <c r="G1883" s="3" t="str">
        <f t="shared" si="148"/>
        <v>1.53s</v>
      </c>
      <c r="H1883" s="3">
        <f t="shared" si="149"/>
        <v>0.45303737291499691</v>
      </c>
      <c r="I1883" s="3">
        <f t="shared" si="150"/>
        <v>0</v>
      </c>
      <c r="J1883" s="3">
        <f t="shared" si="151"/>
        <v>0</v>
      </c>
      <c r="K1883" s="3" t="str">
        <f t="shared" si="152"/>
        <v>Po217</v>
      </c>
      <c r="L1883" s="3" cm="1">
        <f t="array" ref="L1883">SUM(($J1883*EXP(-$H1883*12*3600*_xlfn.SEQUENCE(L$1-1))))+$J1883</f>
        <v>0</v>
      </c>
      <c r="M1883" s="3"/>
      <c r="N1883" s="3"/>
    </row>
    <row r="1884" spans="2:14" hidden="1" x14ac:dyDescent="0.2">
      <c r="B1884" s="3">
        <v>84218</v>
      </c>
      <c r="C1884" s="3">
        <v>0</v>
      </c>
      <c r="D1884">
        <v>1881</v>
      </c>
      <c r="E1884" t="str">
        <f>VLOOKUP(B1884,Nuclides!A:F,5,FALSE)</f>
        <v>Po218</v>
      </c>
      <c r="F1884">
        <f>VLOOKUP(B1884,Nuclides!A:F,4,FALSE)</f>
        <v>185.88</v>
      </c>
      <c r="G1884" s="3" t="str">
        <f t="shared" si="148"/>
        <v>3.1min</v>
      </c>
      <c r="H1884" s="3">
        <f t="shared" si="149"/>
        <v>3.7290035536902588E-3</v>
      </c>
      <c r="I1884" s="3">
        <f t="shared" si="150"/>
        <v>0</v>
      </c>
      <c r="J1884" s="3">
        <f t="shared" si="151"/>
        <v>0</v>
      </c>
      <c r="K1884" s="3" t="str">
        <f t="shared" si="152"/>
        <v>Po218</v>
      </c>
      <c r="L1884" s="3" cm="1">
        <f t="array" ref="L1884">SUM(($J1884*EXP(-$H1884*12*3600*_xlfn.SEQUENCE(L$1-1))))+$J1884</f>
        <v>0</v>
      </c>
      <c r="M1884" s="3"/>
      <c r="N1884" s="3"/>
    </row>
    <row r="1885" spans="2:14" hidden="1" x14ac:dyDescent="0.2">
      <c r="B1885" s="3">
        <v>85196</v>
      </c>
      <c r="C1885" s="3">
        <v>0</v>
      </c>
      <c r="D1885">
        <v>1882</v>
      </c>
      <c r="E1885" t="str">
        <f>VLOOKUP(B1885,Nuclides!A:F,5,FALSE)</f>
        <v>At196</v>
      </c>
      <c r="F1885">
        <f>VLOOKUP(B1885,Nuclides!A:F,4,FALSE)</f>
        <v>0.38800000000000001</v>
      </c>
      <c r="G1885" s="3" t="str">
        <f t="shared" si="148"/>
        <v>0.388s</v>
      </c>
      <c r="H1885" s="3">
        <f t="shared" si="149"/>
        <v>1.7864618055668693</v>
      </c>
      <c r="I1885" s="3">
        <f t="shared" si="150"/>
        <v>0</v>
      </c>
      <c r="J1885" s="3">
        <f t="shared" si="151"/>
        <v>0</v>
      </c>
      <c r="K1885" s="3" t="str">
        <f t="shared" si="152"/>
        <v>At196</v>
      </c>
      <c r="L1885" s="3" cm="1">
        <f t="array" ref="L1885">SUM(($J1885*EXP(-$H1885*12*3600*_xlfn.SEQUENCE(L$1-1))))+$J1885</f>
        <v>0</v>
      </c>
      <c r="M1885" s="3"/>
      <c r="N1885" s="3"/>
    </row>
    <row r="1886" spans="2:14" hidden="1" x14ac:dyDescent="0.2">
      <c r="B1886" s="3">
        <v>85197</v>
      </c>
      <c r="C1886" s="3">
        <v>0</v>
      </c>
      <c r="D1886">
        <v>1883</v>
      </c>
      <c r="E1886" t="str">
        <f>VLOOKUP(B1886,Nuclides!A:F,5,FALSE)</f>
        <v>At197</v>
      </c>
      <c r="F1886">
        <f>VLOOKUP(B1886,Nuclides!A:F,4,FALSE)</f>
        <v>0.38800000000000001</v>
      </c>
      <c r="G1886" s="3" t="str">
        <f t="shared" si="148"/>
        <v>0.388s</v>
      </c>
      <c r="H1886" s="3">
        <f t="shared" si="149"/>
        <v>1.7864618055668693</v>
      </c>
      <c r="I1886" s="3">
        <f t="shared" si="150"/>
        <v>0</v>
      </c>
      <c r="J1886" s="3">
        <f t="shared" si="151"/>
        <v>0</v>
      </c>
      <c r="K1886" s="3" t="str">
        <f t="shared" si="152"/>
        <v>At197</v>
      </c>
      <c r="L1886" s="3" cm="1">
        <f t="array" ref="L1886">SUM(($J1886*EXP(-$H1886*12*3600*_xlfn.SEQUENCE(L$1-1))))+$J1886</f>
        <v>0</v>
      </c>
      <c r="M1886" s="3"/>
      <c r="N1886" s="3"/>
    </row>
    <row r="1887" spans="2:14" hidden="1" x14ac:dyDescent="0.2">
      <c r="B1887" s="3">
        <v>85198</v>
      </c>
      <c r="C1887" s="3">
        <v>0</v>
      </c>
      <c r="D1887">
        <v>1884</v>
      </c>
      <c r="E1887" t="str">
        <f>VLOOKUP(B1887,Nuclides!A:F,5,FALSE)</f>
        <v>At198</v>
      </c>
      <c r="F1887">
        <f>VLOOKUP(B1887,Nuclides!A:F,4,FALSE)</f>
        <v>4.2</v>
      </c>
      <c r="G1887" s="3" t="str">
        <f t="shared" si="148"/>
        <v>4.2s</v>
      </c>
      <c r="H1887" s="3">
        <f t="shared" si="149"/>
        <v>0.16503504299046315</v>
      </c>
      <c r="I1887" s="3">
        <f t="shared" si="150"/>
        <v>0</v>
      </c>
      <c r="J1887" s="3">
        <f t="shared" si="151"/>
        <v>0</v>
      </c>
      <c r="K1887" s="3" t="str">
        <f t="shared" si="152"/>
        <v>At198</v>
      </c>
      <c r="L1887" s="3" cm="1">
        <f t="array" ref="L1887">SUM(($J1887*EXP(-$H1887*12*3600*_xlfn.SEQUENCE(L$1-1))))+$J1887</f>
        <v>0</v>
      </c>
      <c r="M1887" s="3"/>
      <c r="N1887" s="3"/>
    </row>
    <row r="1888" spans="2:14" hidden="1" x14ac:dyDescent="0.2">
      <c r="B1888" s="3">
        <v>85199</v>
      </c>
      <c r="C1888" s="3">
        <v>0</v>
      </c>
      <c r="D1888">
        <v>1885</v>
      </c>
      <c r="E1888" t="str">
        <f>VLOOKUP(B1888,Nuclides!A:F,5,FALSE)</f>
        <v>At199</v>
      </c>
      <c r="F1888">
        <f>VLOOKUP(B1888,Nuclides!A:F,4,FALSE)</f>
        <v>6.92</v>
      </c>
      <c r="G1888" s="3" t="str">
        <f t="shared" si="148"/>
        <v>6.92s</v>
      </c>
      <c r="H1888" s="3">
        <f t="shared" si="149"/>
        <v>0.10016577753756435</v>
      </c>
      <c r="I1888" s="3">
        <f t="shared" si="150"/>
        <v>0</v>
      </c>
      <c r="J1888" s="3">
        <f t="shared" si="151"/>
        <v>0</v>
      </c>
      <c r="K1888" s="3" t="str">
        <f t="shared" si="152"/>
        <v>At199</v>
      </c>
      <c r="L1888" s="3" cm="1">
        <f t="array" ref="L1888">SUM(($J1888*EXP(-$H1888*12*3600*_xlfn.SEQUENCE(L$1-1))))+$J1888</f>
        <v>0</v>
      </c>
      <c r="M1888" s="3"/>
      <c r="N1888" s="3"/>
    </row>
    <row r="1889" spans="2:14" hidden="1" x14ac:dyDescent="0.2">
      <c r="B1889" s="3">
        <v>85200</v>
      </c>
      <c r="C1889" s="3">
        <v>0</v>
      </c>
      <c r="D1889">
        <v>1886</v>
      </c>
      <c r="E1889" t="str">
        <f>VLOOKUP(B1889,Nuclides!A:F,5,FALSE)</f>
        <v>At200</v>
      </c>
      <c r="F1889">
        <f>VLOOKUP(B1889,Nuclides!A:F,4,FALSE)</f>
        <v>43</v>
      </c>
      <c r="G1889" s="3" t="str">
        <f t="shared" si="148"/>
        <v>43s</v>
      </c>
      <c r="H1889" s="3">
        <f t="shared" si="149"/>
        <v>1.6119701873487099E-2</v>
      </c>
      <c r="I1889" s="3">
        <f t="shared" si="150"/>
        <v>0</v>
      </c>
      <c r="J1889" s="3">
        <f t="shared" si="151"/>
        <v>0</v>
      </c>
      <c r="K1889" s="3" t="str">
        <f t="shared" si="152"/>
        <v>At200</v>
      </c>
      <c r="L1889" s="3" cm="1">
        <f t="array" ref="L1889">SUM(($J1889*EXP(-$H1889*12*3600*_xlfn.SEQUENCE(L$1-1))))+$J1889</f>
        <v>0</v>
      </c>
      <c r="M1889" s="3"/>
      <c r="N1889" s="3"/>
    </row>
    <row r="1890" spans="2:14" hidden="1" x14ac:dyDescent="0.2">
      <c r="B1890" s="3">
        <v>85201</v>
      </c>
      <c r="C1890" s="3">
        <v>0</v>
      </c>
      <c r="D1890">
        <v>1887</v>
      </c>
      <c r="E1890" t="str">
        <f>VLOOKUP(B1890,Nuclides!A:F,5,FALSE)</f>
        <v>At201</v>
      </c>
      <c r="F1890">
        <f>VLOOKUP(B1890,Nuclides!A:F,4,FALSE)</f>
        <v>85.2</v>
      </c>
      <c r="G1890" s="3" t="str">
        <f t="shared" si="148"/>
        <v>1.42min</v>
      </c>
      <c r="H1890" s="3">
        <f t="shared" si="149"/>
        <v>8.1355302882622684E-3</v>
      </c>
      <c r="I1890" s="3">
        <f t="shared" si="150"/>
        <v>0</v>
      </c>
      <c r="J1890" s="3">
        <f t="shared" si="151"/>
        <v>0</v>
      </c>
      <c r="K1890" s="3" t="str">
        <f t="shared" si="152"/>
        <v>At201</v>
      </c>
      <c r="L1890" s="3" cm="1">
        <f t="array" ref="L1890">SUM(($J1890*EXP(-$H1890*12*3600*_xlfn.SEQUENCE(L$1-1))))+$J1890</f>
        <v>0</v>
      </c>
      <c r="M1890" s="3"/>
      <c r="N1890" s="3"/>
    </row>
    <row r="1891" spans="2:14" hidden="1" x14ac:dyDescent="0.2">
      <c r="B1891" s="3">
        <v>85202</v>
      </c>
      <c r="C1891" s="3">
        <v>0</v>
      </c>
      <c r="D1891">
        <v>1888</v>
      </c>
      <c r="E1891" t="str">
        <f>VLOOKUP(B1891,Nuclides!A:F,5,FALSE)</f>
        <v>At202</v>
      </c>
      <c r="F1891">
        <f>VLOOKUP(B1891,Nuclides!A:F,4,FALSE)</f>
        <v>184</v>
      </c>
      <c r="G1891" s="3" t="str">
        <f t="shared" si="148"/>
        <v>3.07min</v>
      </c>
      <c r="H1891" s="3">
        <f t="shared" si="149"/>
        <v>3.7671042421736156E-3</v>
      </c>
      <c r="I1891" s="3">
        <f t="shared" si="150"/>
        <v>0</v>
      </c>
      <c r="J1891" s="3">
        <f t="shared" si="151"/>
        <v>0</v>
      </c>
      <c r="K1891" s="3" t="str">
        <f t="shared" si="152"/>
        <v>At202</v>
      </c>
      <c r="L1891" s="3" cm="1">
        <f t="array" ref="L1891">SUM(($J1891*EXP(-$H1891*12*3600*_xlfn.SEQUENCE(L$1-1))))+$J1891</f>
        <v>0</v>
      </c>
      <c r="M1891" s="3"/>
      <c r="N1891" s="3"/>
    </row>
    <row r="1892" spans="2:14" hidden="1" x14ac:dyDescent="0.2">
      <c r="B1892" s="3">
        <v>85203</v>
      </c>
      <c r="C1892" s="3">
        <v>0</v>
      </c>
      <c r="D1892">
        <v>1889</v>
      </c>
      <c r="E1892" t="str">
        <f>VLOOKUP(B1892,Nuclides!A:F,5,FALSE)</f>
        <v>At203</v>
      </c>
      <c r="F1892">
        <f>VLOOKUP(B1892,Nuclides!A:F,4,FALSE)</f>
        <v>444</v>
      </c>
      <c r="G1892" s="3" t="str">
        <f t="shared" si="148"/>
        <v>7.4min</v>
      </c>
      <c r="H1892" s="3">
        <f t="shared" si="149"/>
        <v>1.5611422985584353E-3</v>
      </c>
      <c r="I1892" s="3">
        <f t="shared" si="150"/>
        <v>0</v>
      </c>
      <c r="J1892" s="3">
        <f t="shared" si="151"/>
        <v>0</v>
      </c>
      <c r="K1892" s="3" t="str">
        <f t="shared" si="152"/>
        <v>At203</v>
      </c>
      <c r="L1892" s="3" cm="1">
        <f t="array" ref="L1892">SUM(($J1892*EXP(-$H1892*12*3600*_xlfn.SEQUENCE(L$1-1))))+$J1892</f>
        <v>0</v>
      </c>
      <c r="M1892" s="3"/>
      <c r="N1892" s="3"/>
    </row>
    <row r="1893" spans="2:14" hidden="1" x14ac:dyDescent="0.2">
      <c r="B1893" s="3">
        <v>85204</v>
      </c>
      <c r="C1893" s="3">
        <v>0</v>
      </c>
      <c r="D1893">
        <v>1890</v>
      </c>
      <c r="E1893" t="str">
        <f>VLOOKUP(B1893,Nuclides!A:F,5,FALSE)</f>
        <v>At204</v>
      </c>
      <c r="F1893">
        <f>VLOOKUP(B1893,Nuclides!A:F,4,FALSE)</f>
        <v>547.19999999999902</v>
      </c>
      <c r="G1893" s="3" t="str">
        <f t="shared" si="148"/>
        <v>9.12min</v>
      </c>
      <c r="H1893" s="3">
        <f t="shared" si="149"/>
        <v>1.2667163387425923E-3</v>
      </c>
      <c r="I1893" s="3">
        <f t="shared" si="150"/>
        <v>0</v>
      </c>
      <c r="J1893" s="3">
        <f t="shared" si="151"/>
        <v>0</v>
      </c>
      <c r="K1893" s="3" t="str">
        <f t="shared" si="152"/>
        <v>At204</v>
      </c>
      <c r="L1893" s="3" cm="1">
        <f t="array" ref="L1893">SUM(($J1893*EXP(-$H1893*12*3600*_xlfn.SEQUENCE(L$1-1))))+$J1893</f>
        <v>0</v>
      </c>
      <c r="M1893" s="3"/>
      <c r="N1893" s="3"/>
    </row>
    <row r="1894" spans="2:14" hidden="1" x14ac:dyDescent="0.2">
      <c r="B1894" s="3">
        <v>85205</v>
      </c>
      <c r="C1894" s="3">
        <v>0</v>
      </c>
      <c r="D1894">
        <v>1891</v>
      </c>
      <c r="E1894" t="str">
        <f>VLOOKUP(B1894,Nuclides!A:F,5,FALSE)</f>
        <v>At205</v>
      </c>
      <c r="F1894">
        <f>VLOOKUP(B1894,Nuclides!A:F,4,FALSE)</f>
        <v>1614</v>
      </c>
      <c r="G1894" s="3" t="str">
        <f t="shared" si="148"/>
        <v>26.9min</v>
      </c>
      <c r="H1894" s="3">
        <f t="shared" si="149"/>
        <v>4.2945921967778517E-4</v>
      </c>
      <c r="I1894" s="3">
        <f t="shared" si="150"/>
        <v>0</v>
      </c>
      <c r="J1894" s="3">
        <f t="shared" si="151"/>
        <v>0</v>
      </c>
      <c r="K1894" s="3" t="str">
        <f t="shared" si="152"/>
        <v>At205</v>
      </c>
      <c r="L1894" s="3" cm="1">
        <f t="array" ref="L1894">SUM(($J1894*EXP(-$H1894*12*3600*_xlfn.SEQUENCE(L$1-1))))+$J1894</f>
        <v>0</v>
      </c>
      <c r="M1894" s="3"/>
      <c r="N1894" s="3"/>
    </row>
    <row r="1895" spans="2:14" hidden="1" x14ac:dyDescent="0.2">
      <c r="B1895" s="3">
        <v>85206</v>
      </c>
      <c r="C1895" s="3">
        <v>0</v>
      </c>
      <c r="D1895">
        <v>1892</v>
      </c>
      <c r="E1895" t="str">
        <f>VLOOKUP(B1895,Nuclides!A:F,5,FALSE)</f>
        <v>At206</v>
      </c>
      <c r="F1895">
        <f>VLOOKUP(B1895,Nuclides!A:F,4,FALSE)</f>
        <v>1836</v>
      </c>
      <c r="G1895" s="3" t="str">
        <f t="shared" si="148"/>
        <v>30.6min</v>
      </c>
      <c r="H1895" s="3">
        <f t="shared" si="149"/>
        <v>3.7753114409583077E-4</v>
      </c>
      <c r="I1895" s="3">
        <f t="shared" si="150"/>
        <v>0</v>
      </c>
      <c r="J1895" s="3">
        <f t="shared" si="151"/>
        <v>0</v>
      </c>
      <c r="K1895" s="3" t="str">
        <f t="shared" si="152"/>
        <v>At206</v>
      </c>
      <c r="L1895" s="3" cm="1">
        <f t="array" ref="L1895">SUM(($J1895*EXP(-$H1895*12*3600*_xlfn.SEQUENCE(L$1-1))))+$J1895</f>
        <v>0</v>
      </c>
      <c r="M1895" s="3"/>
      <c r="N1895" s="3"/>
    </row>
    <row r="1896" spans="2:14" hidden="1" x14ac:dyDescent="0.2">
      <c r="B1896" s="3">
        <v>85207</v>
      </c>
      <c r="C1896" s="3">
        <v>0</v>
      </c>
      <c r="D1896">
        <v>1893</v>
      </c>
      <c r="E1896" t="str">
        <f>VLOOKUP(B1896,Nuclides!A:F,5,FALSE)</f>
        <v>At207</v>
      </c>
      <c r="F1896">
        <f>VLOOKUP(B1896,Nuclides!A:F,4,FALSE)</f>
        <v>6516</v>
      </c>
      <c r="G1896" s="3" t="str">
        <f t="shared" si="148"/>
        <v>1.81h</v>
      </c>
      <c r="H1896" s="3">
        <f t="shared" si="149"/>
        <v>1.0637617872313464E-4</v>
      </c>
      <c r="I1896" s="3">
        <f t="shared" si="150"/>
        <v>0</v>
      </c>
      <c r="J1896" s="3">
        <f t="shared" si="151"/>
        <v>0</v>
      </c>
      <c r="K1896" s="3" t="str">
        <f t="shared" si="152"/>
        <v>At207</v>
      </c>
      <c r="L1896" s="3" cm="1">
        <f t="array" ref="L1896">SUM(($J1896*EXP(-$H1896*12*3600*_xlfn.SEQUENCE(L$1-1))))+$J1896</f>
        <v>0</v>
      </c>
      <c r="M1896" s="3"/>
      <c r="N1896" s="3"/>
    </row>
    <row r="1897" spans="2:14" hidden="1" x14ac:dyDescent="0.2">
      <c r="B1897" s="3">
        <v>85208</v>
      </c>
      <c r="C1897" s="3">
        <v>0</v>
      </c>
      <c r="D1897">
        <v>1894</v>
      </c>
      <c r="E1897" t="str">
        <f>VLOOKUP(B1897,Nuclides!A:F,5,FALSE)</f>
        <v>At208</v>
      </c>
      <c r="F1897">
        <f>VLOOKUP(B1897,Nuclides!A:F,4,FALSE)</f>
        <v>5868</v>
      </c>
      <c r="G1897" s="3" t="str">
        <f t="shared" si="148"/>
        <v>1.63h</v>
      </c>
      <c r="H1897" s="3">
        <f t="shared" si="149"/>
        <v>1.1812324140421699E-4</v>
      </c>
      <c r="I1897" s="3">
        <f t="shared" si="150"/>
        <v>0</v>
      </c>
      <c r="J1897" s="3">
        <f t="shared" si="151"/>
        <v>0</v>
      </c>
      <c r="K1897" s="3" t="str">
        <f t="shared" si="152"/>
        <v>At208</v>
      </c>
      <c r="L1897" s="3" cm="1">
        <f t="array" ref="L1897">SUM(($J1897*EXP(-$H1897*12*3600*_xlfn.SEQUENCE(L$1-1))))+$J1897</f>
        <v>0</v>
      </c>
      <c r="M1897" s="3"/>
      <c r="N1897" s="3"/>
    </row>
    <row r="1898" spans="2:14" hidden="1" x14ac:dyDescent="0.2">
      <c r="B1898" s="3">
        <v>85209</v>
      </c>
      <c r="C1898" s="3">
        <v>0</v>
      </c>
      <c r="D1898">
        <v>1895</v>
      </c>
      <c r="E1898" t="str">
        <f>VLOOKUP(B1898,Nuclides!A:F,5,FALSE)</f>
        <v>At209</v>
      </c>
      <c r="F1898">
        <f>VLOOKUP(B1898,Nuclides!A:F,4,FALSE)</f>
        <v>19512</v>
      </c>
      <c r="G1898" s="3" t="str">
        <f t="shared" si="148"/>
        <v>5.42h</v>
      </c>
      <c r="H1898" s="3">
        <f t="shared" si="149"/>
        <v>3.5524148245179649E-5</v>
      </c>
      <c r="I1898" s="3">
        <f t="shared" si="150"/>
        <v>0</v>
      </c>
      <c r="J1898" s="3">
        <f t="shared" si="151"/>
        <v>0</v>
      </c>
      <c r="K1898" s="3" t="str">
        <f t="shared" si="152"/>
        <v>At209</v>
      </c>
      <c r="L1898" s="3" cm="1">
        <f t="array" ref="L1898">SUM(($J1898*EXP(-$H1898*12*3600*_xlfn.SEQUENCE(L$1-1))))+$J1898</f>
        <v>0</v>
      </c>
      <c r="M1898" s="3"/>
      <c r="N1898" s="3"/>
    </row>
    <row r="1899" spans="2:14" hidden="1" x14ac:dyDescent="0.2">
      <c r="B1899" s="3">
        <v>85210</v>
      </c>
      <c r="C1899" s="3">
        <v>0</v>
      </c>
      <c r="D1899">
        <v>1896</v>
      </c>
      <c r="E1899" t="str">
        <f>VLOOKUP(B1899,Nuclides!A:F,5,FALSE)</f>
        <v>At210</v>
      </c>
      <c r="F1899">
        <f>VLOOKUP(B1899,Nuclides!A:F,4,FALSE)</f>
        <v>29160</v>
      </c>
      <c r="G1899" s="3" t="str">
        <f t="shared" si="148"/>
        <v>8.1h</v>
      </c>
      <c r="H1899" s="3">
        <f t="shared" si="149"/>
        <v>2.3770479443070827E-5</v>
      </c>
      <c r="I1899" s="3">
        <f t="shared" si="150"/>
        <v>0</v>
      </c>
      <c r="J1899" s="3">
        <f t="shared" si="151"/>
        <v>0</v>
      </c>
      <c r="K1899" s="3" t="str">
        <f t="shared" si="152"/>
        <v>At210</v>
      </c>
      <c r="L1899" s="3" cm="1">
        <f t="array" ref="L1899">SUM(($J1899*EXP(-$H1899*12*3600*_xlfn.SEQUENCE(L$1-1))))+$J1899</f>
        <v>0</v>
      </c>
      <c r="M1899" s="3"/>
      <c r="N1899" s="3"/>
    </row>
    <row r="1900" spans="2:14" hidden="1" x14ac:dyDescent="0.2">
      <c r="B1900" s="3">
        <v>85211</v>
      </c>
      <c r="C1900" s="3">
        <v>0</v>
      </c>
      <c r="D1900">
        <v>1897</v>
      </c>
      <c r="E1900" t="str">
        <f>VLOOKUP(B1900,Nuclides!A:F,5,FALSE)</f>
        <v>At211</v>
      </c>
      <c r="F1900">
        <f>VLOOKUP(B1900,Nuclides!A:F,4,FALSE)</f>
        <v>25970.400000000001</v>
      </c>
      <c r="G1900" s="3" t="str">
        <f t="shared" si="148"/>
        <v>7.21h</v>
      </c>
      <c r="H1900" s="3">
        <f t="shared" si="149"/>
        <v>2.6689892360531424E-5</v>
      </c>
      <c r="I1900" s="3">
        <f t="shared" si="150"/>
        <v>0</v>
      </c>
      <c r="J1900" s="3">
        <f t="shared" si="151"/>
        <v>0</v>
      </c>
      <c r="K1900" s="3" t="str">
        <f t="shared" si="152"/>
        <v>At211</v>
      </c>
      <c r="L1900" s="3" cm="1">
        <f t="array" ref="L1900">SUM(($J1900*EXP(-$H1900*12*3600*_xlfn.SEQUENCE(L$1-1))))+$J1900</f>
        <v>0</v>
      </c>
      <c r="M1900" s="3"/>
      <c r="N1900" s="3"/>
    </row>
    <row r="1901" spans="2:14" hidden="1" x14ac:dyDescent="0.2">
      <c r="B1901" s="3">
        <v>85212</v>
      </c>
      <c r="C1901" s="3">
        <v>0</v>
      </c>
      <c r="D1901">
        <v>1898</v>
      </c>
      <c r="E1901" t="str">
        <f>VLOOKUP(B1901,Nuclides!A:F,5,FALSE)</f>
        <v>At212</v>
      </c>
      <c r="F1901">
        <f>VLOOKUP(B1901,Nuclides!A:F,4,FALSE)</f>
        <v>0.314</v>
      </c>
      <c r="G1901" s="3" t="str">
        <f t="shared" si="148"/>
        <v>0.314s</v>
      </c>
      <c r="H1901" s="3">
        <f t="shared" si="149"/>
        <v>2.2074750973246666</v>
      </c>
      <c r="I1901" s="3">
        <f t="shared" si="150"/>
        <v>0</v>
      </c>
      <c r="J1901" s="3">
        <f t="shared" si="151"/>
        <v>0</v>
      </c>
      <c r="K1901" s="3" t="str">
        <f t="shared" si="152"/>
        <v>At212</v>
      </c>
      <c r="L1901" s="3" cm="1">
        <f t="array" ref="L1901">SUM(($J1901*EXP(-$H1901*12*3600*_xlfn.SEQUENCE(L$1-1))))+$J1901</f>
        <v>0</v>
      </c>
      <c r="M1901" s="3"/>
      <c r="N1901" s="3"/>
    </row>
    <row r="1902" spans="2:14" hidden="1" x14ac:dyDescent="0.2">
      <c r="B1902" s="3">
        <v>85213</v>
      </c>
      <c r="C1902" s="3">
        <v>0</v>
      </c>
      <c r="D1902">
        <v>1899</v>
      </c>
      <c r="E1902" t="str">
        <f>VLOOKUP(B1902,Nuclides!A:F,5,FALSE)</f>
        <v>At213</v>
      </c>
      <c r="F1902">
        <f>VLOOKUP(B1902,Nuclides!A:F,4,FALSE)</f>
        <v>1.2499999999999999E-7</v>
      </c>
      <c r="G1902" s="3" t="str">
        <f t="shared" si="148"/>
        <v>0.000000125s</v>
      </c>
      <c r="H1902" s="3">
        <f t="shared" si="149"/>
        <v>5545177.4444795623</v>
      </c>
      <c r="I1902" s="3">
        <f t="shared" si="150"/>
        <v>0</v>
      </c>
      <c r="J1902" s="3">
        <f t="shared" si="151"/>
        <v>0</v>
      </c>
      <c r="K1902" s="3" t="str">
        <f t="shared" si="152"/>
        <v>At213</v>
      </c>
      <c r="L1902" s="3" cm="1">
        <f t="array" ref="L1902">SUM(($J1902*EXP(-$H1902*12*3600*_xlfn.SEQUENCE(L$1-1))))+$J1902</f>
        <v>0</v>
      </c>
      <c r="M1902" s="3"/>
      <c r="N1902" s="3"/>
    </row>
    <row r="1903" spans="2:14" hidden="1" x14ac:dyDescent="0.2">
      <c r="B1903" s="3">
        <v>85214</v>
      </c>
      <c r="C1903" s="3">
        <v>0</v>
      </c>
      <c r="D1903">
        <v>1900</v>
      </c>
      <c r="E1903" t="str">
        <f>VLOOKUP(B1903,Nuclides!A:F,5,FALSE)</f>
        <v>At214</v>
      </c>
      <c r="F1903">
        <f>VLOOKUP(B1903,Nuclides!A:F,4,FALSE)</f>
        <v>5.5799999999999999E-7</v>
      </c>
      <c r="G1903" s="3" t="str">
        <f t="shared" si="148"/>
        <v>0.000000558s</v>
      </c>
      <c r="H1903" s="3">
        <f t="shared" si="149"/>
        <v>1242199.2483153141</v>
      </c>
      <c r="I1903" s="3">
        <f t="shared" si="150"/>
        <v>0</v>
      </c>
      <c r="J1903" s="3">
        <f t="shared" si="151"/>
        <v>0</v>
      </c>
      <c r="K1903" s="3" t="str">
        <f t="shared" si="152"/>
        <v>At214</v>
      </c>
      <c r="L1903" s="3" cm="1">
        <f t="array" ref="L1903">SUM(($J1903*EXP(-$H1903*12*3600*_xlfn.SEQUENCE(L$1-1))))+$J1903</f>
        <v>0</v>
      </c>
      <c r="M1903" s="3"/>
      <c r="N1903" s="3"/>
    </row>
    <row r="1904" spans="2:14" hidden="1" x14ac:dyDescent="0.2">
      <c r="B1904" s="3">
        <v>85215</v>
      </c>
      <c r="C1904" s="3">
        <v>0</v>
      </c>
      <c r="D1904">
        <v>1901</v>
      </c>
      <c r="E1904" t="str">
        <f>VLOOKUP(B1904,Nuclides!A:F,5,FALSE)</f>
        <v>At215</v>
      </c>
      <c r="F1904">
        <f>VLOOKUP(B1904,Nuclides!A:F,4,FALSE)</f>
        <v>1E-4</v>
      </c>
      <c r="G1904" s="3" t="str">
        <f t="shared" si="148"/>
        <v>0.0001s</v>
      </c>
      <c r="H1904" s="3">
        <f t="shared" si="149"/>
        <v>6931.4718055994526</v>
      </c>
      <c r="I1904" s="3">
        <f t="shared" si="150"/>
        <v>0</v>
      </c>
      <c r="J1904" s="3">
        <f t="shared" si="151"/>
        <v>0</v>
      </c>
      <c r="K1904" s="3" t="str">
        <f t="shared" si="152"/>
        <v>At215</v>
      </c>
      <c r="L1904" s="3" cm="1">
        <f t="array" ref="L1904">SUM(($J1904*EXP(-$H1904*12*3600*_xlfn.SEQUENCE(L$1-1))))+$J1904</f>
        <v>0</v>
      </c>
      <c r="M1904" s="3"/>
      <c r="N1904" s="3"/>
    </row>
    <row r="1905" spans="2:14" hidden="1" x14ac:dyDescent="0.2">
      <c r="B1905" s="3">
        <v>85216</v>
      </c>
      <c r="C1905" s="3">
        <v>0</v>
      </c>
      <c r="D1905">
        <v>1902</v>
      </c>
      <c r="E1905" t="str">
        <f>VLOOKUP(B1905,Nuclides!A:F,5,FALSE)</f>
        <v>At216</v>
      </c>
      <c r="F1905">
        <f>VLOOKUP(B1905,Nuclides!A:F,4,FALSE)</f>
        <v>2.9999999999999997E-4</v>
      </c>
      <c r="G1905" s="3" t="str">
        <f t="shared" si="148"/>
        <v>0.0003s</v>
      </c>
      <c r="H1905" s="3">
        <f t="shared" si="149"/>
        <v>2310.4906018664847</v>
      </c>
      <c r="I1905" s="3">
        <f t="shared" si="150"/>
        <v>0</v>
      </c>
      <c r="J1905" s="3">
        <f t="shared" si="151"/>
        <v>0</v>
      </c>
      <c r="K1905" s="3" t="str">
        <f t="shared" si="152"/>
        <v>At216</v>
      </c>
      <c r="L1905" s="3" cm="1">
        <f t="array" ref="L1905">SUM(($J1905*EXP(-$H1905*12*3600*_xlfn.SEQUENCE(L$1-1))))+$J1905</f>
        <v>0</v>
      </c>
      <c r="M1905" s="3"/>
      <c r="N1905" s="3"/>
    </row>
    <row r="1906" spans="2:14" hidden="1" x14ac:dyDescent="0.2">
      <c r="B1906" s="3">
        <v>85217</v>
      </c>
      <c r="C1906" s="3">
        <v>0</v>
      </c>
      <c r="D1906">
        <v>1903</v>
      </c>
      <c r="E1906" t="str">
        <f>VLOOKUP(B1906,Nuclides!A:F,5,FALSE)</f>
        <v>At217</v>
      </c>
      <c r="F1906">
        <f>VLOOKUP(B1906,Nuclides!A:F,4,FALSE)</f>
        <v>3.2299999999999898E-2</v>
      </c>
      <c r="G1906" s="3" t="str">
        <f t="shared" si="148"/>
        <v>0.0322999999999999s</v>
      </c>
      <c r="H1906" s="3">
        <f t="shared" si="149"/>
        <v>21.45966503281571</v>
      </c>
      <c r="I1906" s="3">
        <f t="shared" si="150"/>
        <v>0</v>
      </c>
      <c r="J1906" s="3">
        <f t="shared" si="151"/>
        <v>0</v>
      </c>
      <c r="K1906" s="3" t="str">
        <f t="shared" si="152"/>
        <v>At217</v>
      </c>
      <c r="L1906" s="3" cm="1">
        <f t="array" ref="L1906">SUM(($J1906*EXP(-$H1906*12*3600*_xlfn.SEQUENCE(L$1-1))))+$J1906</f>
        <v>0</v>
      </c>
      <c r="M1906" s="3"/>
      <c r="N1906" s="3"/>
    </row>
    <row r="1907" spans="2:14" hidden="1" x14ac:dyDescent="0.2">
      <c r="B1907" s="3">
        <v>85218</v>
      </c>
      <c r="C1907" s="3">
        <v>0</v>
      </c>
      <c r="D1907">
        <v>1904</v>
      </c>
      <c r="E1907" t="str">
        <f>VLOOKUP(B1907,Nuclides!A:F,5,FALSE)</f>
        <v>At218</v>
      </c>
      <c r="F1907">
        <f>VLOOKUP(B1907,Nuclides!A:F,4,FALSE)</f>
        <v>1.5</v>
      </c>
      <c r="G1907" s="3" t="str">
        <f t="shared" si="148"/>
        <v>1.5s</v>
      </c>
      <c r="H1907" s="3">
        <f t="shared" si="149"/>
        <v>0.46209812037329684</v>
      </c>
      <c r="I1907" s="3">
        <f t="shared" si="150"/>
        <v>0</v>
      </c>
      <c r="J1907" s="3">
        <f t="shared" si="151"/>
        <v>0</v>
      </c>
      <c r="K1907" s="3" t="str">
        <f t="shared" si="152"/>
        <v>At218</v>
      </c>
      <c r="L1907" s="3" cm="1">
        <f t="array" ref="L1907">SUM(($J1907*EXP(-$H1907*12*3600*_xlfn.SEQUENCE(L$1-1))))+$J1907</f>
        <v>0</v>
      </c>
      <c r="M1907" s="3"/>
      <c r="N1907" s="3"/>
    </row>
    <row r="1908" spans="2:14" hidden="1" x14ac:dyDescent="0.2">
      <c r="B1908" s="3">
        <v>85219</v>
      </c>
      <c r="C1908" s="3">
        <v>0</v>
      </c>
      <c r="D1908">
        <v>1905</v>
      </c>
      <c r="E1908" t="str">
        <f>VLOOKUP(B1908,Nuclides!A:F,5,FALSE)</f>
        <v>At219</v>
      </c>
      <c r="F1908">
        <f>VLOOKUP(B1908,Nuclides!A:F,4,FALSE)</f>
        <v>56</v>
      </c>
      <c r="G1908" s="3" t="str">
        <f t="shared" si="148"/>
        <v>56s</v>
      </c>
      <c r="H1908" s="3">
        <f t="shared" si="149"/>
        <v>1.2377628224284737E-2</v>
      </c>
      <c r="I1908" s="3">
        <f t="shared" si="150"/>
        <v>0</v>
      </c>
      <c r="J1908" s="3">
        <f t="shared" si="151"/>
        <v>0</v>
      </c>
      <c r="K1908" s="3" t="str">
        <f t="shared" si="152"/>
        <v>At219</v>
      </c>
      <c r="L1908" s="3" cm="1">
        <f t="array" ref="L1908">SUM(($J1908*EXP(-$H1908*12*3600*_xlfn.SEQUENCE(L$1-1))))+$J1908</f>
        <v>0</v>
      </c>
      <c r="M1908" s="3"/>
      <c r="N1908" s="3"/>
    </row>
    <row r="1909" spans="2:14" hidden="1" x14ac:dyDescent="0.2">
      <c r="B1909" s="3">
        <v>86199</v>
      </c>
      <c r="C1909" s="3">
        <v>0</v>
      </c>
      <c r="D1909">
        <v>1906</v>
      </c>
      <c r="E1909" t="str">
        <f>VLOOKUP(B1909,Nuclides!A:F,5,FALSE)</f>
        <v>Rn199</v>
      </c>
      <c r="F1909">
        <f>VLOOKUP(B1909,Nuclides!A:F,4,FALSE)</f>
        <v>0.59</v>
      </c>
      <c r="G1909" s="3" t="str">
        <f t="shared" si="148"/>
        <v>0.59s</v>
      </c>
      <c r="H1909" s="3">
        <f t="shared" si="149"/>
        <v>1.1748257297626192</v>
      </c>
      <c r="I1909" s="3">
        <f t="shared" si="150"/>
        <v>0</v>
      </c>
      <c r="J1909" s="3">
        <f t="shared" si="151"/>
        <v>0</v>
      </c>
      <c r="K1909" s="3" t="str">
        <f t="shared" si="152"/>
        <v>Rn199</v>
      </c>
      <c r="L1909" s="3" cm="1">
        <f t="array" ref="L1909">SUM(($J1909*EXP(-$H1909*12*3600*_xlfn.SEQUENCE(L$1-1))))+$J1909</f>
        <v>0</v>
      </c>
      <c r="M1909" s="3"/>
      <c r="N1909" s="3"/>
    </row>
    <row r="1910" spans="2:14" hidden="1" x14ac:dyDescent="0.2">
      <c r="B1910" s="3">
        <v>86200</v>
      </c>
      <c r="C1910" s="3">
        <v>0</v>
      </c>
      <c r="D1910">
        <v>1907</v>
      </c>
      <c r="E1910" t="str">
        <f>VLOOKUP(B1910,Nuclides!A:F,5,FALSE)</f>
        <v>Rn200</v>
      </c>
      <c r="F1910">
        <f>VLOOKUP(B1910,Nuclides!A:F,4,FALSE)</f>
        <v>1.03</v>
      </c>
      <c r="G1910" s="3" t="str">
        <f t="shared" si="148"/>
        <v>1.03s</v>
      </c>
      <c r="H1910" s="3">
        <f t="shared" si="149"/>
        <v>0.67295842772810222</v>
      </c>
      <c r="I1910" s="3">
        <f t="shared" si="150"/>
        <v>0</v>
      </c>
      <c r="J1910" s="3">
        <f t="shared" si="151"/>
        <v>0</v>
      </c>
      <c r="K1910" s="3" t="str">
        <f t="shared" si="152"/>
        <v>Rn200</v>
      </c>
      <c r="L1910" s="3" cm="1">
        <f t="array" ref="L1910">SUM(($J1910*EXP(-$H1910*12*3600*_xlfn.SEQUENCE(L$1-1))))+$J1910</f>
        <v>0</v>
      </c>
      <c r="M1910" s="3"/>
      <c r="N1910" s="3"/>
    </row>
    <row r="1911" spans="2:14" hidden="1" x14ac:dyDescent="0.2">
      <c r="B1911" s="3">
        <v>86201</v>
      </c>
      <c r="C1911" s="3">
        <v>0</v>
      </c>
      <c r="D1911">
        <v>1908</v>
      </c>
      <c r="E1911" t="str">
        <f>VLOOKUP(B1911,Nuclides!A:F,5,FALSE)</f>
        <v>Rn201</v>
      </c>
      <c r="F1911">
        <f>VLOOKUP(B1911,Nuclides!A:F,4,FALSE)</f>
        <v>7</v>
      </c>
      <c r="G1911" s="3" t="str">
        <f t="shared" si="148"/>
        <v>7s</v>
      </c>
      <c r="H1911" s="3">
        <f t="shared" si="149"/>
        <v>9.9021025794277892E-2</v>
      </c>
      <c r="I1911" s="3">
        <f t="shared" si="150"/>
        <v>0</v>
      </c>
      <c r="J1911" s="3">
        <f t="shared" si="151"/>
        <v>0</v>
      </c>
      <c r="K1911" s="3" t="str">
        <f t="shared" si="152"/>
        <v>Rn201</v>
      </c>
      <c r="L1911" s="3" cm="1">
        <f t="array" ref="L1911">SUM(($J1911*EXP(-$H1911*12*3600*_xlfn.SEQUENCE(L$1-1))))+$J1911</f>
        <v>0</v>
      </c>
      <c r="M1911" s="3"/>
      <c r="N1911" s="3"/>
    </row>
    <row r="1912" spans="2:14" hidden="1" x14ac:dyDescent="0.2">
      <c r="B1912" s="3">
        <v>86202</v>
      </c>
      <c r="C1912" s="3">
        <v>0</v>
      </c>
      <c r="D1912">
        <v>1909</v>
      </c>
      <c r="E1912" t="str">
        <f>VLOOKUP(B1912,Nuclides!A:F,5,FALSE)</f>
        <v>Rn202</v>
      </c>
      <c r="F1912">
        <f>VLOOKUP(B1912,Nuclides!A:F,4,FALSE)</f>
        <v>9.6999999999999993</v>
      </c>
      <c r="G1912" s="3" t="str">
        <f t="shared" si="148"/>
        <v>9.7s</v>
      </c>
      <c r="H1912" s="3">
        <f t="shared" si="149"/>
        <v>7.1458472222674776E-2</v>
      </c>
      <c r="I1912" s="3">
        <f t="shared" si="150"/>
        <v>0</v>
      </c>
      <c r="J1912" s="3">
        <f t="shared" si="151"/>
        <v>0</v>
      </c>
      <c r="K1912" s="3" t="str">
        <f t="shared" si="152"/>
        <v>Rn202</v>
      </c>
      <c r="L1912" s="3" cm="1">
        <f t="array" ref="L1912">SUM(($J1912*EXP(-$H1912*12*3600*_xlfn.SEQUENCE(L$1-1))))+$J1912</f>
        <v>0</v>
      </c>
      <c r="M1912" s="3"/>
      <c r="N1912" s="3"/>
    </row>
    <row r="1913" spans="2:14" hidden="1" x14ac:dyDescent="0.2">
      <c r="B1913" s="3">
        <v>86203</v>
      </c>
      <c r="C1913" s="3">
        <v>0</v>
      </c>
      <c r="D1913">
        <v>1910</v>
      </c>
      <c r="E1913" t="str">
        <f>VLOOKUP(B1913,Nuclides!A:F,5,FALSE)</f>
        <v>Rn203</v>
      </c>
      <c r="F1913">
        <f>VLOOKUP(B1913,Nuclides!A:F,4,FALSE)</f>
        <v>44</v>
      </c>
      <c r="G1913" s="3" t="str">
        <f t="shared" si="148"/>
        <v>44s</v>
      </c>
      <c r="H1913" s="3">
        <f t="shared" si="149"/>
        <v>1.575334501272603E-2</v>
      </c>
      <c r="I1913" s="3">
        <f t="shared" si="150"/>
        <v>0</v>
      </c>
      <c r="J1913" s="3">
        <f t="shared" si="151"/>
        <v>0</v>
      </c>
      <c r="K1913" s="3" t="str">
        <f t="shared" si="152"/>
        <v>Rn203</v>
      </c>
      <c r="L1913" s="3" cm="1">
        <f t="array" ref="L1913">SUM(($J1913*EXP(-$H1913*12*3600*_xlfn.SEQUENCE(L$1-1))))+$J1913</f>
        <v>0</v>
      </c>
      <c r="M1913" s="3"/>
      <c r="N1913" s="3"/>
    </row>
    <row r="1914" spans="2:14" hidden="1" x14ac:dyDescent="0.2">
      <c r="B1914" s="3">
        <v>86204</v>
      </c>
      <c r="C1914" s="3">
        <v>0</v>
      </c>
      <c r="D1914">
        <v>1911</v>
      </c>
      <c r="E1914" t="str">
        <f>VLOOKUP(B1914,Nuclides!A:F,5,FALSE)</f>
        <v>Rn204</v>
      </c>
      <c r="F1914">
        <f>VLOOKUP(B1914,Nuclides!A:F,4,FALSE)</f>
        <v>74.5</v>
      </c>
      <c r="G1914" s="3" t="str">
        <f t="shared" si="148"/>
        <v>1.24min</v>
      </c>
      <c r="H1914" s="3">
        <f t="shared" si="149"/>
        <v>9.3039890008046345E-3</v>
      </c>
      <c r="I1914" s="3">
        <f t="shared" si="150"/>
        <v>0</v>
      </c>
      <c r="J1914" s="3">
        <f t="shared" si="151"/>
        <v>0</v>
      </c>
      <c r="K1914" s="3" t="str">
        <f t="shared" si="152"/>
        <v>Rn204</v>
      </c>
      <c r="L1914" s="3" cm="1">
        <f t="array" ref="L1914">SUM(($J1914*EXP(-$H1914*12*3600*_xlfn.SEQUENCE(L$1-1))))+$J1914</f>
        <v>0</v>
      </c>
      <c r="M1914" s="3"/>
      <c r="N1914" s="3"/>
    </row>
    <row r="1915" spans="2:14" hidden="1" x14ac:dyDescent="0.2">
      <c r="B1915" s="3">
        <v>86205</v>
      </c>
      <c r="C1915" s="3">
        <v>0</v>
      </c>
      <c r="D1915">
        <v>1912</v>
      </c>
      <c r="E1915" t="str">
        <f>VLOOKUP(B1915,Nuclides!A:F,5,FALSE)</f>
        <v>Rn205</v>
      </c>
      <c r="F1915">
        <f>VLOOKUP(B1915,Nuclides!A:F,4,FALSE)</f>
        <v>170</v>
      </c>
      <c r="G1915" s="3" t="str">
        <f t="shared" si="148"/>
        <v>2.83min</v>
      </c>
      <c r="H1915" s="3">
        <f t="shared" si="149"/>
        <v>4.0773363562349721E-3</v>
      </c>
      <c r="I1915" s="3">
        <f t="shared" si="150"/>
        <v>0</v>
      </c>
      <c r="J1915" s="3">
        <f t="shared" si="151"/>
        <v>0</v>
      </c>
      <c r="K1915" s="3" t="str">
        <f t="shared" si="152"/>
        <v>Rn205</v>
      </c>
      <c r="L1915" s="3" cm="1">
        <f t="array" ref="L1915">SUM(($J1915*EXP(-$H1915*12*3600*_xlfn.SEQUENCE(L$1-1))))+$J1915</f>
        <v>0</v>
      </c>
      <c r="M1915" s="3"/>
      <c r="N1915" s="3"/>
    </row>
    <row r="1916" spans="2:14" hidden="1" x14ac:dyDescent="0.2">
      <c r="B1916" s="3">
        <v>86206</v>
      </c>
      <c r="C1916" s="3">
        <v>0</v>
      </c>
      <c r="D1916">
        <v>1913</v>
      </c>
      <c r="E1916" t="str">
        <f>VLOOKUP(B1916,Nuclides!A:F,5,FALSE)</f>
        <v>Rn206</v>
      </c>
      <c r="F1916">
        <f>VLOOKUP(B1916,Nuclides!A:F,4,FALSE)</f>
        <v>340.2</v>
      </c>
      <c r="G1916" s="3" t="str">
        <f t="shared" si="148"/>
        <v>5.67min</v>
      </c>
      <c r="H1916" s="3">
        <f t="shared" si="149"/>
        <v>2.0374696665489281E-3</v>
      </c>
      <c r="I1916" s="3">
        <f t="shared" si="150"/>
        <v>0</v>
      </c>
      <c r="J1916" s="3">
        <f t="shared" si="151"/>
        <v>0</v>
      </c>
      <c r="K1916" s="3" t="str">
        <f t="shared" si="152"/>
        <v>Rn206</v>
      </c>
      <c r="L1916" s="3" cm="1">
        <f t="array" ref="L1916">SUM(($J1916*EXP(-$H1916*12*3600*_xlfn.SEQUENCE(L$1-1))))+$J1916</f>
        <v>0</v>
      </c>
      <c r="M1916" s="3"/>
      <c r="N1916" s="3"/>
    </row>
    <row r="1917" spans="2:14" hidden="1" x14ac:dyDescent="0.2">
      <c r="B1917" s="3">
        <v>86207</v>
      </c>
      <c r="C1917" s="3">
        <v>0</v>
      </c>
      <c r="D1917">
        <v>1914</v>
      </c>
      <c r="E1917" t="str">
        <f>VLOOKUP(B1917,Nuclides!A:F,5,FALSE)</f>
        <v>Rn207</v>
      </c>
      <c r="F1917">
        <f>VLOOKUP(B1917,Nuclides!A:F,4,FALSE)</f>
        <v>555</v>
      </c>
      <c r="G1917" s="3" t="str">
        <f t="shared" si="148"/>
        <v>9.25min</v>
      </c>
      <c r="H1917" s="3">
        <f t="shared" si="149"/>
        <v>1.2489138388467483E-3</v>
      </c>
      <c r="I1917" s="3">
        <f t="shared" si="150"/>
        <v>0</v>
      </c>
      <c r="J1917" s="3">
        <f t="shared" si="151"/>
        <v>0</v>
      </c>
      <c r="K1917" s="3" t="str">
        <f t="shared" si="152"/>
        <v>Rn207</v>
      </c>
      <c r="L1917" s="3" cm="1">
        <f t="array" ref="L1917">SUM(($J1917*EXP(-$H1917*12*3600*_xlfn.SEQUENCE(L$1-1))))+$J1917</f>
        <v>0</v>
      </c>
      <c r="M1917" s="3"/>
      <c r="N1917" s="3"/>
    </row>
    <row r="1918" spans="2:14" hidden="1" x14ac:dyDescent="0.2">
      <c r="B1918" s="3">
        <v>86208</v>
      </c>
      <c r="C1918" s="3">
        <v>0</v>
      </c>
      <c r="D1918">
        <v>1915</v>
      </c>
      <c r="E1918" t="str">
        <f>VLOOKUP(B1918,Nuclides!A:F,5,FALSE)</f>
        <v>Rn208</v>
      </c>
      <c r="F1918">
        <f>VLOOKUP(B1918,Nuclides!A:F,4,FALSE)</f>
        <v>1461</v>
      </c>
      <c r="G1918" s="3" t="str">
        <f t="shared" si="148"/>
        <v>24.35min</v>
      </c>
      <c r="H1918" s="3">
        <f t="shared" si="149"/>
        <v>4.7443338847361072E-4</v>
      </c>
      <c r="I1918" s="3">
        <f t="shared" si="150"/>
        <v>0</v>
      </c>
      <c r="J1918" s="3">
        <f t="shared" si="151"/>
        <v>0</v>
      </c>
      <c r="K1918" s="3" t="str">
        <f t="shared" si="152"/>
        <v>Rn208</v>
      </c>
      <c r="L1918" s="3" cm="1">
        <f t="array" ref="L1918">SUM(($J1918*EXP(-$H1918*12*3600*_xlfn.SEQUENCE(L$1-1))))+$J1918</f>
        <v>0</v>
      </c>
      <c r="M1918" s="3"/>
      <c r="N1918" s="3"/>
    </row>
    <row r="1919" spans="2:14" hidden="1" x14ac:dyDescent="0.2">
      <c r="B1919" s="3">
        <v>86209</v>
      </c>
      <c r="C1919" s="3">
        <v>0</v>
      </c>
      <c r="D1919">
        <v>1916</v>
      </c>
      <c r="E1919" t="str">
        <f>VLOOKUP(B1919,Nuclides!A:F,5,FALSE)</f>
        <v>Rn209</v>
      </c>
      <c r="F1919">
        <f>VLOOKUP(B1919,Nuclides!A:F,4,FALSE)</f>
        <v>1728</v>
      </c>
      <c r="G1919" s="3" t="str">
        <f t="shared" si="148"/>
        <v>28.8min</v>
      </c>
      <c r="H1919" s="3">
        <f t="shared" si="149"/>
        <v>4.0112684060182021E-4</v>
      </c>
      <c r="I1919" s="3">
        <f t="shared" si="150"/>
        <v>0</v>
      </c>
      <c r="J1919" s="3">
        <f t="shared" si="151"/>
        <v>0</v>
      </c>
      <c r="K1919" s="3" t="str">
        <f t="shared" si="152"/>
        <v>Rn209</v>
      </c>
      <c r="L1919" s="3" cm="1">
        <f t="array" ref="L1919">SUM(($J1919*EXP(-$H1919*12*3600*_xlfn.SEQUENCE(L$1-1))))+$J1919</f>
        <v>0</v>
      </c>
      <c r="M1919" s="3"/>
      <c r="N1919" s="3"/>
    </row>
    <row r="1920" spans="2:14" hidden="1" x14ac:dyDescent="0.2">
      <c r="B1920" s="3">
        <v>86210</v>
      </c>
      <c r="C1920" s="3">
        <v>0</v>
      </c>
      <c r="D1920">
        <v>1917</v>
      </c>
      <c r="E1920" t="str">
        <f>VLOOKUP(B1920,Nuclides!A:F,5,FALSE)</f>
        <v>Rn210</v>
      </c>
      <c r="F1920">
        <f>VLOOKUP(B1920,Nuclides!A:F,4,FALSE)</f>
        <v>8640</v>
      </c>
      <c r="G1920" s="3" t="str">
        <f t="shared" si="148"/>
        <v>2.4h</v>
      </c>
      <c r="H1920" s="3">
        <f t="shared" si="149"/>
        <v>8.0225368120364038E-5</v>
      </c>
      <c r="I1920" s="3">
        <f t="shared" si="150"/>
        <v>0</v>
      </c>
      <c r="J1920" s="3">
        <f t="shared" si="151"/>
        <v>0</v>
      </c>
      <c r="K1920" s="3" t="str">
        <f t="shared" si="152"/>
        <v>Rn210</v>
      </c>
      <c r="L1920" s="3" cm="1">
        <f t="array" ref="L1920">SUM(($J1920*EXP(-$H1920*12*3600*_xlfn.SEQUENCE(L$1-1))))+$J1920</f>
        <v>0</v>
      </c>
      <c r="M1920" s="3"/>
      <c r="N1920" s="3"/>
    </row>
    <row r="1921" spans="2:14" hidden="1" x14ac:dyDescent="0.2">
      <c r="B1921" s="3">
        <v>86211</v>
      </c>
      <c r="C1921" s="3">
        <v>0</v>
      </c>
      <c r="D1921">
        <v>1918</v>
      </c>
      <c r="E1921" t="str">
        <f>VLOOKUP(B1921,Nuclides!A:F,5,FALSE)</f>
        <v>Rn211</v>
      </c>
      <c r="F1921">
        <f>VLOOKUP(B1921,Nuclides!A:F,4,FALSE)</f>
        <v>52560</v>
      </c>
      <c r="G1921" s="3" t="str">
        <f t="shared" si="148"/>
        <v>14.6h</v>
      </c>
      <c r="H1921" s="3">
        <f t="shared" si="149"/>
        <v>1.3187731745813266E-5</v>
      </c>
      <c r="I1921" s="3">
        <f t="shared" si="150"/>
        <v>0</v>
      </c>
      <c r="J1921" s="3">
        <f t="shared" si="151"/>
        <v>0</v>
      </c>
      <c r="K1921" s="3" t="str">
        <f t="shared" si="152"/>
        <v>Rn211</v>
      </c>
      <c r="L1921" s="3" cm="1">
        <f t="array" ref="L1921">SUM(($J1921*EXP(-$H1921*12*3600*_xlfn.SEQUENCE(L$1-1))))+$J1921</f>
        <v>0</v>
      </c>
      <c r="M1921" s="3"/>
      <c r="N1921" s="3"/>
    </row>
    <row r="1922" spans="2:14" hidden="1" x14ac:dyDescent="0.2">
      <c r="B1922" s="3">
        <v>86212</v>
      </c>
      <c r="C1922" s="3">
        <v>0</v>
      </c>
      <c r="D1922">
        <v>1919</v>
      </c>
      <c r="E1922" t="str">
        <f>VLOOKUP(B1922,Nuclides!A:F,5,FALSE)</f>
        <v>Rn212</v>
      </c>
      <c r="F1922">
        <f>VLOOKUP(B1922,Nuclides!A:F,4,FALSE)</f>
        <v>1434</v>
      </c>
      <c r="G1922" s="3" t="str">
        <f t="shared" si="148"/>
        <v>23.9min</v>
      </c>
      <c r="H1922" s="3">
        <f t="shared" si="149"/>
        <v>4.8336623470010131E-4</v>
      </c>
      <c r="I1922" s="3">
        <f t="shared" si="150"/>
        <v>0</v>
      </c>
      <c r="J1922" s="3">
        <f t="shared" si="151"/>
        <v>0</v>
      </c>
      <c r="K1922" s="3" t="str">
        <f t="shared" si="152"/>
        <v>Rn212</v>
      </c>
      <c r="L1922" s="3" cm="1">
        <f t="array" ref="L1922">SUM(($J1922*EXP(-$H1922*12*3600*_xlfn.SEQUENCE(L$1-1))))+$J1922</f>
        <v>0</v>
      </c>
      <c r="M1922" s="3"/>
      <c r="N1922" s="3"/>
    </row>
    <row r="1923" spans="2:14" hidden="1" x14ac:dyDescent="0.2">
      <c r="B1923" s="3">
        <v>86213</v>
      </c>
      <c r="C1923" s="3">
        <v>0</v>
      </c>
      <c r="D1923">
        <v>1920</v>
      </c>
      <c r="E1923" t="str">
        <f>VLOOKUP(B1923,Nuclides!A:F,5,FALSE)</f>
        <v>Rn213</v>
      </c>
      <c r="F1923">
        <f>VLOOKUP(B1923,Nuclides!A:F,4,FALSE)</f>
        <v>1.95E-2</v>
      </c>
      <c r="G1923" s="3" t="str">
        <f t="shared" si="148"/>
        <v>0.0195s</v>
      </c>
      <c r="H1923" s="3">
        <f t="shared" si="149"/>
        <v>35.546009259484372</v>
      </c>
      <c r="I1923" s="3">
        <f t="shared" si="150"/>
        <v>0</v>
      </c>
      <c r="J1923" s="3">
        <f t="shared" si="151"/>
        <v>0</v>
      </c>
      <c r="K1923" s="3" t="str">
        <f t="shared" si="152"/>
        <v>Rn213</v>
      </c>
      <c r="L1923" s="3" cm="1">
        <f t="array" ref="L1923">SUM(($J1923*EXP(-$H1923*12*3600*_xlfn.SEQUENCE(L$1-1))))+$J1923</f>
        <v>0</v>
      </c>
      <c r="M1923" s="3"/>
      <c r="N1923" s="3"/>
    </row>
    <row r="1924" spans="2:14" hidden="1" x14ac:dyDescent="0.2">
      <c r="B1924" s="3">
        <v>86214</v>
      </c>
      <c r="C1924" s="3">
        <v>0</v>
      </c>
      <c r="D1924">
        <v>1921</v>
      </c>
      <c r="E1924" t="str">
        <f>VLOOKUP(B1924,Nuclides!A:F,5,FALSE)</f>
        <v>Rn214</v>
      </c>
      <c r="F1924">
        <f>VLOOKUP(B1924,Nuclides!A:F,4,FALSE)</f>
        <v>2.7000000000000001E-7</v>
      </c>
      <c r="G1924" s="3" t="str">
        <f t="shared" ref="G1924:G1987" si="153">IF(F1924="STABLE", "STABLE", IF(F1924&lt;60, F1924&amp;"s", IF(F1924&lt;3600, ROUND(F1924/60,2)&amp;"min", IF(F1924&lt;86400, ROUND(F1924/3600,2)&amp;"h", IF(F1924&lt;31536000, ROUND(F1924/86400,2)&amp;"d", ROUND(F1924/31536000,2)&amp;"y")))))</f>
        <v>0.00000027s</v>
      </c>
      <c r="H1924" s="3">
        <f t="shared" ref="H1924:H1987" si="154">LN(2)/F1924</f>
        <v>2567211.779851649</v>
      </c>
      <c r="I1924" s="3">
        <f t="shared" ref="I1924:I1987" si="155">100*6240000000000*C1924*(1-EXP(-H1924*2*3600))</f>
        <v>0</v>
      </c>
      <c r="J1924" s="3">
        <f t="shared" ref="J1924:J1987" si="156">I1924*EXP(-H1924*10*3600)</f>
        <v>0</v>
      </c>
      <c r="K1924" s="3" t="str">
        <f t="shared" ref="K1924:K1987" si="157">E1924</f>
        <v>Rn214</v>
      </c>
      <c r="L1924" s="3" cm="1">
        <f t="array" ref="L1924">SUM(($J1924*EXP(-$H1924*12*3600*_xlfn.SEQUENCE(L$1-1))))+$J1924</f>
        <v>0</v>
      </c>
      <c r="M1924" s="3"/>
      <c r="N1924" s="3"/>
    </row>
    <row r="1925" spans="2:14" hidden="1" x14ac:dyDescent="0.2">
      <c r="B1925" s="3">
        <v>86215</v>
      </c>
      <c r="C1925" s="3">
        <v>0</v>
      </c>
      <c r="D1925">
        <v>1922</v>
      </c>
      <c r="E1925" t="str">
        <f>VLOOKUP(B1925,Nuclides!A:F,5,FALSE)</f>
        <v>Rn215</v>
      </c>
      <c r="F1925">
        <f>VLOOKUP(B1925,Nuclides!A:F,4,FALSE)</f>
        <v>2.2999999999999898E-6</v>
      </c>
      <c r="G1925" s="3" t="str">
        <f t="shared" si="153"/>
        <v>2.29999999999999E-06s</v>
      </c>
      <c r="H1925" s="3">
        <f t="shared" si="154"/>
        <v>301368.3393738906</v>
      </c>
      <c r="I1925" s="3">
        <f t="shared" si="155"/>
        <v>0</v>
      </c>
      <c r="J1925" s="3">
        <f t="shared" si="156"/>
        <v>0</v>
      </c>
      <c r="K1925" s="3" t="str">
        <f t="shared" si="157"/>
        <v>Rn215</v>
      </c>
      <c r="L1925" s="3" cm="1">
        <f t="array" ref="L1925">SUM(($J1925*EXP(-$H1925*12*3600*_xlfn.SEQUENCE(L$1-1))))+$J1925</f>
        <v>0</v>
      </c>
      <c r="M1925" s="3"/>
      <c r="N1925" s="3"/>
    </row>
    <row r="1926" spans="2:14" hidden="1" x14ac:dyDescent="0.2">
      <c r="B1926" s="3">
        <v>86216</v>
      </c>
      <c r="C1926" s="3">
        <v>0</v>
      </c>
      <c r="D1926">
        <v>1923</v>
      </c>
      <c r="E1926" t="str">
        <f>VLOOKUP(B1926,Nuclides!A:F,5,FALSE)</f>
        <v>Rn216</v>
      </c>
      <c r="F1926">
        <f>VLOOKUP(B1926,Nuclides!A:F,4,FALSE)</f>
        <v>4.4999999999999901E-5</v>
      </c>
      <c r="G1926" s="3" t="str">
        <f t="shared" si="153"/>
        <v>4.49999999999999E-05s</v>
      </c>
      <c r="H1926" s="3">
        <f t="shared" si="154"/>
        <v>15403.27067910993</v>
      </c>
      <c r="I1926" s="3">
        <f t="shared" si="155"/>
        <v>0</v>
      </c>
      <c r="J1926" s="3">
        <f t="shared" si="156"/>
        <v>0</v>
      </c>
      <c r="K1926" s="3" t="str">
        <f t="shared" si="157"/>
        <v>Rn216</v>
      </c>
      <c r="L1926" s="3" cm="1">
        <f t="array" ref="L1926">SUM(($J1926*EXP(-$H1926*12*3600*_xlfn.SEQUENCE(L$1-1))))+$J1926</f>
        <v>0</v>
      </c>
      <c r="M1926" s="3"/>
      <c r="N1926" s="3"/>
    </row>
    <row r="1927" spans="2:14" hidden="1" x14ac:dyDescent="0.2">
      <c r="B1927" s="3">
        <v>86217</v>
      </c>
      <c r="C1927" s="3">
        <v>0</v>
      </c>
      <c r="D1927">
        <v>1924</v>
      </c>
      <c r="E1927" t="str">
        <f>VLOOKUP(B1927,Nuclides!A:F,5,FALSE)</f>
        <v>Rn217</v>
      </c>
      <c r="F1927">
        <f>VLOOKUP(B1927,Nuclides!A:F,4,FALSE)</f>
        <v>5.4000000000000001E-4</v>
      </c>
      <c r="G1927" s="3" t="str">
        <f t="shared" si="153"/>
        <v>0.00054s</v>
      </c>
      <c r="H1927" s="3">
        <f t="shared" si="154"/>
        <v>1283.6058899258246</v>
      </c>
      <c r="I1927" s="3">
        <f t="shared" si="155"/>
        <v>0</v>
      </c>
      <c r="J1927" s="3">
        <f t="shared" si="156"/>
        <v>0</v>
      </c>
      <c r="K1927" s="3" t="str">
        <f t="shared" si="157"/>
        <v>Rn217</v>
      </c>
      <c r="L1927" s="3" cm="1">
        <f t="array" ref="L1927">SUM(($J1927*EXP(-$H1927*12*3600*_xlfn.SEQUENCE(L$1-1))))+$J1927</f>
        <v>0</v>
      </c>
      <c r="M1927" s="3"/>
      <c r="N1927" s="3"/>
    </row>
    <row r="1928" spans="2:14" hidden="1" x14ac:dyDescent="0.2">
      <c r="B1928" s="3">
        <v>86218</v>
      </c>
      <c r="C1928" s="3">
        <v>0</v>
      </c>
      <c r="D1928">
        <v>1925</v>
      </c>
      <c r="E1928" t="str">
        <f>VLOOKUP(B1928,Nuclides!A:F,5,FALSE)</f>
        <v>Rn218</v>
      </c>
      <c r="F1928">
        <f>VLOOKUP(B1928,Nuclides!A:F,4,FALSE)</f>
        <v>3.5000000000000003E-2</v>
      </c>
      <c r="G1928" s="3" t="str">
        <f t="shared" si="153"/>
        <v>0.035s</v>
      </c>
      <c r="H1928" s="3">
        <f t="shared" si="154"/>
        <v>19.804205158855577</v>
      </c>
      <c r="I1928" s="3">
        <f t="shared" si="155"/>
        <v>0</v>
      </c>
      <c r="J1928" s="3">
        <f t="shared" si="156"/>
        <v>0</v>
      </c>
      <c r="K1928" s="3" t="str">
        <f t="shared" si="157"/>
        <v>Rn218</v>
      </c>
      <c r="L1928" s="3" cm="1">
        <f t="array" ref="L1928">SUM(($J1928*EXP(-$H1928*12*3600*_xlfn.SEQUENCE(L$1-1))))+$J1928</f>
        <v>0</v>
      </c>
      <c r="M1928" s="3"/>
      <c r="N1928" s="3"/>
    </row>
    <row r="1929" spans="2:14" hidden="1" x14ac:dyDescent="0.2">
      <c r="B1929" s="3">
        <v>86219</v>
      </c>
      <c r="C1929" s="3">
        <v>0</v>
      </c>
      <c r="D1929">
        <v>1926</v>
      </c>
      <c r="E1929" t="str">
        <f>VLOOKUP(B1929,Nuclides!A:F,5,FALSE)</f>
        <v>Rn219</v>
      </c>
      <c r="F1929">
        <f>VLOOKUP(B1929,Nuclides!A:F,4,FALSE)</f>
        <v>3.96</v>
      </c>
      <c r="G1929" s="3" t="str">
        <f t="shared" si="153"/>
        <v>3.96s</v>
      </c>
      <c r="H1929" s="3">
        <f t="shared" si="154"/>
        <v>0.175037166808067</v>
      </c>
      <c r="I1929" s="3">
        <f t="shared" si="155"/>
        <v>0</v>
      </c>
      <c r="J1929" s="3">
        <f t="shared" si="156"/>
        <v>0</v>
      </c>
      <c r="K1929" s="3" t="str">
        <f t="shared" si="157"/>
        <v>Rn219</v>
      </c>
      <c r="L1929" s="3" cm="1">
        <f t="array" ref="L1929">SUM(($J1929*EXP(-$H1929*12*3600*_xlfn.SEQUENCE(L$1-1))))+$J1929</f>
        <v>0</v>
      </c>
      <c r="M1929" s="3"/>
      <c r="N1929" s="3"/>
    </row>
    <row r="1930" spans="2:14" hidden="1" x14ac:dyDescent="0.2">
      <c r="B1930" s="3">
        <v>86220</v>
      </c>
      <c r="C1930" s="3">
        <v>0</v>
      </c>
      <c r="D1930">
        <v>1927</v>
      </c>
      <c r="E1930" t="str">
        <f>VLOOKUP(B1930,Nuclides!A:F,5,FALSE)</f>
        <v>Rn220</v>
      </c>
      <c r="F1930">
        <f>VLOOKUP(B1930,Nuclides!A:F,4,FALSE)</f>
        <v>55.6</v>
      </c>
      <c r="G1930" s="3" t="str">
        <f t="shared" si="153"/>
        <v>55.6s</v>
      </c>
      <c r="H1930" s="3">
        <f t="shared" si="154"/>
        <v>1.2466675909351533E-2</v>
      </c>
      <c r="I1930" s="3">
        <f t="shared" si="155"/>
        <v>0</v>
      </c>
      <c r="J1930" s="3">
        <f t="shared" si="156"/>
        <v>0</v>
      </c>
      <c r="K1930" s="3" t="str">
        <f t="shared" si="157"/>
        <v>Rn220</v>
      </c>
      <c r="L1930" s="3" cm="1">
        <f t="array" ref="L1930">SUM(($J1930*EXP(-$H1930*12*3600*_xlfn.SEQUENCE(L$1-1))))+$J1930</f>
        <v>0</v>
      </c>
      <c r="M1930" s="3"/>
      <c r="N1930" s="3"/>
    </row>
    <row r="1931" spans="2:14" hidden="1" x14ac:dyDescent="0.2">
      <c r="B1931" s="3">
        <v>86221</v>
      </c>
      <c r="C1931" s="3">
        <v>0</v>
      </c>
      <c r="D1931">
        <v>1928</v>
      </c>
      <c r="E1931" t="str">
        <f>VLOOKUP(B1931,Nuclides!A:F,5,FALSE)</f>
        <v>Rn221</v>
      </c>
      <c r="F1931">
        <f>VLOOKUP(B1931,Nuclides!A:F,4,FALSE)</f>
        <v>1500</v>
      </c>
      <c r="G1931" s="3" t="str">
        <f t="shared" si="153"/>
        <v>25min</v>
      </c>
      <c r="H1931" s="3">
        <f t="shared" si="154"/>
        <v>4.6209812037329687E-4</v>
      </c>
      <c r="I1931" s="3">
        <f t="shared" si="155"/>
        <v>0</v>
      </c>
      <c r="J1931" s="3">
        <f t="shared" si="156"/>
        <v>0</v>
      </c>
      <c r="K1931" s="3" t="str">
        <f t="shared" si="157"/>
        <v>Rn221</v>
      </c>
      <c r="L1931" s="3" cm="1">
        <f t="array" ref="L1931">SUM(($J1931*EXP(-$H1931*12*3600*_xlfn.SEQUENCE(L$1-1))))+$J1931</f>
        <v>0</v>
      </c>
      <c r="M1931" s="3"/>
      <c r="N1931" s="3"/>
    </row>
    <row r="1932" spans="2:14" hidden="1" x14ac:dyDescent="0.2">
      <c r="B1932" s="3">
        <v>86222</v>
      </c>
      <c r="C1932" s="3">
        <v>0</v>
      </c>
      <c r="D1932">
        <v>1929</v>
      </c>
      <c r="E1932" t="str">
        <f>VLOOKUP(B1932,Nuclides!A:F,5,FALSE)</f>
        <v>Rn222</v>
      </c>
      <c r="F1932">
        <f>VLOOKUP(B1932,Nuclides!A:F,4,FALSE)</f>
        <v>330350.40000000002</v>
      </c>
      <c r="G1932" s="3" t="str">
        <f t="shared" si="153"/>
        <v>3.82d</v>
      </c>
      <c r="H1932" s="3">
        <f t="shared" si="154"/>
        <v>2.0982180755947176E-6</v>
      </c>
      <c r="I1932" s="3">
        <f t="shared" si="155"/>
        <v>0</v>
      </c>
      <c r="J1932" s="3">
        <f t="shared" si="156"/>
        <v>0</v>
      </c>
      <c r="K1932" s="3" t="str">
        <f t="shared" si="157"/>
        <v>Rn222</v>
      </c>
      <c r="L1932" s="3" cm="1">
        <f t="array" ref="L1932">SUM(($J1932*EXP(-$H1932*12*3600*_xlfn.SEQUENCE(L$1-1))))+$J1932</f>
        <v>0</v>
      </c>
      <c r="M1932" s="3"/>
      <c r="N1932" s="3"/>
    </row>
    <row r="1933" spans="2:14" hidden="1" x14ac:dyDescent="0.2">
      <c r="B1933" s="3">
        <v>86223</v>
      </c>
      <c r="C1933" s="3">
        <v>0</v>
      </c>
      <c r="D1933">
        <v>1930</v>
      </c>
      <c r="E1933" t="str">
        <f>VLOOKUP(B1933,Nuclides!A:F,5,FALSE)</f>
        <v>Rn223</v>
      </c>
      <c r="F1933">
        <f>VLOOKUP(B1933,Nuclides!A:F,4,FALSE)</f>
        <v>1458</v>
      </c>
      <c r="G1933" s="3" t="str">
        <f t="shared" si="153"/>
        <v>24.3min</v>
      </c>
      <c r="H1933" s="3">
        <f t="shared" si="154"/>
        <v>4.7540958886141654E-4</v>
      </c>
      <c r="I1933" s="3">
        <f t="shared" si="155"/>
        <v>0</v>
      </c>
      <c r="J1933" s="3">
        <f t="shared" si="156"/>
        <v>0</v>
      </c>
      <c r="K1933" s="3" t="str">
        <f t="shared" si="157"/>
        <v>Rn223</v>
      </c>
      <c r="L1933" s="3" cm="1">
        <f t="array" ref="L1933">SUM(($J1933*EXP(-$H1933*12*3600*_xlfn.SEQUENCE(L$1-1))))+$J1933</f>
        <v>0</v>
      </c>
      <c r="M1933" s="3"/>
      <c r="N1933" s="3"/>
    </row>
    <row r="1934" spans="2:14" hidden="1" x14ac:dyDescent="0.2">
      <c r="B1934" s="3">
        <v>86224</v>
      </c>
      <c r="C1934" s="3">
        <v>0</v>
      </c>
      <c r="D1934">
        <v>1931</v>
      </c>
      <c r="E1934" t="str">
        <f>VLOOKUP(B1934,Nuclides!A:F,5,FALSE)</f>
        <v>Rn224</v>
      </c>
      <c r="F1934">
        <f>VLOOKUP(B1934,Nuclides!A:F,4,FALSE)</f>
        <v>6420</v>
      </c>
      <c r="G1934" s="3" t="str">
        <f t="shared" si="153"/>
        <v>1.78h</v>
      </c>
      <c r="H1934" s="3">
        <f t="shared" si="154"/>
        <v>1.0796685055450861E-4</v>
      </c>
      <c r="I1934" s="3">
        <f t="shared" si="155"/>
        <v>0</v>
      </c>
      <c r="J1934" s="3">
        <f t="shared" si="156"/>
        <v>0</v>
      </c>
      <c r="K1934" s="3" t="str">
        <f t="shared" si="157"/>
        <v>Rn224</v>
      </c>
      <c r="L1934" s="3" cm="1">
        <f t="array" ref="L1934">SUM(($J1934*EXP(-$H1934*12*3600*_xlfn.SEQUENCE(L$1-1))))+$J1934</f>
        <v>0</v>
      </c>
      <c r="M1934" s="3"/>
      <c r="N1934" s="3"/>
    </row>
    <row r="1935" spans="2:14" hidden="1" x14ac:dyDescent="0.2">
      <c r="B1935" s="3">
        <v>86225</v>
      </c>
      <c r="C1935" s="3">
        <v>0</v>
      </c>
      <c r="D1935">
        <v>1932</v>
      </c>
      <c r="E1935" t="str">
        <f>VLOOKUP(B1935,Nuclides!A:F,5,FALSE)</f>
        <v>Rn225</v>
      </c>
      <c r="F1935">
        <f>VLOOKUP(B1935,Nuclides!A:F,4,FALSE)</f>
        <v>279.60000000000002</v>
      </c>
      <c r="G1935" s="3" t="str">
        <f t="shared" si="153"/>
        <v>4.66min</v>
      </c>
      <c r="H1935" s="3">
        <f t="shared" si="154"/>
        <v>2.4790671693846397E-3</v>
      </c>
      <c r="I1935" s="3">
        <f t="shared" si="155"/>
        <v>0</v>
      </c>
      <c r="J1935" s="3">
        <f t="shared" si="156"/>
        <v>0</v>
      </c>
      <c r="K1935" s="3" t="str">
        <f t="shared" si="157"/>
        <v>Rn225</v>
      </c>
      <c r="L1935" s="3" cm="1">
        <f t="array" ref="L1935">SUM(($J1935*EXP(-$H1935*12*3600*_xlfn.SEQUENCE(L$1-1))))+$J1935</f>
        <v>0</v>
      </c>
      <c r="M1935" s="3"/>
      <c r="N1935" s="3"/>
    </row>
    <row r="1936" spans="2:14" hidden="1" x14ac:dyDescent="0.2">
      <c r="B1936" s="3">
        <v>86226</v>
      </c>
      <c r="C1936" s="3">
        <v>0</v>
      </c>
      <c r="D1936">
        <v>1933</v>
      </c>
      <c r="E1936" t="str">
        <f>VLOOKUP(B1936,Nuclides!A:F,5,FALSE)</f>
        <v>Rn226</v>
      </c>
      <c r="F1936">
        <f>VLOOKUP(B1936,Nuclides!A:F,4,FALSE)</f>
        <v>444</v>
      </c>
      <c r="G1936" s="3" t="str">
        <f t="shared" si="153"/>
        <v>7.4min</v>
      </c>
      <c r="H1936" s="3">
        <f t="shared" si="154"/>
        <v>1.5611422985584353E-3</v>
      </c>
      <c r="I1936" s="3">
        <f t="shared" si="155"/>
        <v>0</v>
      </c>
      <c r="J1936" s="3">
        <f t="shared" si="156"/>
        <v>0</v>
      </c>
      <c r="K1936" s="3" t="str">
        <f t="shared" si="157"/>
        <v>Rn226</v>
      </c>
      <c r="L1936" s="3" cm="1">
        <f t="array" ref="L1936">SUM(($J1936*EXP(-$H1936*12*3600*_xlfn.SEQUENCE(L$1-1))))+$J1936</f>
        <v>0</v>
      </c>
      <c r="M1936" s="3"/>
      <c r="N1936" s="3"/>
    </row>
    <row r="1937" spans="2:14" hidden="1" x14ac:dyDescent="0.2">
      <c r="B1937" s="3">
        <v>87201</v>
      </c>
      <c r="C1937" s="3">
        <v>0</v>
      </c>
      <c r="D1937">
        <v>1934</v>
      </c>
      <c r="E1937" t="str">
        <f>VLOOKUP(B1937,Nuclides!A:F,5,FALSE)</f>
        <v>Fr201</v>
      </c>
      <c r="F1937">
        <f>VLOOKUP(B1937,Nuclides!A:F,4,FALSE)</f>
        <v>6.2E-2</v>
      </c>
      <c r="G1937" s="3" t="str">
        <f t="shared" si="153"/>
        <v>0.062s</v>
      </c>
      <c r="H1937" s="3">
        <f t="shared" si="154"/>
        <v>11.179793234837827</v>
      </c>
      <c r="I1937" s="3">
        <f t="shared" si="155"/>
        <v>0</v>
      </c>
      <c r="J1937" s="3">
        <f t="shared" si="156"/>
        <v>0</v>
      </c>
      <c r="K1937" s="3" t="str">
        <f t="shared" si="157"/>
        <v>Fr201</v>
      </c>
      <c r="L1937" s="3" cm="1">
        <f t="array" ref="L1937">SUM(($J1937*EXP(-$H1937*12*3600*_xlfn.SEQUENCE(L$1-1))))+$J1937</f>
        <v>0</v>
      </c>
      <c r="M1937" s="3"/>
      <c r="N1937" s="3"/>
    </row>
    <row r="1938" spans="2:14" hidden="1" x14ac:dyDescent="0.2">
      <c r="B1938" s="3">
        <v>87202</v>
      </c>
      <c r="C1938" s="3">
        <v>0</v>
      </c>
      <c r="D1938">
        <v>1935</v>
      </c>
      <c r="E1938" t="str">
        <f>VLOOKUP(B1938,Nuclides!A:F,5,FALSE)</f>
        <v>Fr202</v>
      </c>
      <c r="F1938">
        <f>VLOOKUP(B1938,Nuclides!A:F,4,FALSE)</f>
        <v>0.372</v>
      </c>
      <c r="G1938" s="3" t="str">
        <f t="shared" si="153"/>
        <v>0.372s</v>
      </c>
      <c r="H1938" s="3">
        <f t="shared" si="154"/>
        <v>1.8632988724729713</v>
      </c>
      <c r="I1938" s="3">
        <f t="shared" si="155"/>
        <v>0</v>
      </c>
      <c r="J1938" s="3">
        <f t="shared" si="156"/>
        <v>0</v>
      </c>
      <c r="K1938" s="3" t="str">
        <f t="shared" si="157"/>
        <v>Fr202</v>
      </c>
      <c r="L1938" s="3" cm="1">
        <f t="array" ref="L1938">SUM(($J1938*EXP(-$H1938*12*3600*_xlfn.SEQUENCE(L$1-1))))+$J1938</f>
        <v>0</v>
      </c>
      <c r="M1938" s="3"/>
      <c r="N1938" s="3"/>
    </row>
    <row r="1939" spans="2:14" hidden="1" x14ac:dyDescent="0.2">
      <c r="B1939" s="3">
        <v>87203</v>
      </c>
      <c r="C1939" s="3">
        <v>0</v>
      </c>
      <c r="D1939">
        <v>1936</v>
      </c>
      <c r="E1939" t="str">
        <f>VLOOKUP(B1939,Nuclides!A:F,5,FALSE)</f>
        <v>Fr203</v>
      </c>
      <c r="F1939">
        <f>VLOOKUP(B1939,Nuclides!A:F,4,FALSE)</f>
        <v>0.55000000000000004</v>
      </c>
      <c r="G1939" s="3" t="str">
        <f t="shared" si="153"/>
        <v>0.55s</v>
      </c>
      <c r="H1939" s="3">
        <f t="shared" si="154"/>
        <v>1.2602676010180822</v>
      </c>
      <c r="I1939" s="3">
        <f t="shared" si="155"/>
        <v>0</v>
      </c>
      <c r="J1939" s="3">
        <f t="shared" si="156"/>
        <v>0</v>
      </c>
      <c r="K1939" s="3" t="str">
        <f t="shared" si="157"/>
        <v>Fr203</v>
      </c>
      <c r="L1939" s="3" cm="1">
        <f t="array" ref="L1939">SUM(($J1939*EXP(-$H1939*12*3600*_xlfn.SEQUENCE(L$1-1))))+$J1939</f>
        <v>0</v>
      </c>
      <c r="M1939" s="3"/>
      <c r="N1939" s="3"/>
    </row>
    <row r="1940" spans="2:14" hidden="1" x14ac:dyDescent="0.2">
      <c r="B1940" s="3">
        <v>87204</v>
      </c>
      <c r="C1940" s="3">
        <v>0</v>
      </c>
      <c r="D1940">
        <v>1937</v>
      </c>
      <c r="E1940" t="str">
        <f>VLOOKUP(B1940,Nuclides!A:F,5,FALSE)</f>
        <v>Fr204</v>
      </c>
      <c r="F1940">
        <f>VLOOKUP(B1940,Nuclides!A:F,4,FALSE)</f>
        <v>1.8</v>
      </c>
      <c r="G1940" s="3" t="str">
        <f t="shared" si="153"/>
        <v>1.8s</v>
      </c>
      <c r="H1940" s="3">
        <f t="shared" si="154"/>
        <v>0.38508176697774738</v>
      </c>
      <c r="I1940" s="3">
        <f t="shared" si="155"/>
        <v>0</v>
      </c>
      <c r="J1940" s="3">
        <f t="shared" si="156"/>
        <v>0</v>
      </c>
      <c r="K1940" s="3" t="str">
        <f t="shared" si="157"/>
        <v>Fr204</v>
      </c>
      <c r="L1940" s="3" cm="1">
        <f t="array" ref="L1940">SUM(($J1940*EXP(-$H1940*12*3600*_xlfn.SEQUENCE(L$1-1))))+$J1940</f>
        <v>0</v>
      </c>
      <c r="M1940" s="3"/>
      <c r="N1940" s="3"/>
    </row>
    <row r="1941" spans="2:14" hidden="1" x14ac:dyDescent="0.2">
      <c r="B1941" s="3">
        <v>87205</v>
      </c>
      <c r="C1941" s="3">
        <v>0</v>
      </c>
      <c r="D1941">
        <v>1938</v>
      </c>
      <c r="E1941" t="str">
        <f>VLOOKUP(B1941,Nuclides!A:F,5,FALSE)</f>
        <v>Fr205</v>
      </c>
      <c r="F1941">
        <f>VLOOKUP(B1941,Nuclides!A:F,4,FALSE)</f>
        <v>3.97</v>
      </c>
      <c r="G1941" s="3" t="str">
        <f t="shared" si="153"/>
        <v>3.97s</v>
      </c>
      <c r="H1941" s="3">
        <f t="shared" si="154"/>
        <v>0.17459626714356302</v>
      </c>
      <c r="I1941" s="3">
        <f t="shared" si="155"/>
        <v>0</v>
      </c>
      <c r="J1941" s="3">
        <f t="shared" si="156"/>
        <v>0</v>
      </c>
      <c r="K1941" s="3" t="str">
        <f t="shared" si="157"/>
        <v>Fr205</v>
      </c>
      <c r="L1941" s="3" cm="1">
        <f t="array" ref="L1941">SUM(($J1941*EXP(-$H1941*12*3600*_xlfn.SEQUENCE(L$1-1))))+$J1941</f>
        <v>0</v>
      </c>
      <c r="M1941" s="3"/>
      <c r="N1941" s="3"/>
    </row>
    <row r="1942" spans="2:14" hidden="1" x14ac:dyDescent="0.2">
      <c r="B1942" s="3">
        <v>87206</v>
      </c>
      <c r="C1942" s="3">
        <v>0</v>
      </c>
      <c r="D1942">
        <v>1939</v>
      </c>
      <c r="E1942" t="str">
        <f>VLOOKUP(B1942,Nuclides!A:F,5,FALSE)</f>
        <v>Fr206</v>
      </c>
      <c r="F1942">
        <f>VLOOKUP(B1942,Nuclides!A:F,4,FALSE)</f>
        <v>16</v>
      </c>
      <c r="G1942" s="3" t="str">
        <f t="shared" si="153"/>
        <v>16s</v>
      </c>
      <c r="H1942" s="3">
        <f t="shared" si="154"/>
        <v>4.332169878499658E-2</v>
      </c>
      <c r="I1942" s="3">
        <f t="shared" si="155"/>
        <v>0</v>
      </c>
      <c r="J1942" s="3">
        <f t="shared" si="156"/>
        <v>0</v>
      </c>
      <c r="K1942" s="3" t="str">
        <f t="shared" si="157"/>
        <v>Fr206</v>
      </c>
      <c r="L1942" s="3" cm="1">
        <f t="array" ref="L1942">SUM(($J1942*EXP(-$H1942*12*3600*_xlfn.SEQUENCE(L$1-1))))+$J1942</f>
        <v>0</v>
      </c>
      <c r="M1942" s="3"/>
      <c r="N1942" s="3"/>
    </row>
    <row r="1943" spans="2:14" hidden="1" x14ac:dyDescent="0.2">
      <c r="B1943" s="3">
        <v>87207</v>
      </c>
      <c r="C1943" s="3">
        <v>0</v>
      </c>
      <c r="D1943">
        <v>1940</v>
      </c>
      <c r="E1943" t="str">
        <f>VLOOKUP(B1943,Nuclides!A:F,5,FALSE)</f>
        <v>Fr207</v>
      </c>
      <c r="F1943">
        <f>VLOOKUP(B1943,Nuclides!A:F,4,FALSE)</f>
        <v>14.8</v>
      </c>
      <c r="G1943" s="3" t="str">
        <f t="shared" si="153"/>
        <v>14.8s</v>
      </c>
      <c r="H1943" s="3">
        <f t="shared" si="154"/>
        <v>4.6834268956753057E-2</v>
      </c>
      <c r="I1943" s="3">
        <f t="shared" si="155"/>
        <v>0</v>
      </c>
      <c r="J1943" s="3">
        <f t="shared" si="156"/>
        <v>0</v>
      </c>
      <c r="K1943" s="3" t="str">
        <f t="shared" si="157"/>
        <v>Fr207</v>
      </c>
      <c r="L1943" s="3" cm="1">
        <f t="array" ref="L1943">SUM(($J1943*EXP(-$H1943*12*3600*_xlfn.SEQUENCE(L$1-1))))+$J1943</f>
        <v>0</v>
      </c>
      <c r="M1943" s="3"/>
      <c r="N1943" s="3"/>
    </row>
    <row r="1944" spans="2:14" hidden="1" x14ac:dyDescent="0.2">
      <c r="B1944" s="3">
        <v>87208</v>
      </c>
      <c r="C1944" s="3">
        <v>0</v>
      </c>
      <c r="D1944">
        <v>1941</v>
      </c>
      <c r="E1944" t="str">
        <f>VLOOKUP(B1944,Nuclides!A:F,5,FALSE)</f>
        <v>Fr208</v>
      </c>
      <c r="F1944">
        <f>VLOOKUP(B1944,Nuclides!A:F,4,FALSE)</f>
        <v>59.1</v>
      </c>
      <c r="G1944" s="3" t="str">
        <f t="shared" si="153"/>
        <v>59.1s</v>
      </c>
      <c r="H1944" s="3">
        <f t="shared" si="154"/>
        <v>1.1728378689677585E-2</v>
      </c>
      <c r="I1944" s="3">
        <f t="shared" si="155"/>
        <v>0</v>
      </c>
      <c r="J1944" s="3">
        <f t="shared" si="156"/>
        <v>0</v>
      </c>
      <c r="K1944" s="3" t="str">
        <f t="shared" si="157"/>
        <v>Fr208</v>
      </c>
      <c r="L1944" s="3" cm="1">
        <f t="array" ref="L1944">SUM(($J1944*EXP(-$H1944*12*3600*_xlfn.SEQUENCE(L$1-1))))+$J1944</f>
        <v>0</v>
      </c>
      <c r="M1944" s="3"/>
      <c r="N1944" s="3"/>
    </row>
    <row r="1945" spans="2:14" hidden="1" x14ac:dyDescent="0.2">
      <c r="B1945" s="3">
        <v>87209</v>
      </c>
      <c r="C1945" s="3">
        <v>0</v>
      </c>
      <c r="D1945">
        <v>1942</v>
      </c>
      <c r="E1945" t="str">
        <f>VLOOKUP(B1945,Nuclides!A:F,5,FALSE)</f>
        <v>Fr209</v>
      </c>
      <c r="F1945">
        <f>VLOOKUP(B1945,Nuclides!A:F,4,FALSE)</f>
        <v>50.5</v>
      </c>
      <c r="G1945" s="3" t="str">
        <f t="shared" si="153"/>
        <v>50.5s</v>
      </c>
      <c r="H1945" s="3">
        <f t="shared" si="154"/>
        <v>1.3725686743761293E-2</v>
      </c>
      <c r="I1945" s="3">
        <f t="shared" si="155"/>
        <v>0</v>
      </c>
      <c r="J1945" s="3">
        <f t="shared" si="156"/>
        <v>0</v>
      </c>
      <c r="K1945" s="3" t="str">
        <f t="shared" si="157"/>
        <v>Fr209</v>
      </c>
      <c r="L1945" s="3" cm="1">
        <f t="array" ref="L1945">SUM(($J1945*EXP(-$H1945*12*3600*_xlfn.SEQUENCE(L$1-1))))+$J1945</f>
        <v>0</v>
      </c>
      <c r="M1945" s="3"/>
      <c r="N1945" s="3"/>
    </row>
    <row r="1946" spans="2:14" hidden="1" x14ac:dyDescent="0.2">
      <c r="B1946" s="3">
        <v>87210</v>
      </c>
      <c r="C1946" s="3">
        <v>0</v>
      </c>
      <c r="D1946">
        <v>1943</v>
      </c>
      <c r="E1946" t="str">
        <f>VLOOKUP(B1946,Nuclides!A:F,5,FALSE)</f>
        <v>Fr210</v>
      </c>
      <c r="F1946">
        <f>VLOOKUP(B1946,Nuclides!A:F,4,FALSE)</f>
        <v>190.8</v>
      </c>
      <c r="G1946" s="3" t="str">
        <f t="shared" si="153"/>
        <v>3.18min</v>
      </c>
      <c r="H1946" s="3">
        <f t="shared" si="154"/>
        <v>3.6328468582806353E-3</v>
      </c>
      <c r="I1946" s="3">
        <f t="shared" si="155"/>
        <v>0</v>
      </c>
      <c r="J1946" s="3">
        <f t="shared" si="156"/>
        <v>0</v>
      </c>
      <c r="K1946" s="3" t="str">
        <f t="shared" si="157"/>
        <v>Fr210</v>
      </c>
      <c r="L1946" s="3" cm="1">
        <f t="array" ref="L1946">SUM(($J1946*EXP(-$H1946*12*3600*_xlfn.SEQUENCE(L$1-1))))+$J1946</f>
        <v>0</v>
      </c>
      <c r="M1946" s="3"/>
      <c r="N1946" s="3"/>
    </row>
    <row r="1947" spans="2:14" hidden="1" x14ac:dyDescent="0.2">
      <c r="B1947" s="3">
        <v>87211</v>
      </c>
      <c r="C1947" s="3">
        <v>0</v>
      </c>
      <c r="D1947">
        <v>1944</v>
      </c>
      <c r="E1947" t="str">
        <f>VLOOKUP(B1947,Nuclides!A:F,5,FALSE)</f>
        <v>Fr211</v>
      </c>
      <c r="F1947">
        <f>VLOOKUP(B1947,Nuclides!A:F,4,FALSE)</f>
        <v>186</v>
      </c>
      <c r="G1947" s="3" t="str">
        <f t="shared" si="153"/>
        <v>3.1min</v>
      </c>
      <c r="H1947" s="3">
        <f t="shared" si="154"/>
        <v>3.7265977449459425E-3</v>
      </c>
      <c r="I1947" s="3">
        <f t="shared" si="155"/>
        <v>0</v>
      </c>
      <c r="J1947" s="3">
        <f t="shared" si="156"/>
        <v>0</v>
      </c>
      <c r="K1947" s="3" t="str">
        <f t="shared" si="157"/>
        <v>Fr211</v>
      </c>
      <c r="L1947" s="3" cm="1">
        <f t="array" ref="L1947">SUM(($J1947*EXP(-$H1947*12*3600*_xlfn.SEQUENCE(L$1-1))))+$J1947</f>
        <v>0</v>
      </c>
      <c r="M1947" s="3"/>
      <c r="N1947" s="3"/>
    </row>
    <row r="1948" spans="2:14" hidden="1" x14ac:dyDescent="0.2">
      <c r="B1948" s="3">
        <v>87212</v>
      </c>
      <c r="C1948" s="3">
        <v>0</v>
      </c>
      <c r="D1948">
        <v>1945</v>
      </c>
      <c r="E1948" t="str">
        <f>VLOOKUP(B1948,Nuclides!A:F,5,FALSE)</f>
        <v>Fr212</v>
      </c>
      <c r="F1948">
        <f>VLOOKUP(B1948,Nuclides!A:F,4,FALSE)</f>
        <v>1200</v>
      </c>
      <c r="G1948" s="3" t="str">
        <f t="shared" si="153"/>
        <v>20min</v>
      </c>
      <c r="H1948" s="3">
        <f t="shared" si="154"/>
        <v>5.7762265046662107E-4</v>
      </c>
      <c r="I1948" s="3">
        <f t="shared" si="155"/>
        <v>0</v>
      </c>
      <c r="J1948" s="3">
        <f t="shared" si="156"/>
        <v>0</v>
      </c>
      <c r="K1948" s="3" t="str">
        <f t="shared" si="157"/>
        <v>Fr212</v>
      </c>
      <c r="L1948" s="3" cm="1">
        <f t="array" ref="L1948">SUM(($J1948*EXP(-$H1948*12*3600*_xlfn.SEQUENCE(L$1-1))))+$J1948</f>
        <v>0</v>
      </c>
      <c r="M1948" s="3"/>
      <c r="N1948" s="3"/>
    </row>
    <row r="1949" spans="2:14" hidden="1" x14ac:dyDescent="0.2">
      <c r="B1949" s="3">
        <v>87213</v>
      </c>
      <c r="C1949" s="3">
        <v>0</v>
      </c>
      <c r="D1949">
        <v>1946</v>
      </c>
      <c r="E1949" t="str">
        <f>VLOOKUP(B1949,Nuclides!A:F,5,FALSE)</f>
        <v>Fr213</v>
      </c>
      <c r="F1949">
        <f>VLOOKUP(B1949,Nuclides!A:F,4,FALSE)</f>
        <v>34.82</v>
      </c>
      <c r="G1949" s="3" t="str">
        <f t="shared" si="153"/>
        <v>34.82s</v>
      </c>
      <c r="H1949" s="3">
        <f t="shared" si="154"/>
        <v>1.9906581865592913E-2</v>
      </c>
      <c r="I1949" s="3">
        <f t="shared" si="155"/>
        <v>0</v>
      </c>
      <c r="J1949" s="3">
        <f t="shared" si="156"/>
        <v>0</v>
      </c>
      <c r="K1949" s="3" t="str">
        <f t="shared" si="157"/>
        <v>Fr213</v>
      </c>
      <c r="L1949" s="3" cm="1">
        <f t="array" ref="L1949">SUM(($J1949*EXP(-$H1949*12*3600*_xlfn.SEQUENCE(L$1-1))))+$J1949</f>
        <v>0</v>
      </c>
      <c r="M1949" s="3"/>
      <c r="N1949" s="3"/>
    </row>
    <row r="1950" spans="2:14" hidden="1" x14ac:dyDescent="0.2">
      <c r="B1950" s="3">
        <v>87214</v>
      </c>
      <c r="C1950" s="3">
        <v>0</v>
      </c>
      <c r="D1950">
        <v>1947</v>
      </c>
      <c r="E1950" t="str">
        <f>VLOOKUP(B1950,Nuclides!A:F,5,FALSE)</f>
        <v>Fr214</v>
      </c>
      <c r="F1950">
        <f>VLOOKUP(B1950,Nuclides!A:F,4,FALSE)</f>
        <v>5.0000000000000001E-3</v>
      </c>
      <c r="G1950" s="3" t="str">
        <f t="shared" si="153"/>
        <v>0.005s</v>
      </c>
      <c r="H1950" s="3">
        <f t="shared" si="154"/>
        <v>138.62943611198907</v>
      </c>
      <c r="I1950" s="3">
        <f t="shared" si="155"/>
        <v>0</v>
      </c>
      <c r="J1950" s="3">
        <f t="shared" si="156"/>
        <v>0</v>
      </c>
      <c r="K1950" s="3" t="str">
        <f t="shared" si="157"/>
        <v>Fr214</v>
      </c>
      <c r="L1950" s="3" cm="1">
        <f t="array" ref="L1950">SUM(($J1950*EXP(-$H1950*12*3600*_xlfn.SEQUENCE(L$1-1))))+$J1950</f>
        <v>0</v>
      </c>
      <c r="M1950" s="3"/>
      <c r="N1950" s="3"/>
    </row>
    <row r="1951" spans="2:14" hidden="1" x14ac:dyDescent="0.2">
      <c r="B1951" s="3">
        <v>87215</v>
      </c>
      <c r="C1951" s="3">
        <v>0</v>
      </c>
      <c r="D1951">
        <v>1948</v>
      </c>
      <c r="E1951" t="str">
        <f>VLOOKUP(B1951,Nuclides!A:F,5,FALSE)</f>
        <v>Fr215</v>
      </c>
      <c r="F1951">
        <f>VLOOKUP(B1951,Nuclides!A:F,4,FALSE)</f>
        <v>8.6000000000000002E-8</v>
      </c>
      <c r="G1951" s="3" t="str">
        <f t="shared" si="153"/>
        <v>0.000000086s</v>
      </c>
      <c r="H1951" s="3">
        <f t="shared" si="154"/>
        <v>8059850.93674355</v>
      </c>
      <c r="I1951" s="3">
        <f t="shared" si="155"/>
        <v>0</v>
      </c>
      <c r="J1951" s="3">
        <f t="shared" si="156"/>
        <v>0</v>
      </c>
      <c r="K1951" s="3" t="str">
        <f t="shared" si="157"/>
        <v>Fr215</v>
      </c>
      <c r="L1951" s="3" cm="1">
        <f t="array" ref="L1951">SUM(($J1951*EXP(-$H1951*12*3600*_xlfn.SEQUENCE(L$1-1))))+$J1951</f>
        <v>0</v>
      </c>
      <c r="M1951" s="3"/>
      <c r="N1951" s="3"/>
    </row>
    <row r="1952" spans="2:14" hidden="1" x14ac:dyDescent="0.2">
      <c r="B1952" s="3">
        <v>87216</v>
      </c>
      <c r="C1952" s="3">
        <v>0</v>
      </c>
      <c r="D1952">
        <v>1949</v>
      </c>
      <c r="E1952" t="str">
        <f>VLOOKUP(B1952,Nuclides!A:F,5,FALSE)</f>
        <v>Fr216</v>
      </c>
      <c r="F1952">
        <f>VLOOKUP(B1952,Nuclides!A:F,4,FALSE)</f>
        <v>6.9999999999999997E-7</v>
      </c>
      <c r="G1952" s="3" t="str">
        <f t="shared" si="153"/>
        <v>0.0000007s</v>
      </c>
      <c r="H1952" s="3">
        <f t="shared" si="154"/>
        <v>990210.25794277899</v>
      </c>
      <c r="I1952" s="3">
        <f t="shared" si="155"/>
        <v>0</v>
      </c>
      <c r="J1952" s="3">
        <f t="shared" si="156"/>
        <v>0</v>
      </c>
      <c r="K1952" s="3" t="str">
        <f t="shared" si="157"/>
        <v>Fr216</v>
      </c>
      <c r="L1952" s="3" cm="1">
        <f t="array" ref="L1952">SUM(($J1952*EXP(-$H1952*12*3600*_xlfn.SEQUENCE(L$1-1))))+$J1952</f>
        <v>0</v>
      </c>
      <c r="M1952" s="3"/>
      <c r="N1952" s="3"/>
    </row>
    <row r="1953" spans="2:14" hidden="1" x14ac:dyDescent="0.2">
      <c r="B1953" s="3">
        <v>87217</v>
      </c>
      <c r="C1953" s="3">
        <v>0</v>
      </c>
      <c r="D1953">
        <v>1950</v>
      </c>
      <c r="E1953" t="str">
        <f>VLOOKUP(B1953,Nuclides!A:F,5,FALSE)</f>
        <v>Fr217</v>
      </c>
      <c r="F1953">
        <f>VLOOKUP(B1953,Nuclides!A:F,4,FALSE)</f>
        <v>1.8999999999999899E-5</v>
      </c>
      <c r="G1953" s="3" t="str">
        <f t="shared" si="153"/>
        <v>1.89999999999999E-05s</v>
      </c>
      <c r="H1953" s="3">
        <f t="shared" si="154"/>
        <v>36481.430555786785</v>
      </c>
      <c r="I1953" s="3">
        <f t="shared" si="155"/>
        <v>0</v>
      </c>
      <c r="J1953" s="3">
        <f t="shared" si="156"/>
        <v>0</v>
      </c>
      <c r="K1953" s="3" t="str">
        <f t="shared" si="157"/>
        <v>Fr217</v>
      </c>
      <c r="L1953" s="3" cm="1">
        <f t="array" ref="L1953">SUM(($J1953*EXP(-$H1953*12*3600*_xlfn.SEQUENCE(L$1-1))))+$J1953</f>
        <v>0</v>
      </c>
      <c r="M1953" s="3"/>
      <c r="N1953" s="3"/>
    </row>
    <row r="1954" spans="2:14" hidden="1" x14ac:dyDescent="0.2">
      <c r="B1954" s="3">
        <v>87218</v>
      </c>
      <c r="C1954" s="3">
        <v>0</v>
      </c>
      <c r="D1954">
        <v>1951</v>
      </c>
      <c r="E1954" t="str">
        <f>VLOOKUP(B1954,Nuclides!A:F,5,FALSE)</f>
        <v>Fr218</v>
      </c>
      <c r="F1954">
        <f>VLOOKUP(B1954,Nuclides!A:F,4,FALSE)</f>
        <v>1E-3</v>
      </c>
      <c r="G1954" s="3" t="str">
        <f t="shared" si="153"/>
        <v>0.001s</v>
      </c>
      <c r="H1954" s="3">
        <f t="shared" si="154"/>
        <v>693.14718055994524</v>
      </c>
      <c r="I1954" s="3">
        <f t="shared" si="155"/>
        <v>0</v>
      </c>
      <c r="J1954" s="3">
        <f t="shared" si="156"/>
        <v>0</v>
      </c>
      <c r="K1954" s="3" t="str">
        <f t="shared" si="157"/>
        <v>Fr218</v>
      </c>
      <c r="L1954" s="3" cm="1">
        <f t="array" ref="L1954">SUM(($J1954*EXP(-$H1954*12*3600*_xlfn.SEQUENCE(L$1-1))))+$J1954</f>
        <v>0</v>
      </c>
      <c r="M1954" s="3"/>
      <c r="N1954" s="3"/>
    </row>
    <row r="1955" spans="2:14" hidden="1" x14ac:dyDescent="0.2">
      <c r="B1955" s="3">
        <v>87219</v>
      </c>
      <c r="C1955" s="3">
        <v>0</v>
      </c>
      <c r="D1955">
        <v>1952</v>
      </c>
      <c r="E1955" t="str">
        <f>VLOOKUP(B1955,Nuclides!A:F,5,FALSE)</f>
        <v>Fr219</v>
      </c>
      <c r="F1955">
        <f>VLOOKUP(B1955,Nuclides!A:F,4,FALSE)</f>
        <v>0.02</v>
      </c>
      <c r="G1955" s="3" t="str">
        <f t="shared" si="153"/>
        <v>0.02s</v>
      </c>
      <c r="H1955" s="3">
        <f t="shared" si="154"/>
        <v>34.657359027997266</v>
      </c>
      <c r="I1955" s="3">
        <f t="shared" si="155"/>
        <v>0</v>
      </c>
      <c r="J1955" s="3">
        <f t="shared" si="156"/>
        <v>0</v>
      </c>
      <c r="K1955" s="3" t="str">
        <f t="shared" si="157"/>
        <v>Fr219</v>
      </c>
      <c r="L1955" s="3" cm="1">
        <f t="array" ref="L1955">SUM(($J1955*EXP(-$H1955*12*3600*_xlfn.SEQUENCE(L$1-1))))+$J1955</f>
        <v>0</v>
      </c>
      <c r="M1955" s="3"/>
      <c r="N1955" s="3"/>
    </row>
    <row r="1956" spans="2:14" hidden="1" x14ac:dyDescent="0.2">
      <c r="B1956" s="3">
        <v>87220</v>
      </c>
      <c r="C1956" s="3">
        <v>0</v>
      </c>
      <c r="D1956">
        <v>1953</v>
      </c>
      <c r="E1956" t="str">
        <f>VLOOKUP(B1956,Nuclides!A:F,5,FALSE)</f>
        <v>Fr220</v>
      </c>
      <c r="F1956">
        <f>VLOOKUP(B1956,Nuclides!A:F,4,FALSE)</f>
        <v>27.4</v>
      </c>
      <c r="G1956" s="3" t="str">
        <f t="shared" si="153"/>
        <v>27.4s</v>
      </c>
      <c r="H1956" s="3">
        <f t="shared" si="154"/>
        <v>2.5297342356202384E-2</v>
      </c>
      <c r="I1956" s="3">
        <f t="shared" si="155"/>
        <v>0</v>
      </c>
      <c r="J1956" s="3">
        <f t="shared" si="156"/>
        <v>0</v>
      </c>
      <c r="K1956" s="3" t="str">
        <f t="shared" si="157"/>
        <v>Fr220</v>
      </c>
      <c r="L1956" s="3" cm="1">
        <f t="array" ref="L1956">SUM(($J1956*EXP(-$H1956*12*3600*_xlfn.SEQUENCE(L$1-1))))+$J1956</f>
        <v>0</v>
      </c>
      <c r="M1956" s="3"/>
      <c r="N1956" s="3"/>
    </row>
    <row r="1957" spans="2:14" hidden="1" x14ac:dyDescent="0.2">
      <c r="B1957" s="3">
        <v>87221</v>
      </c>
      <c r="C1957" s="3">
        <v>0</v>
      </c>
      <c r="D1957">
        <v>1954</v>
      </c>
      <c r="E1957" t="str">
        <f>VLOOKUP(B1957,Nuclides!A:F,5,FALSE)</f>
        <v>Fr221</v>
      </c>
      <c r="F1957">
        <f>VLOOKUP(B1957,Nuclides!A:F,4,FALSE)</f>
        <v>286.10000000000002</v>
      </c>
      <c r="G1957" s="3" t="str">
        <f t="shared" si="153"/>
        <v>4.77min</v>
      </c>
      <c r="H1957" s="3">
        <f t="shared" si="154"/>
        <v>2.4227444269833806E-3</v>
      </c>
      <c r="I1957" s="3">
        <f t="shared" si="155"/>
        <v>0</v>
      </c>
      <c r="J1957" s="3">
        <f t="shared" si="156"/>
        <v>0</v>
      </c>
      <c r="K1957" s="3" t="str">
        <f t="shared" si="157"/>
        <v>Fr221</v>
      </c>
      <c r="L1957" s="3" cm="1">
        <f t="array" ref="L1957">SUM(($J1957*EXP(-$H1957*12*3600*_xlfn.SEQUENCE(L$1-1))))+$J1957</f>
        <v>0</v>
      </c>
      <c r="M1957" s="3"/>
      <c r="N1957" s="3"/>
    </row>
    <row r="1958" spans="2:14" hidden="1" x14ac:dyDescent="0.2">
      <c r="B1958" s="3">
        <v>87222</v>
      </c>
      <c r="C1958" s="3">
        <v>0</v>
      </c>
      <c r="D1958">
        <v>1955</v>
      </c>
      <c r="E1958" t="str">
        <f>VLOOKUP(B1958,Nuclides!A:F,5,FALSE)</f>
        <v>Fr222</v>
      </c>
      <c r="F1958">
        <f>VLOOKUP(B1958,Nuclides!A:F,4,FALSE)</f>
        <v>852</v>
      </c>
      <c r="G1958" s="3" t="str">
        <f t="shared" si="153"/>
        <v>14.2min</v>
      </c>
      <c r="H1958" s="3">
        <f t="shared" si="154"/>
        <v>8.1355302882622684E-4</v>
      </c>
      <c r="I1958" s="3">
        <f t="shared" si="155"/>
        <v>0</v>
      </c>
      <c r="J1958" s="3">
        <f t="shared" si="156"/>
        <v>0</v>
      </c>
      <c r="K1958" s="3" t="str">
        <f t="shared" si="157"/>
        <v>Fr222</v>
      </c>
      <c r="L1958" s="3" cm="1">
        <f t="array" ref="L1958">SUM(($J1958*EXP(-$H1958*12*3600*_xlfn.SEQUENCE(L$1-1))))+$J1958</f>
        <v>0</v>
      </c>
      <c r="M1958" s="3"/>
      <c r="N1958" s="3"/>
    </row>
    <row r="1959" spans="2:14" hidden="1" x14ac:dyDescent="0.2">
      <c r="B1959" s="3">
        <v>87223</v>
      </c>
      <c r="C1959" s="3">
        <v>0</v>
      </c>
      <c r="D1959">
        <v>1956</v>
      </c>
      <c r="E1959" t="str">
        <f>VLOOKUP(B1959,Nuclides!A:F,5,FALSE)</f>
        <v>Fr223</v>
      </c>
      <c r="F1959">
        <f>VLOOKUP(B1959,Nuclides!A:F,4,FALSE)</f>
        <v>1320</v>
      </c>
      <c r="G1959" s="3" t="str">
        <f t="shared" si="153"/>
        <v>22min</v>
      </c>
      <c r="H1959" s="3">
        <f t="shared" si="154"/>
        <v>5.2511150042420097E-4</v>
      </c>
      <c r="I1959" s="3">
        <f t="shared" si="155"/>
        <v>0</v>
      </c>
      <c r="J1959" s="3">
        <f t="shared" si="156"/>
        <v>0</v>
      </c>
      <c r="K1959" s="3" t="str">
        <f t="shared" si="157"/>
        <v>Fr223</v>
      </c>
      <c r="L1959" s="3" cm="1">
        <f t="array" ref="L1959">SUM(($J1959*EXP(-$H1959*12*3600*_xlfn.SEQUENCE(L$1-1))))+$J1959</f>
        <v>0</v>
      </c>
      <c r="M1959" s="3"/>
      <c r="N1959" s="3"/>
    </row>
    <row r="1960" spans="2:14" hidden="1" x14ac:dyDescent="0.2">
      <c r="B1960" s="3">
        <v>87224</v>
      </c>
      <c r="C1960" s="3">
        <v>0</v>
      </c>
      <c r="D1960">
        <v>1957</v>
      </c>
      <c r="E1960" t="str">
        <f>VLOOKUP(B1960,Nuclides!A:F,5,FALSE)</f>
        <v>Fr224</v>
      </c>
      <c r="F1960">
        <f>VLOOKUP(B1960,Nuclides!A:F,4,FALSE)</f>
        <v>199.8</v>
      </c>
      <c r="G1960" s="3" t="str">
        <f t="shared" si="153"/>
        <v>3.33min</v>
      </c>
      <c r="H1960" s="3">
        <f t="shared" si="154"/>
        <v>3.4692051079076337E-3</v>
      </c>
      <c r="I1960" s="3">
        <f t="shared" si="155"/>
        <v>0</v>
      </c>
      <c r="J1960" s="3">
        <f t="shared" si="156"/>
        <v>0</v>
      </c>
      <c r="K1960" s="3" t="str">
        <f t="shared" si="157"/>
        <v>Fr224</v>
      </c>
      <c r="L1960" s="3" cm="1">
        <f t="array" ref="L1960">SUM(($J1960*EXP(-$H1960*12*3600*_xlfn.SEQUENCE(L$1-1))))+$J1960</f>
        <v>0</v>
      </c>
      <c r="M1960" s="3"/>
      <c r="N1960" s="3"/>
    </row>
    <row r="1961" spans="2:14" hidden="1" x14ac:dyDescent="0.2">
      <c r="B1961" s="3">
        <v>87225</v>
      </c>
      <c r="C1961" s="3">
        <v>0</v>
      </c>
      <c r="D1961">
        <v>1958</v>
      </c>
      <c r="E1961" t="str">
        <f>VLOOKUP(B1961,Nuclides!A:F,5,FALSE)</f>
        <v>Fr225</v>
      </c>
      <c r="F1961">
        <f>VLOOKUP(B1961,Nuclides!A:F,4,FALSE)</f>
        <v>237</v>
      </c>
      <c r="G1961" s="3" t="str">
        <f t="shared" si="153"/>
        <v>3.95min</v>
      </c>
      <c r="H1961" s="3">
        <f t="shared" si="154"/>
        <v>2.9246716479322584E-3</v>
      </c>
      <c r="I1961" s="3">
        <f t="shared" si="155"/>
        <v>0</v>
      </c>
      <c r="J1961" s="3">
        <f t="shared" si="156"/>
        <v>0</v>
      </c>
      <c r="K1961" s="3" t="str">
        <f t="shared" si="157"/>
        <v>Fr225</v>
      </c>
      <c r="L1961" s="3" cm="1">
        <f t="array" ref="L1961">SUM(($J1961*EXP(-$H1961*12*3600*_xlfn.SEQUENCE(L$1-1))))+$J1961</f>
        <v>0</v>
      </c>
      <c r="M1961" s="3"/>
      <c r="N1961" s="3"/>
    </row>
    <row r="1962" spans="2:14" hidden="1" x14ac:dyDescent="0.2">
      <c r="B1962" s="3">
        <v>87226</v>
      </c>
      <c r="C1962" s="3">
        <v>0</v>
      </c>
      <c r="D1962">
        <v>1959</v>
      </c>
      <c r="E1962" t="str">
        <f>VLOOKUP(B1962,Nuclides!A:F,5,FALSE)</f>
        <v>Fr226</v>
      </c>
      <c r="F1962">
        <f>VLOOKUP(B1962,Nuclides!A:F,4,FALSE)</f>
        <v>49</v>
      </c>
      <c r="G1962" s="3" t="str">
        <f t="shared" si="153"/>
        <v>49s</v>
      </c>
      <c r="H1962" s="3">
        <f t="shared" si="154"/>
        <v>1.4145860827753985E-2</v>
      </c>
      <c r="I1962" s="3">
        <f t="shared" si="155"/>
        <v>0</v>
      </c>
      <c r="J1962" s="3">
        <f t="shared" si="156"/>
        <v>0</v>
      </c>
      <c r="K1962" s="3" t="str">
        <f t="shared" si="157"/>
        <v>Fr226</v>
      </c>
      <c r="L1962" s="3" cm="1">
        <f t="array" ref="L1962">SUM(($J1962*EXP(-$H1962*12*3600*_xlfn.SEQUENCE(L$1-1))))+$J1962</f>
        <v>0</v>
      </c>
      <c r="M1962" s="3"/>
      <c r="N1962" s="3"/>
    </row>
    <row r="1963" spans="2:14" hidden="1" x14ac:dyDescent="0.2">
      <c r="B1963" s="3">
        <v>87227</v>
      </c>
      <c r="C1963" s="3">
        <v>0</v>
      </c>
      <c r="D1963">
        <v>1960</v>
      </c>
      <c r="E1963" t="str">
        <f>VLOOKUP(B1963,Nuclides!A:F,5,FALSE)</f>
        <v>Fr227</v>
      </c>
      <c r="F1963">
        <f>VLOOKUP(B1963,Nuclides!A:F,4,FALSE)</f>
        <v>148.19999999999999</v>
      </c>
      <c r="G1963" s="3" t="str">
        <f t="shared" si="153"/>
        <v>2.47min</v>
      </c>
      <c r="H1963" s="3">
        <f t="shared" si="154"/>
        <v>4.6771064815111021E-3</v>
      </c>
      <c r="I1963" s="3">
        <f t="shared" si="155"/>
        <v>0</v>
      </c>
      <c r="J1963" s="3">
        <f t="shared" si="156"/>
        <v>0</v>
      </c>
      <c r="K1963" s="3" t="str">
        <f t="shared" si="157"/>
        <v>Fr227</v>
      </c>
      <c r="L1963" s="3" cm="1">
        <f t="array" ref="L1963">SUM(($J1963*EXP(-$H1963*12*3600*_xlfn.SEQUENCE(L$1-1))))+$J1963</f>
        <v>0</v>
      </c>
      <c r="M1963" s="3"/>
      <c r="N1963" s="3"/>
    </row>
    <row r="1964" spans="2:14" hidden="1" x14ac:dyDescent="0.2">
      <c r="B1964" s="3">
        <v>87228</v>
      </c>
      <c r="C1964" s="3">
        <v>0</v>
      </c>
      <c r="D1964">
        <v>1961</v>
      </c>
      <c r="E1964" t="str">
        <f>VLOOKUP(B1964,Nuclides!A:F,5,FALSE)</f>
        <v>Fr228</v>
      </c>
      <c r="F1964">
        <f>VLOOKUP(B1964,Nuclides!A:F,4,FALSE)</f>
        <v>38</v>
      </c>
      <c r="G1964" s="3" t="str">
        <f t="shared" si="153"/>
        <v>38s</v>
      </c>
      <c r="H1964" s="3">
        <f t="shared" si="154"/>
        <v>1.8240715277893296E-2</v>
      </c>
      <c r="I1964" s="3">
        <f t="shared" si="155"/>
        <v>0</v>
      </c>
      <c r="J1964" s="3">
        <f t="shared" si="156"/>
        <v>0</v>
      </c>
      <c r="K1964" s="3" t="str">
        <f t="shared" si="157"/>
        <v>Fr228</v>
      </c>
      <c r="L1964" s="3" cm="1">
        <f t="array" ref="L1964">SUM(($J1964*EXP(-$H1964*12*3600*_xlfn.SEQUENCE(L$1-1))))+$J1964</f>
        <v>0</v>
      </c>
      <c r="M1964" s="3"/>
      <c r="N1964" s="3"/>
    </row>
    <row r="1965" spans="2:14" hidden="1" x14ac:dyDescent="0.2">
      <c r="B1965" s="3">
        <v>87229</v>
      </c>
      <c r="C1965" s="3">
        <v>0</v>
      </c>
      <c r="D1965">
        <v>1962</v>
      </c>
      <c r="E1965" t="str">
        <f>VLOOKUP(B1965,Nuclides!A:F,5,FALSE)</f>
        <v>Fr229</v>
      </c>
      <c r="F1965">
        <f>VLOOKUP(B1965,Nuclides!A:F,4,FALSE)</f>
        <v>50.2</v>
      </c>
      <c r="G1965" s="3" t="str">
        <f t="shared" si="153"/>
        <v>50.2s</v>
      </c>
      <c r="H1965" s="3">
        <f t="shared" si="154"/>
        <v>1.3807712760158271E-2</v>
      </c>
      <c r="I1965" s="3">
        <f t="shared" si="155"/>
        <v>0</v>
      </c>
      <c r="J1965" s="3">
        <f t="shared" si="156"/>
        <v>0</v>
      </c>
      <c r="K1965" s="3" t="str">
        <f t="shared" si="157"/>
        <v>Fr229</v>
      </c>
      <c r="L1965" s="3" cm="1">
        <f t="array" ref="L1965">SUM(($J1965*EXP(-$H1965*12*3600*_xlfn.SEQUENCE(L$1-1))))+$J1965</f>
        <v>0</v>
      </c>
      <c r="M1965" s="3"/>
      <c r="N1965" s="3"/>
    </row>
    <row r="1966" spans="2:14" hidden="1" x14ac:dyDescent="0.2">
      <c r="B1966" s="3">
        <v>88206</v>
      </c>
      <c r="C1966" s="3">
        <v>0</v>
      </c>
      <c r="D1966">
        <v>1963</v>
      </c>
      <c r="E1966" t="str">
        <f>VLOOKUP(B1966,Nuclides!A:F,5,FALSE)</f>
        <v>Ra206</v>
      </c>
      <c r="F1966">
        <f>VLOOKUP(B1966,Nuclides!A:F,4,FALSE)</f>
        <v>0.24</v>
      </c>
      <c r="G1966" s="3" t="str">
        <f t="shared" si="153"/>
        <v>0.24s</v>
      </c>
      <c r="H1966" s="3">
        <f t="shared" si="154"/>
        <v>2.8881132523331057</v>
      </c>
      <c r="I1966" s="3">
        <f t="shared" si="155"/>
        <v>0</v>
      </c>
      <c r="J1966" s="3">
        <f t="shared" si="156"/>
        <v>0</v>
      </c>
      <c r="K1966" s="3" t="str">
        <f t="shared" si="157"/>
        <v>Ra206</v>
      </c>
      <c r="L1966" s="3" cm="1">
        <f t="array" ref="L1966">SUM(($J1966*EXP(-$H1966*12*3600*_xlfn.SEQUENCE(L$1-1))))+$J1966</f>
        <v>0</v>
      </c>
      <c r="M1966" s="3"/>
      <c r="N1966" s="3"/>
    </row>
    <row r="1967" spans="2:14" hidden="1" x14ac:dyDescent="0.2">
      <c r="B1967" s="3">
        <v>88207</v>
      </c>
      <c r="C1967" s="3">
        <v>0</v>
      </c>
      <c r="D1967">
        <v>1964</v>
      </c>
      <c r="E1967" t="str">
        <f>VLOOKUP(B1967,Nuclides!A:F,5,FALSE)</f>
        <v>Ra207</v>
      </c>
      <c r="F1967">
        <f>VLOOKUP(B1967,Nuclides!A:F,4,FALSE)</f>
        <v>1.35</v>
      </c>
      <c r="G1967" s="3" t="str">
        <f t="shared" si="153"/>
        <v>1.35s</v>
      </c>
      <c r="H1967" s="3">
        <f t="shared" si="154"/>
        <v>0.51344235597032983</v>
      </c>
      <c r="I1967" s="3">
        <f t="shared" si="155"/>
        <v>0</v>
      </c>
      <c r="J1967" s="3">
        <f t="shared" si="156"/>
        <v>0</v>
      </c>
      <c r="K1967" s="3" t="str">
        <f t="shared" si="157"/>
        <v>Ra207</v>
      </c>
      <c r="L1967" s="3" cm="1">
        <f t="array" ref="L1967">SUM(($J1967*EXP(-$H1967*12*3600*_xlfn.SEQUENCE(L$1-1))))+$J1967</f>
        <v>0</v>
      </c>
      <c r="M1967" s="3"/>
      <c r="N1967" s="3"/>
    </row>
    <row r="1968" spans="2:14" hidden="1" x14ac:dyDescent="0.2">
      <c r="B1968" s="3">
        <v>88208</v>
      </c>
      <c r="C1968" s="3">
        <v>0</v>
      </c>
      <c r="D1968">
        <v>1965</v>
      </c>
      <c r="E1968" t="str">
        <f>VLOOKUP(B1968,Nuclides!A:F,5,FALSE)</f>
        <v>Ra208</v>
      </c>
      <c r="F1968">
        <f>VLOOKUP(B1968,Nuclides!A:F,4,FALSE)</f>
        <v>1.3</v>
      </c>
      <c r="G1968" s="3" t="str">
        <f t="shared" si="153"/>
        <v>1.3s</v>
      </c>
      <c r="H1968" s="3">
        <f t="shared" si="154"/>
        <v>0.53319013889226563</v>
      </c>
      <c r="I1968" s="3">
        <f t="shared" si="155"/>
        <v>0</v>
      </c>
      <c r="J1968" s="3">
        <f t="shared" si="156"/>
        <v>0</v>
      </c>
      <c r="K1968" s="3" t="str">
        <f t="shared" si="157"/>
        <v>Ra208</v>
      </c>
      <c r="L1968" s="3" cm="1">
        <f t="array" ref="L1968">SUM(($J1968*EXP(-$H1968*12*3600*_xlfn.SEQUENCE(L$1-1))))+$J1968</f>
        <v>0</v>
      </c>
      <c r="M1968" s="3"/>
      <c r="N1968" s="3"/>
    </row>
    <row r="1969" spans="2:14" hidden="1" x14ac:dyDescent="0.2">
      <c r="B1969" s="3">
        <v>88209</v>
      </c>
      <c r="C1969" s="3">
        <v>0</v>
      </c>
      <c r="D1969">
        <v>1966</v>
      </c>
      <c r="E1969" t="str">
        <f>VLOOKUP(B1969,Nuclides!A:F,5,FALSE)</f>
        <v>Ra209</v>
      </c>
      <c r="F1969">
        <f>VLOOKUP(B1969,Nuclides!A:F,4,FALSE)</f>
        <v>4.5999999999999996</v>
      </c>
      <c r="G1969" s="3" t="str">
        <f t="shared" si="153"/>
        <v>4.6s</v>
      </c>
      <c r="H1969" s="3">
        <f t="shared" si="154"/>
        <v>0.15068416968694465</v>
      </c>
      <c r="I1969" s="3">
        <f t="shared" si="155"/>
        <v>0</v>
      </c>
      <c r="J1969" s="3">
        <f t="shared" si="156"/>
        <v>0</v>
      </c>
      <c r="K1969" s="3" t="str">
        <f t="shared" si="157"/>
        <v>Ra209</v>
      </c>
      <c r="L1969" s="3" cm="1">
        <f t="array" ref="L1969">SUM(($J1969*EXP(-$H1969*12*3600*_xlfn.SEQUENCE(L$1-1))))+$J1969</f>
        <v>0</v>
      </c>
      <c r="M1969" s="3"/>
      <c r="N1969" s="3"/>
    </row>
    <row r="1970" spans="2:14" hidden="1" x14ac:dyDescent="0.2">
      <c r="B1970" s="3">
        <v>88210</v>
      </c>
      <c r="C1970" s="3">
        <v>0</v>
      </c>
      <c r="D1970">
        <v>1967</v>
      </c>
      <c r="E1970" t="str">
        <f>VLOOKUP(B1970,Nuclides!A:F,5,FALSE)</f>
        <v>Ra210</v>
      </c>
      <c r="F1970">
        <f>VLOOKUP(B1970,Nuclides!A:F,4,FALSE)</f>
        <v>3.7</v>
      </c>
      <c r="G1970" s="3" t="str">
        <f t="shared" si="153"/>
        <v>3.7s</v>
      </c>
      <c r="H1970" s="3">
        <f t="shared" si="154"/>
        <v>0.18733707582701223</v>
      </c>
      <c r="I1970" s="3">
        <f t="shared" si="155"/>
        <v>0</v>
      </c>
      <c r="J1970" s="3">
        <f t="shared" si="156"/>
        <v>0</v>
      </c>
      <c r="K1970" s="3" t="str">
        <f t="shared" si="157"/>
        <v>Ra210</v>
      </c>
      <c r="L1970" s="3" cm="1">
        <f t="array" ref="L1970">SUM(($J1970*EXP(-$H1970*12*3600*_xlfn.SEQUENCE(L$1-1))))+$J1970</f>
        <v>0</v>
      </c>
      <c r="M1970" s="3"/>
      <c r="N1970" s="3"/>
    </row>
    <row r="1971" spans="2:14" hidden="1" x14ac:dyDescent="0.2">
      <c r="B1971" s="3">
        <v>88211</v>
      </c>
      <c r="C1971" s="3">
        <v>0</v>
      </c>
      <c r="D1971">
        <v>1968</v>
      </c>
      <c r="E1971" t="str">
        <f>VLOOKUP(B1971,Nuclides!A:F,5,FALSE)</f>
        <v>Ra211</v>
      </c>
      <c r="F1971">
        <f>VLOOKUP(B1971,Nuclides!A:F,4,FALSE)</f>
        <v>13</v>
      </c>
      <c r="G1971" s="3" t="str">
        <f t="shared" si="153"/>
        <v>13s</v>
      </c>
      <c r="H1971" s="3">
        <f t="shared" si="154"/>
        <v>5.3319013889226559E-2</v>
      </c>
      <c r="I1971" s="3">
        <f t="shared" si="155"/>
        <v>0</v>
      </c>
      <c r="J1971" s="3">
        <f t="shared" si="156"/>
        <v>0</v>
      </c>
      <c r="K1971" s="3" t="str">
        <f t="shared" si="157"/>
        <v>Ra211</v>
      </c>
      <c r="L1971" s="3" cm="1">
        <f t="array" ref="L1971">SUM(($J1971*EXP(-$H1971*12*3600*_xlfn.SEQUENCE(L$1-1))))+$J1971</f>
        <v>0</v>
      </c>
      <c r="M1971" s="3"/>
      <c r="N1971" s="3"/>
    </row>
    <row r="1972" spans="2:14" hidden="1" x14ac:dyDescent="0.2">
      <c r="B1972" s="3">
        <v>88212</v>
      </c>
      <c r="C1972" s="3">
        <v>0</v>
      </c>
      <c r="D1972">
        <v>1969</v>
      </c>
      <c r="E1972" t="str">
        <f>VLOOKUP(B1972,Nuclides!A:F,5,FALSE)</f>
        <v>Ra212</v>
      </c>
      <c r="F1972">
        <f>VLOOKUP(B1972,Nuclides!A:F,4,FALSE)</f>
        <v>13</v>
      </c>
      <c r="G1972" s="3" t="str">
        <f t="shared" si="153"/>
        <v>13s</v>
      </c>
      <c r="H1972" s="3">
        <f t="shared" si="154"/>
        <v>5.3319013889226559E-2</v>
      </c>
      <c r="I1972" s="3">
        <f t="shared" si="155"/>
        <v>0</v>
      </c>
      <c r="J1972" s="3">
        <f t="shared" si="156"/>
        <v>0</v>
      </c>
      <c r="K1972" s="3" t="str">
        <f t="shared" si="157"/>
        <v>Ra212</v>
      </c>
      <c r="L1972" s="3" cm="1">
        <f t="array" ref="L1972">SUM(($J1972*EXP(-$H1972*12*3600*_xlfn.SEQUENCE(L$1-1))))+$J1972</f>
        <v>0</v>
      </c>
      <c r="M1972" s="3"/>
      <c r="N1972" s="3"/>
    </row>
    <row r="1973" spans="2:14" hidden="1" x14ac:dyDescent="0.2">
      <c r="B1973" s="3">
        <v>88213</v>
      </c>
      <c r="C1973" s="3">
        <v>0</v>
      </c>
      <c r="D1973">
        <v>1970</v>
      </c>
      <c r="E1973" t="str">
        <f>VLOOKUP(B1973,Nuclides!A:F,5,FALSE)</f>
        <v>Ra213</v>
      </c>
      <c r="F1973">
        <f>VLOOKUP(B1973,Nuclides!A:F,4,FALSE)</f>
        <v>163.80000000000001</v>
      </c>
      <c r="G1973" s="3" t="str">
        <f t="shared" si="153"/>
        <v>2.73min</v>
      </c>
      <c r="H1973" s="3">
        <f t="shared" si="154"/>
        <v>4.2316677689862347E-3</v>
      </c>
      <c r="I1973" s="3">
        <f t="shared" si="155"/>
        <v>0</v>
      </c>
      <c r="J1973" s="3">
        <f t="shared" si="156"/>
        <v>0</v>
      </c>
      <c r="K1973" s="3" t="str">
        <f t="shared" si="157"/>
        <v>Ra213</v>
      </c>
      <c r="L1973" s="3" cm="1">
        <f t="array" ref="L1973">SUM(($J1973*EXP(-$H1973*12*3600*_xlfn.SEQUENCE(L$1-1))))+$J1973</f>
        <v>0</v>
      </c>
      <c r="M1973" s="3"/>
      <c r="N1973" s="3"/>
    </row>
    <row r="1974" spans="2:14" hidden="1" x14ac:dyDescent="0.2">
      <c r="B1974" s="3">
        <v>88214</v>
      </c>
      <c r="C1974" s="3">
        <v>0</v>
      </c>
      <c r="D1974">
        <v>1971</v>
      </c>
      <c r="E1974" t="str">
        <f>VLOOKUP(B1974,Nuclides!A:F,5,FALSE)</f>
        <v>Ra214</v>
      </c>
      <c r="F1974">
        <f>VLOOKUP(B1974,Nuclides!A:F,4,FALSE)</f>
        <v>2.46</v>
      </c>
      <c r="G1974" s="3" t="str">
        <f t="shared" si="153"/>
        <v>2.46s</v>
      </c>
      <c r="H1974" s="3">
        <f t="shared" si="154"/>
        <v>0.28176714656908347</v>
      </c>
      <c r="I1974" s="3">
        <f t="shared" si="155"/>
        <v>0</v>
      </c>
      <c r="J1974" s="3">
        <f t="shared" si="156"/>
        <v>0</v>
      </c>
      <c r="K1974" s="3" t="str">
        <f t="shared" si="157"/>
        <v>Ra214</v>
      </c>
      <c r="L1974" s="3" cm="1">
        <f t="array" ref="L1974">SUM(($J1974*EXP(-$H1974*12*3600*_xlfn.SEQUENCE(L$1-1))))+$J1974</f>
        <v>0</v>
      </c>
      <c r="M1974" s="3"/>
      <c r="N1974" s="3"/>
    </row>
    <row r="1975" spans="2:14" hidden="1" x14ac:dyDescent="0.2">
      <c r="B1975" s="3">
        <v>88215</v>
      </c>
      <c r="C1975" s="3">
        <v>0</v>
      </c>
      <c r="D1975">
        <v>1972</v>
      </c>
      <c r="E1975" t="str">
        <f>VLOOKUP(B1975,Nuclides!A:F,5,FALSE)</f>
        <v>Ra215</v>
      </c>
      <c r="F1975">
        <f>VLOOKUP(B1975,Nuclides!A:F,4,FALSE)</f>
        <v>1.66E-3</v>
      </c>
      <c r="G1975" s="3" t="str">
        <f t="shared" si="153"/>
        <v>0.00166s</v>
      </c>
      <c r="H1975" s="3">
        <f t="shared" si="154"/>
        <v>417.55854250599111</v>
      </c>
      <c r="I1975" s="3">
        <f t="shared" si="155"/>
        <v>0</v>
      </c>
      <c r="J1975" s="3">
        <f t="shared" si="156"/>
        <v>0</v>
      </c>
      <c r="K1975" s="3" t="str">
        <f t="shared" si="157"/>
        <v>Ra215</v>
      </c>
      <c r="L1975" s="3" cm="1">
        <f t="array" ref="L1975">SUM(($J1975*EXP(-$H1975*12*3600*_xlfn.SEQUENCE(L$1-1))))+$J1975</f>
        <v>0</v>
      </c>
      <c r="M1975" s="3"/>
      <c r="N1975" s="3"/>
    </row>
    <row r="1976" spans="2:14" hidden="1" x14ac:dyDescent="0.2">
      <c r="B1976" s="3">
        <v>88216</v>
      </c>
      <c r="C1976" s="3">
        <v>0</v>
      </c>
      <c r="D1976">
        <v>1973</v>
      </c>
      <c r="E1976" t="str">
        <f>VLOOKUP(B1976,Nuclides!A:F,5,FALSE)</f>
        <v>Ra216</v>
      </c>
      <c r="F1976">
        <f>VLOOKUP(B1976,Nuclides!A:F,4,FALSE)</f>
        <v>1.8199999999999999E-7</v>
      </c>
      <c r="G1976" s="3" t="str">
        <f t="shared" si="153"/>
        <v>0.000000182s</v>
      </c>
      <c r="H1976" s="3">
        <f t="shared" si="154"/>
        <v>3808500.9920876119</v>
      </c>
      <c r="I1976" s="3">
        <f t="shared" si="155"/>
        <v>0</v>
      </c>
      <c r="J1976" s="3">
        <f t="shared" si="156"/>
        <v>0</v>
      </c>
      <c r="K1976" s="3" t="str">
        <f t="shared" si="157"/>
        <v>Ra216</v>
      </c>
      <c r="L1976" s="3" cm="1">
        <f t="array" ref="L1976">SUM(($J1976*EXP(-$H1976*12*3600*_xlfn.SEQUENCE(L$1-1))))+$J1976</f>
        <v>0</v>
      </c>
      <c r="M1976" s="3"/>
      <c r="N1976" s="3"/>
    </row>
    <row r="1977" spans="2:14" hidden="1" x14ac:dyDescent="0.2">
      <c r="B1977" s="3">
        <v>88217</v>
      </c>
      <c r="C1977" s="3">
        <v>0</v>
      </c>
      <c r="D1977">
        <v>1974</v>
      </c>
      <c r="E1977" t="str">
        <f>VLOOKUP(B1977,Nuclides!A:F,5,FALSE)</f>
        <v>Ra217</v>
      </c>
      <c r="F1977">
        <f>VLOOKUP(B1977,Nuclides!A:F,4,FALSE)</f>
        <v>1.5999999999999999E-6</v>
      </c>
      <c r="G1977" s="3" t="str">
        <f t="shared" si="153"/>
        <v>0.0000016s</v>
      </c>
      <c r="H1977" s="3">
        <f t="shared" si="154"/>
        <v>433216.98784996581</v>
      </c>
      <c r="I1977" s="3">
        <f t="shared" si="155"/>
        <v>0</v>
      </c>
      <c r="J1977" s="3">
        <f t="shared" si="156"/>
        <v>0</v>
      </c>
      <c r="K1977" s="3" t="str">
        <f t="shared" si="157"/>
        <v>Ra217</v>
      </c>
      <c r="L1977" s="3" cm="1">
        <f t="array" ref="L1977">SUM(($J1977*EXP(-$H1977*12*3600*_xlfn.SEQUENCE(L$1-1))))+$J1977</f>
        <v>0</v>
      </c>
      <c r="M1977" s="3"/>
      <c r="N1977" s="3"/>
    </row>
    <row r="1978" spans="2:14" hidden="1" x14ac:dyDescent="0.2">
      <c r="B1978" s="3">
        <v>88218</v>
      </c>
      <c r="C1978" s="3">
        <v>0</v>
      </c>
      <c r="D1978">
        <v>1975</v>
      </c>
      <c r="E1978" t="str">
        <f>VLOOKUP(B1978,Nuclides!A:F,5,FALSE)</f>
        <v>Ra218</v>
      </c>
      <c r="F1978">
        <f>VLOOKUP(B1978,Nuclides!A:F,4,FALSE)</f>
        <v>2.5199999999999999E-5</v>
      </c>
      <c r="G1978" s="3" t="str">
        <f t="shared" si="153"/>
        <v>0.0000252s</v>
      </c>
      <c r="H1978" s="3">
        <f t="shared" si="154"/>
        <v>27505.840498410529</v>
      </c>
      <c r="I1978" s="3">
        <f t="shared" si="155"/>
        <v>0</v>
      </c>
      <c r="J1978" s="3">
        <f t="shared" si="156"/>
        <v>0</v>
      </c>
      <c r="K1978" s="3" t="str">
        <f t="shared" si="157"/>
        <v>Ra218</v>
      </c>
      <c r="L1978" s="3" cm="1">
        <f t="array" ref="L1978">SUM(($J1978*EXP(-$H1978*12*3600*_xlfn.SEQUENCE(L$1-1))))+$J1978</f>
        <v>0</v>
      </c>
      <c r="M1978" s="3"/>
      <c r="N1978" s="3"/>
    </row>
    <row r="1979" spans="2:14" hidden="1" x14ac:dyDescent="0.2">
      <c r="B1979" s="3">
        <v>88219</v>
      </c>
      <c r="C1979" s="3">
        <v>0</v>
      </c>
      <c r="D1979">
        <v>1976</v>
      </c>
      <c r="E1979" t="str">
        <f>VLOOKUP(B1979,Nuclides!A:F,5,FALSE)</f>
        <v>Ra219</v>
      </c>
      <c r="F1979">
        <f>VLOOKUP(B1979,Nuclides!A:F,4,FALSE)</f>
        <v>0.01</v>
      </c>
      <c r="G1979" s="3" t="str">
        <f t="shared" si="153"/>
        <v>0.01s</v>
      </c>
      <c r="H1979" s="3">
        <f t="shared" si="154"/>
        <v>69.314718055994533</v>
      </c>
      <c r="I1979" s="3">
        <f t="shared" si="155"/>
        <v>0</v>
      </c>
      <c r="J1979" s="3">
        <f t="shared" si="156"/>
        <v>0</v>
      </c>
      <c r="K1979" s="3" t="str">
        <f t="shared" si="157"/>
        <v>Ra219</v>
      </c>
      <c r="L1979" s="3" cm="1">
        <f t="array" ref="L1979">SUM(($J1979*EXP(-$H1979*12*3600*_xlfn.SEQUENCE(L$1-1))))+$J1979</f>
        <v>0</v>
      </c>
      <c r="M1979" s="3"/>
      <c r="N1979" s="3"/>
    </row>
    <row r="1980" spans="2:14" hidden="1" x14ac:dyDescent="0.2">
      <c r="B1980" s="3">
        <v>88220</v>
      </c>
      <c r="C1980" s="3">
        <v>0</v>
      </c>
      <c r="D1980">
        <v>1977</v>
      </c>
      <c r="E1980" t="str">
        <f>VLOOKUP(B1980,Nuclides!A:F,5,FALSE)</f>
        <v>Ra220</v>
      </c>
      <c r="F1980">
        <f>VLOOKUP(B1980,Nuclides!A:F,4,FALSE)</f>
        <v>1.7999999999999999E-2</v>
      </c>
      <c r="G1980" s="3" t="str">
        <f t="shared" si="153"/>
        <v>0.018s</v>
      </c>
      <c r="H1980" s="3">
        <f t="shared" si="154"/>
        <v>38.508176697774744</v>
      </c>
      <c r="I1980" s="3">
        <f t="shared" si="155"/>
        <v>0</v>
      </c>
      <c r="J1980" s="3">
        <f t="shared" si="156"/>
        <v>0</v>
      </c>
      <c r="K1980" s="3" t="str">
        <f t="shared" si="157"/>
        <v>Ra220</v>
      </c>
      <c r="L1980" s="3" cm="1">
        <f t="array" ref="L1980">SUM(($J1980*EXP(-$H1980*12*3600*_xlfn.SEQUENCE(L$1-1))))+$J1980</f>
        <v>0</v>
      </c>
      <c r="M1980" s="3"/>
      <c r="N1980" s="3"/>
    </row>
    <row r="1981" spans="2:14" hidden="1" x14ac:dyDescent="0.2">
      <c r="B1981" s="3">
        <v>88221</v>
      </c>
      <c r="C1981" s="3">
        <v>0</v>
      </c>
      <c r="D1981">
        <v>1978</v>
      </c>
      <c r="E1981" t="str">
        <f>VLOOKUP(B1981,Nuclides!A:F,5,FALSE)</f>
        <v>Ra221</v>
      </c>
      <c r="F1981">
        <f>VLOOKUP(B1981,Nuclides!A:F,4,FALSE)</f>
        <v>28</v>
      </c>
      <c r="G1981" s="3" t="str">
        <f t="shared" si="153"/>
        <v>28s</v>
      </c>
      <c r="H1981" s="3">
        <f t="shared" si="154"/>
        <v>2.4755256448569473E-2</v>
      </c>
      <c r="I1981" s="3">
        <f t="shared" si="155"/>
        <v>0</v>
      </c>
      <c r="J1981" s="3">
        <f t="shared" si="156"/>
        <v>0</v>
      </c>
      <c r="K1981" s="3" t="str">
        <f t="shared" si="157"/>
        <v>Ra221</v>
      </c>
      <c r="L1981" s="3" cm="1">
        <f t="array" ref="L1981">SUM(($J1981*EXP(-$H1981*12*3600*_xlfn.SEQUENCE(L$1-1))))+$J1981</f>
        <v>0</v>
      </c>
      <c r="M1981" s="3"/>
      <c r="N1981" s="3"/>
    </row>
    <row r="1982" spans="2:14" hidden="1" x14ac:dyDescent="0.2">
      <c r="B1982" s="3">
        <v>88222</v>
      </c>
      <c r="C1982" s="3">
        <v>0</v>
      </c>
      <c r="D1982">
        <v>1979</v>
      </c>
      <c r="E1982" t="str">
        <f>VLOOKUP(B1982,Nuclides!A:F,5,FALSE)</f>
        <v>Ra222</v>
      </c>
      <c r="F1982">
        <f>VLOOKUP(B1982,Nuclides!A:F,4,FALSE)</f>
        <v>38</v>
      </c>
      <c r="G1982" s="3" t="str">
        <f t="shared" si="153"/>
        <v>38s</v>
      </c>
      <c r="H1982" s="3">
        <f t="shared" si="154"/>
        <v>1.8240715277893296E-2</v>
      </c>
      <c r="I1982" s="3">
        <f t="shared" si="155"/>
        <v>0</v>
      </c>
      <c r="J1982" s="3">
        <f t="shared" si="156"/>
        <v>0</v>
      </c>
      <c r="K1982" s="3" t="str">
        <f t="shared" si="157"/>
        <v>Ra222</v>
      </c>
      <c r="L1982" s="3" cm="1">
        <f t="array" ref="L1982">SUM(($J1982*EXP(-$H1982*12*3600*_xlfn.SEQUENCE(L$1-1))))+$J1982</f>
        <v>0</v>
      </c>
      <c r="M1982" s="3"/>
      <c r="N1982" s="3"/>
    </row>
    <row r="1983" spans="2:14" hidden="1" x14ac:dyDescent="0.2">
      <c r="B1983" s="3">
        <v>88223</v>
      </c>
      <c r="C1983" s="3">
        <v>0</v>
      </c>
      <c r="D1983">
        <v>1980</v>
      </c>
      <c r="E1983" t="str">
        <f>VLOOKUP(B1983,Nuclides!A:F,5,FALSE)</f>
        <v>Ra223</v>
      </c>
      <c r="F1983">
        <f>VLOOKUP(B1983,Nuclides!A:F,4,FALSE)</f>
        <v>987552</v>
      </c>
      <c r="G1983" s="3" t="str">
        <f t="shared" si="153"/>
        <v>11.43d</v>
      </c>
      <c r="H1983" s="3">
        <f t="shared" si="154"/>
        <v>7.0188423552374482E-7</v>
      </c>
      <c r="I1983" s="3">
        <f t="shared" si="155"/>
        <v>0</v>
      </c>
      <c r="J1983" s="3">
        <f t="shared" si="156"/>
        <v>0</v>
      </c>
      <c r="K1983" s="3" t="str">
        <f t="shared" si="157"/>
        <v>Ra223</v>
      </c>
      <c r="L1983" s="3" cm="1">
        <f t="array" ref="L1983">SUM(($J1983*EXP(-$H1983*12*3600*_xlfn.SEQUENCE(L$1-1))))+$J1983</f>
        <v>0</v>
      </c>
      <c r="M1983" s="3"/>
      <c r="N1983" s="3"/>
    </row>
    <row r="1984" spans="2:14" hidden="1" x14ac:dyDescent="0.2">
      <c r="B1984" s="3">
        <v>88224</v>
      </c>
      <c r="C1984" s="3">
        <v>0</v>
      </c>
      <c r="D1984">
        <v>1981</v>
      </c>
      <c r="E1984" t="str">
        <f>VLOOKUP(B1984,Nuclides!A:F,5,FALSE)</f>
        <v>Ra224</v>
      </c>
      <c r="F1984">
        <f>VLOOKUP(B1984,Nuclides!A:F,4,FALSE)</f>
        <v>313796.15999999997</v>
      </c>
      <c r="G1984" s="3" t="str">
        <f t="shared" si="153"/>
        <v>3.63d</v>
      </c>
      <c r="H1984" s="3">
        <f t="shared" si="154"/>
        <v>2.2089090591801547E-6</v>
      </c>
      <c r="I1984" s="3">
        <f t="shared" si="155"/>
        <v>0</v>
      </c>
      <c r="J1984" s="3">
        <f t="shared" si="156"/>
        <v>0</v>
      </c>
      <c r="K1984" s="3" t="str">
        <f t="shared" si="157"/>
        <v>Ra224</v>
      </c>
      <c r="L1984" s="3" cm="1">
        <f t="array" ref="L1984">SUM(($J1984*EXP(-$H1984*12*3600*_xlfn.SEQUENCE(L$1-1))))+$J1984</f>
        <v>0</v>
      </c>
      <c r="M1984" s="3"/>
      <c r="N1984" s="3"/>
    </row>
    <row r="1985" spans="2:14" hidden="1" x14ac:dyDescent="0.2">
      <c r="B1985" s="3">
        <v>88225</v>
      </c>
      <c r="C1985" s="3">
        <v>0</v>
      </c>
      <c r="D1985">
        <v>1982</v>
      </c>
      <c r="E1985" t="str">
        <f>VLOOKUP(B1985,Nuclides!A:F,5,FALSE)</f>
        <v>Ra225</v>
      </c>
      <c r="F1985">
        <f>VLOOKUP(B1985,Nuclides!A:F,4,FALSE)</f>
        <v>1287360</v>
      </c>
      <c r="G1985" s="3" t="str">
        <f t="shared" si="153"/>
        <v>14.9d</v>
      </c>
      <c r="H1985" s="3">
        <f t="shared" si="154"/>
        <v>5.3842528939841639E-7</v>
      </c>
      <c r="I1985" s="3">
        <f t="shared" si="155"/>
        <v>0</v>
      </c>
      <c r="J1985" s="3">
        <f t="shared" si="156"/>
        <v>0</v>
      </c>
      <c r="K1985" s="3" t="str">
        <f t="shared" si="157"/>
        <v>Ra225</v>
      </c>
      <c r="L1985" s="3" cm="1">
        <f t="array" ref="L1985">SUM(($J1985*EXP(-$H1985*12*3600*_xlfn.SEQUENCE(L$1-1))))+$J1985</f>
        <v>0</v>
      </c>
      <c r="M1985" s="3"/>
      <c r="N1985" s="3"/>
    </row>
    <row r="1986" spans="2:14" hidden="1" x14ac:dyDescent="0.2">
      <c r="B1986" s="3">
        <v>88226</v>
      </c>
      <c r="C1986" s="3">
        <v>0</v>
      </c>
      <c r="D1986">
        <v>1983</v>
      </c>
      <c r="E1986" t="str">
        <f>VLOOKUP(B1986,Nuclides!A:F,5,FALSE)</f>
        <v>Ra226</v>
      </c>
      <c r="F1986">
        <f>VLOOKUP(B1986,Nuclides!A:F,4,FALSE)</f>
        <v>50492160000</v>
      </c>
      <c r="G1986" s="3" t="str">
        <f t="shared" si="153"/>
        <v>1601.1y</v>
      </c>
      <c r="H1986" s="3">
        <f t="shared" si="154"/>
        <v>1.3727817953518829E-11</v>
      </c>
      <c r="I1986" s="3">
        <f t="shared" si="155"/>
        <v>0</v>
      </c>
      <c r="J1986" s="3">
        <f t="shared" si="156"/>
        <v>0</v>
      </c>
      <c r="K1986" s="3" t="str">
        <f t="shared" si="157"/>
        <v>Ra226</v>
      </c>
      <c r="L1986" s="3" cm="1">
        <f t="array" ref="L1986">SUM(($J1986*EXP(-$H1986*12*3600*_xlfn.SEQUENCE(L$1-1))))+$J1986</f>
        <v>0</v>
      </c>
      <c r="M1986" s="3"/>
      <c r="N1986" s="3"/>
    </row>
    <row r="1987" spans="2:14" hidden="1" x14ac:dyDescent="0.2">
      <c r="B1987" s="3">
        <v>88227</v>
      </c>
      <c r="C1987" s="3">
        <v>0</v>
      </c>
      <c r="D1987">
        <v>1984</v>
      </c>
      <c r="E1987" t="str">
        <f>VLOOKUP(B1987,Nuclides!A:F,5,FALSE)</f>
        <v>Ra227</v>
      </c>
      <c r="F1987">
        <f>VLOOKUP(B1987,Nuclides!A:F,4,FALSE)</f>
        <v>2532</v>
      </c>
      <c r="G1987" s="3" t="str">
        <f t="shared" si="153"/>
        <v>42.2min</v>
      </c>
      <c r="H1987" s="3">
        <f t="shared" si="154"/>
        <v>2.7375481064768772E-4</v>
      </c>
      <c r="I1987" s="3">
        <f t="shared" si="155"/>
        <v>0</v>
      </c>
      <c r="J1987" s="3">
        <f t="shared" si="156"/>
        <v>0</v>
      </c>
      <c r="K1987" s="3" t="str">
        <f t="shared" si="157"/>
        <v>Ra227</v>
      </c>
      <c r="L1987" s="3" cm="1">
        <f t="array" ref="L1987">SUM(($J1987*EXP(-$H1987*12*3600*_xlfn.SEQUENCE(L$1-1))))+$J1987</f>
        <v>0</v>
      </c>
      <c r="M1987" s="3"/>
      <c r="N1987" s="3"/>
    </row>
    <row r="1988" spans="2:14" hidden="1" x14ac:dyDescent="0.2">
      <c r="B1988" s="3">
        <v>88228</v>
      </c>
      <c r="C1988" s="3">
        <v>0</v>
      </c>
      <c r="D1988">
        <v>1985</v>
      </c>
      <c r="E1988" t="str">
        <f>VLOOKUP(B1988,Nuclides!A:F,5,FALSE)</f>
        <v>Ra228</v>
      </c>
      <c r="F1988">
        <f>VLOOKUP(B1988,Nuclides!A:F,4,FALSE)</f>
        <v>181456200</v>
      </c>
      <c r="G1988" s="3" t="str">
        <f t="shared" ref="G1988:G2051" si="158">IF(F1988="STABLE", "STABLE", IF(F1988&lt;60, F1988&amp;"s", IF(F1988&lt;3600, ROUND(F1988/60,2)&amp;"min", IF(F1988&lt;86400, ROUND(F1988/3600,2)&amp;"h", IF(F1988&lt;31536000, ROUND(F1988/86400,2)&amp;"d", ROUND(F1988/31536000,2)&amp;"y")))))</f>
        <v>5.75y</v>
      </c>
      <c r="H1988" s="3">
        <f t="shared" ref="H1988:H2051" si="159">LN(2)/F1988</f>
        <v>3.8199145609791522E-9</v>
      </c>
      <c r="I1988" s="3">
        <f t="shared" ref="I1988:I2051" si="160">100*6240000000000*C1988*(1-EXP(-H1988*2*3600))</f>
        <v>0</v>
      </c>
      <c r="J1988" s="3">
        <f t="shared" ref="J1988:J2051" si="161">I1988*EXP(-H1988*10*3600)</f>
        <v>0</v>
      </c>
      <c r="K1988" s="3" t="str">
        <f t="shared" ref="K1988:K2051" si="162">E1988</f>
        <v>Ra228</v>
      </c>
      <c r="L1988" s="3" cm="1">
        <f t="array" ref="L1988">SUM(($J1988*EXP(-$H1988*12*3600*_xlfn.SEQUENCE(L$1-1))))+$J1988</f>
        <v>0</v>
      </c>
      <c r="M1988" s="3"/>
      <c r="N1988" s="3"/>
    </row>
    <row r="1989" spans="2:14" hidden="1" x14ac:dyDescent="0.2">
      <c r="B1989" s="3">
        <v>88229</v>
      </c>
      <c r="C1989" s="3">
        <v>0</v>
      </c>
      <c r="D1989">
        <v>1986</v>
      </c>
      <c r="E1989" t="str">
        <f>VLOOKUP(B1989,Nuclides!A:F,5,FALSE)</f>
        <v>Ra229</v>
      </c>
      <c r="F1989">
        <f>VLOOKUP(B1989,Nuclides!A:F,4,FALSE)</f>
        <v>240</v>
      </c>
      <c r="G1989" s="3" t="str">
        <f t="shared" si="158"/>
        <v>4min</v>
      </c>
      <c r="H1989" s="3">
        <f t="shared" si="159"/>
        <v>2.8881132523331052E-3</v>
      </c>
      <c r="I1989" s="3">
        <f t="shared" si="160"/>
        <v>0</v>
      </c>
      <c r="J1989" s="3">
        <f t="shared" si="161"/>
        <v>0</v>
      </c>
      <c r="K1989" s="3" t="str">
        <f t="shared" si="162"/>
        <v>Ra229</v>
      </c>
      <c r="L1989" s="3" cm="1">
        <f t="array" ref="L1989">SUM(($J1989*EXP(-$H1989*12*3600*_xlfn.SEQUENCE(L$1-1))))+$J1989</f>
        <v>0</v>
      </c>
      <c r="M1989" s="3"/>
      <c r="N1989" s="3"/>
    </row>
    <row r="1990" spans="2:14" hidden="1" x14ac:dyDescent="0.2">
      <c r="B1990" s="3">
        <v>88230</v>
      </c>
      <c r="C1990" s="3">
        <v>0</v>
      </c>
      <c r="D1990">
        <v>1987</v>
      </c>
      <c r="E1990" t="str">
        <f>VLOOKUP(B1990,Nuclides!A:F,5,FALSE)</f>
        <v>Ra230</v>
      </c>
      <c r="F1990">
        <f>VLOOKUP(B1990,Nuclides!A:F,4,FALSE)</f>
        <v>5580</v>
      </c>
      <c r="G1990" s="3" t="str">
        <f t="shared" si="158"/>
        <v>1.55h</v>
      </c>
      <c r="H1990" s="3">
        <f t="shared" si="159"/>
        <v>1.2421992483153141E-4</v>
      </c>
      <c r="I1990" s="3">
        <f t="shared" si="160"/>
        <v>0</v>
      </c>
      <c r="J1990" s="3">
        <f t="shared" si="161"/>
        <v>0</v>
      </c>
      <c r="K1990" s="3" t="str">
        <f t="shared" si="162"/>
        <v>Ra230</v>
      </c>
      <c r="L1990" s="3" cm="1">
        <f t="array" ref="L1990">SUM(($J1990*EXP(-$H1990*12*3600*_xlfn.SEQUENCE(L$1-1))))+$J1990</f>
        <v>0</v>
      </c>
      <c r="M1990" s="3"/>
      <c r="N1990" s="3"/>
    </row>
    <row r="1991" spans="2:14" hidden="1" x14ac:dyDescent="0.2">
      <c r="B1991" s="3">
        <v>89209</v>
      </c>
      <c r="C1991" s="3">
        <v>0</v>
      </c>
      <c r="D1991">
        <v>1988</v>
      </c>
      <c r="E1991" t="str">
        <f>VLOOKUP(B1991,Nuclides!A:F,5,FALSE)</f>
        <v>Ac209</v>
      </c>
      <c r="F1991">
        <f>VLOOKUP(B1991,Nuclides!A:F,4,FALSE)</f>
        <v>8.6999999999999994E-2</v>
      </c>
      <c r="G1991" s="3" t="str">
        <f t="shared" si="158"/>
        <v>0.087s</v>
      </c>
      <c r="H1991" s="3">
        <f t="shared" si="159"/>
        <v>7.9672089719533945</v>
      </c>
      <c r="I1991" s="3">
        <f t="shared" si="160"/>
        <v>0</v>
      </c>
      <c r="J1991" s="3">
        <f t="shared" si="161"/>
        <v>0</v>
      </c>
      <c r="K1991" s="3" t="str">
        <f t="shared" si="162"/>
        <v>Ac209</v>
      </c>
      <c r="L1991" s="3" cm="1">
        <f t="array" ref="L1991">SUM(($J1991*EXP(-$H1991*12*3600*_xlfn.SEQUENCE(L$1-1))))+$J1991</f>
        <v>0</v>
      </c>
      <c r="M1991" s="3"/>
      <c r="N1991" s="3"/>
    </row>
    <row r="1992" spans="2:14" hidden="1" x14ac:dyDescent="0.2">
      <c r="B1992" s="3">
        <v>89210</v>
      </c>
      <c r="C1992" s="3">
        <v>0</v>
      </c>
      <c r="D1992">
        <v>1989</v>
      </c>
      <c r="E1992" t="str">
        <f>VLOOKUP(B1992,Nuclides!A:F,5,FALSE)</f>
        <v>Ac210</v>
      </c>
      <c r="F1992">
        <f>VLOOKUP(B1992,Nuclides!A:F,4,FALSE)</f>
        <v>0.35</v>
      </c>
      <c r="G1992" s="3" t="str">
        <f t="shared" si="158"/>
        <v>0.35s</v>
      </c>
      <c r="H1992" s="3">
        <f t="shared" si="159"/>
        <v>1.9804205158855581</v>
      </c>
      <c r="I1992" s="3">
        <f t="shared" si="160"/>
        <v>0</v>
      </c>
      <c r="J1992" s="3">
        <f t="shared" si="161"/>
        <v>0</v>
      </c>
      <c r="K1992" s="3" t="str">
        <f t="shared" si="162"/>
        <v>Ac210</v>
      </c>
      <c r="L1992" s="3" cm="1">
        <f t="array" ref="L1992">SUM(($J1992*EXP(-$H1992*12*3600*_xlfn.SEQUENCE(L$1-1))))+$J1992</f>
        <v>0</v>
      </c>
      <c r="M1992" s="3"/>
      <c r="N1992" s="3"/>
    </row>
    <row r="1993" spans="2:14" hidden="1" x14ac:dyDescent="0.2">
      <c r="B1993" s="3">
        <v>89211</v>
      </c>
      <c r="C1993" s="3">
        <v>0</v>
      </c>
      <c r="D1993">
        <v>1990</v>
      </c>
      <c r="E1993" t="str">
        <f>VLOOKUP(B1993,Nuclides!A:F,5,FALSE)</f>
        <v>Ac211</v>
      </c>
      <c r="F1993">
        <f>VLOOKUP(B1993,Nuclides!A:F,4,FALSE)</f>
        <v>0.21</v>
      </c>
      <c r="G1993" s="3" t="str">
        <f t="shared" si="158"/>
        <v>0.21s</v>
      </c>
      <c r="H1993" s="3">
        <f t="shared" si="159"/>
        <v>3.3007008598092633</v>
      </c>
      <c r="I1993" s="3">
        <f t="shared" si="160"/>
        <v>0</v>
      </c>
      <c r="J1993" s="3">
        <f t="shared" si="161"/>
        <v>0</v>
      </c>
      <c r="K1993" s="3" t="str">
        <f t="shared" si="162"/>
        <v>Ac211</v>
      </c>
      <c r="L1993" s="3" cm="1">
        <f t="array" ref="L1993">SUM(($J1993*EXP(-$H1993*12*3600*_xlfn.SEQUENCE(L$1-1))))+$J1993</f>
        <v>0</v>
      </c>
      <c r="M1993" s="3"/>
      <c r="N1993" s="3"/>
    </row>
    <row r="1994" spans="2:14" hidden="1" x14ac:dyDescent="0.2">
      <c r="B1994" s="3">
        <v>89212</v>
      </c>
      <c r="C1994" s="3">
        <v>0</v>
      </c>
      <c r="D1994">
        <v>1991</v>
      </c>
      <c r="E1994" t="str">
        <f>VLOOKUP(B1994,Nuclides!A:F,5,FALSE)</f>
        <v>Ac212</v>
      </c>
      <c r="F1994">
        <f>VLOOKUP(B1994,Nuclides!A:F,4,FALSE)</f>
        <v>0.93</v>
      </c>
      <c r="G1994" s="3" t="str">
        <f t="shared" si="158"/>
        <v>0.93s</v>
      </c>
      <c r="H1994" s="3">
        <f t="shared" si="159"/>
        <v>0.7453195489891884</v>
      </c>
      <c r="I1994" s="3">
        <f t="shared" si="160"/>
        <v>0</v>
      </c>
      <c r="J1994" s="3">
        <f t="shared" si="161"/>
        <v>0</v>
      </c>
      <c r="K1994" s="3" t="str">
        <f t="shared" si="162"/>
        <v>Ac212</v>
      </c>
      <c r="L1994" s="3" cm="1">
        <f t="array" ref="L1994">SUM(($J1994*EXP(-$H1994*12*3600*_xlfn.SEQUENCE(L$1-1))))+$J1994</f>
        <v>0</v>
      </c>
      <c r="M1994" s="3"/>
      <c r="N1994" s="3"/>
    </row>
    <row r="1995" spans="2:14" hidden="1" x14ac:dyDescent="0.2">
      <c r="B1995" s="3">
        <v>89213</v>
      </c>
      <c r="C1995" s="3">
        <v>0</v>
      </c>
      <c r="D1995">
        <v>1992</v>
      </c>
      <c r="E1995" t="str">
        <f>VLOOKUP(B1995,Nuclides!A:F,5,FALSE)</f>
        <v>Ac213</v>
      </c>
      <c r="F1995">
        <f>VLOOKUP(B1995,Nuclides!A:F,4,FALSE)</f>
        <v>0.73799999999999999</v>
      </c>
      <c r="G1995" s="3" t="str">
        <f t="shared" si="158"/>
        <v>0.738s</v>
      </c>
      <c r="H1995" s="3">
        <f t="shared" si="159"/>
        <v>0.93922382189694487</v>
      </c>
      <c r="I1995" s="3">
        <f t="shared" si="160"/>
        <v>0</v>
      </c>
      <c r="J1995" s="3">
        <f t="shared" si="161"/>
        <v>0</v>
      </c>
      <c r="K1995" s="3" t="str">
        <f t="shared" si="162"/>
        <v>Ac213</v>
      </c>
      <c r="L1995" s="3" cm="1">
        <f t="array" ref="L1995">SUM(($J1995*EXP(-$H1995*12*3600*_xlfn.SEQUENCE(L$1-1))))+$J1995</f>
        <v>0</v>
      </c>
      <c r="M1995" s="3"/>
      <c r="N1995" s="3"/>
    </row>
    <row r="1996" spans="2:14" hidden="1" x14ac:dyDescent="0.2">
      <c r="B1996" s="3">
        <v>89214</v>
      </c>
      <c r="C1996" s="3">
        <v>0</v>
      </c>
      <c r="D1996">
        <v>1993</v>
      </c>
      <c r="E1996" t="str">
        <f>VLOOKUP(B1996,Nuclides!A:F,5,FALSE)</f>
        <v>Ac214</v>
      </c>
      <c r="F1996">
        <f>VLOOKUP(B1996,Nuclides!A:F,4,FALSE)</f>
        <v>8.1999999999999993</v>
      </c>
      <c r="G1996" s="3" t="str">
        <f t="shared" si="158"/>
        <v>8.2s</v>
      </c>
      <c r="H1996" s="3">
        <f t="shared" si="159"/>
        <v>8.4530143970725044E-2</v>
      </c>
      <c r="I1996" s="3">
        <f t="shared" si="160"/>
        <v>0</v>
      </c>
      <c r="J1996" s="3">
        <f t="shared" si="161"/>
        <v>0</v>
      </c>
      <c r="K1996" s="3" t="str">
        <f t="shared" si="162"/>
        <v>Ac214</v>
      </c>
      <c r="L1996" s="3" cm="1">
        <f t="array" ref="L1996">SUM(($J1996*EXP(-$H1996*12*3600*_xlfn.SEQUENCE(L$1-1))))+$J1996</f>
        <v>0</v>
      </c>
      <c r="M1996" s="3"/>
      <c r="N1996" s="3"/>
    </row>
    <row r="1997" spans="2:14" hidden="1" x14ac:dyDescent="0.2">
      <c r="B1997" s="3">
        <v>89215</v>
      </c>
      <c r="C1997" s="3">
        <v>0</v>
      </c>
      <c r="D1997">
        <v>1994</v>
      </c>
      <c r="E1997" t="str">
        <f>VLOOKUP(B1997,Nuclides!A:F,5,FALSE)</f>
        <v>Ac215</v>
      </c>
      <c r="F1997">
        <f>VLOOKUP(B1997,Nuclides!A:F,4,FALSE)</f>
        <v>0.17</v>
      </c>
      <c r="G1997" s="3" t="str">
        <f t="shared" si="158"/>
        <v>0.17s</v>
      </c>
      <c r="H1997" s="3">
        <f t="shared" si="159"/>
        <v>4.077336356234972</v>
      </c>
      <c r="I1997" s="3">
        <f t="shared" si="160"/>
        <v>0</v>
      </c>
      <c r="J1997" s="3">
        <f t="shared" si="161"/>
        <v>0</v>
      </c>
      <c r="K1997" s="3" t="str">
        <f t="shared" si="162"/>
        <v>Ac215</v>
      </c>
      <c r="L1997" s="3" cm="1">
        <f t="array" ref="L1997">SUM(($J1997*EXP(-$H1997*12*3600*_xlfn.SEQUENCE(L$1-1))))+$J1997</f>
        <v>0</v>
      </c>
      <c r="M1997" s="3"/>
      <c r="N1997" s="3"/>
    </row>
    <row r="1998" spans="2:14" hidden="1" x14ac:dyDescent="0.2">
      <c r="B1998" s="3">
        <v>89216</v>
      </c>
      <c r="C1998" s="3">
        <v>0</v>
      </c>
      <c r="D1998">
        <v>1995</v>
      </c>
      <c r="E1998" t="str">
        <f>VLOOKUP(B1998,Nuclides!A:F,5,FALSE)</f>
        <v>Ac216</v>
      </c>
      <c r="F1998">
        <f>VLOOKUP(B1998,Nuclides!A:F,4,FALSE)</f>
        <v>4.3999999999999899E-4</v>
      </c>
      <c r="G1998" s="3" t="str">
        <f t="shared" si="158"/>
        <v>0.000439999999999999s</v>
      </c>
      <c r="H1998" s="3">
        <f t="shared" si="159"/>
        <v>1575.3345012726065</v>
      </c>
      <c r="I1998" s="3">
        <f t="shared" si="160"/>
        <v>0</v>
      </c>
      <c r="J1998" s="3">
        <f t="shared" si="161"/>
        <v>0</v>
      </c>
      <c r="K1998" s="3" t="str">
        <f t="shared" si="162"/>
        <v>Ac216</v>
      </c>
      <c r="L1998" s="3" cm="1">
        <f t="array" ref="L1998">SUM(($J1998*EXP(-$H1998*12*3600*_xlfn.SEQUENCE(L$1-1))))+$J1998</f>
        <v>0</v>
      </c>
      <c r="M1998" s="3"/>
      <c r="N1998" s="3"/>
    </row>
    <row r="1999" spans="2:14" hidden="1" x14ac:dyDescent="0.2">
      <c r="B1999" s="3">
        <v>89217</v>
      </c>
      <c r="C1999" s="3">
        <v>0</v>
      </c>
      <c r="D1999">
        <v>1996</v>
      </c>
      <c r="E1999" t="str">
        <f>VLOOKUP(B1999,Nuclides!A:F,5,FALSE)</f>
        <v>Ac217</v>
      </c>
      <c r="F1999">
        <f>VLOOKUP(B1999,Nuclides!A:F,4,FALSE)</f>
        <v>6.8999999999999996E-8</v>
      </c>
      <c r="G1999" s="3" t="str">
        <f t="shared" si="158"/>
        <v>0.000000069s</v>
      </c>
      <c r="H1999" s="3">
        <f t="shared" si="159"/>
        <v>10045611.312462976</v>
      </c>
      <c r="I1999" s="3">
        <f t="shared" si="160"/>
        <v>0</v>
      </c>
      <c r="J1999" s="3">
        <f t="shared" si="161"/>
        <v>0</v>
      </c>
      <c r="K1999" s="3" t="str">
        <f t="shared" si="162"/>
        <v>Ac217</v>
      </c>
      <c r="L1999" s="3" cm="1">
        <f t="array" ref="L1999">SUM(($J1999*EXP(-$H1999*12*3600*_xlfn.SEQUENCE(L$1-1))))+$J1999</f>
        <v>0</v>
      </c>
      <c r="M1999" s="3"/>
      <c r="N1999" s="3"/>
    </row>
    <row r="2000" spans="2:14" hidden="1" x14ac:dyDescent="0.2">
      <c r="B2000" s="3">
        <v>89218</v>
      </c>
      <c r="C2000" s="3">
        <v>0</v>
      </c>
      <c r="D2000">
        <v>1997</v>
      </c>
      <c r="E2000" t="str">
        <f>VLOOKUP(B2000,Nuclides!A:F,5,FALSE)</f>
        <v>Ac218</v>
      </c>
      <c r="F2000">
        <f>VLOOKUP(B2000,Nuclides!A:F,4,FALSE)</f>
        <v>1.08E-6</v>
      </c>
      <c r="G2000" s="3" t="str">
        <f t="shared" si="158"/>
        <v>0.00000108s</v>
      </c>
      <c r="H2000" s="3">
        <f t="shared" si="159"/>
        <v>641802.94496291224</v>
      </c>
      <c r="I2000" s="3">
        <f t="shared" si="160"/>
        <v>0</v>
      </c>
      <c r="J2000" s="3">
        <f t="shared" si="161"/>
        <v>0</v>
      </c>
      <c r="K2000" s="3" t="str">
        <f t="shared" si="162"/>
        <v>Ac218</v>
      </c>
      <c r="L2000" s="3" cm="1">
        <f t="array" ref="L2000">SUM(($J2000*EXP(-$H2000*12*3600*_xlfn.SEQUENCE(L$1-1))))+$J2000</f>
        <v>0</v>
      </c>
      <c r="M2000" s="3"/>
      <c r="N2000" s="3"/>
    </row>
    <row r="2001" spans="2:14" hidden="1" x14ac:dyDescent="0.2">
      <c r="B2001" s="3">
        <v>89219</v>
      </c>
      <c r="C2001" s="3">
        <v>0</v>
      </c>
      <c r="D2001">
        <v>1998</v>
      </c>
      <c r="E2001" t="str">
        <f>VLOOKUP(B2001,Nuclides!A:F,5,FALSE)</f>
        <v>Ac219</v>
      </c>
      <c r="F2001">
        <f>VLOOKUP(B2001,Nuclides!A:F,4,FALSE)</f>
        <v>1.1800000000000001E-5</v>
      </c>
      <c r="G2001" s="3" t="str">
        <f t="shared" si="158"/>
        <v>0.0000118s</v>
      </c>
      <c r="H2001" s="3">
        <f t="shared" si="159"/>
        <v>58741.286488130951</v>
      </c>
      <c r="I2001" s="3">
        <f t="shared" si="160"/>
        <v>0</v>
      </c>
      <c r="J2001" s="3">
        <f t="shared" si="161"/>
        <v>0</v>
      </c>
      <c r="K2001" s="3" t="str">
        <f t="shared" si="162"/>
        <v>Ac219</v>
      </c>
      <c r="L2001" s="3" cm="1">
        <f t="array" ref="L2001">SUM(($J2001*EXP(-$H2001*12*3600*_xlfn.SEQUENCE(L$1-1))))+$J2001</f>
        <v>0</v>
      </c>
      <c r="M2001" s="3"/>
      <c r="N2001" s="3"/>
    </row>
    <row r="2002" spans="2:14" hidden="1" x14ac:dyDescent="0.2">
      <c r="B2002" s="3">
        <v>89220</v>
      </c>
      <c r="C2002" s="3">
        <v>0</v>
      </c>
      <c r="D2002">
        <v>1999</v>
      </c>
      <c r="E2002" t="str">
        <f>VLOOKUP(B2002,Nuclides!A:F,5,FALSE)</f>
        <v>Ac220</v>
      </c>
      <c r="F2002">
        <f>VLOOKUP(B2002,Nuclides!A:F,4,FALSE)</f>
        <v>2.64E-2</v>
      </c>
      <c r="G2002" s="3" t="str">
        <f t="shared" si="158"/>
        <v>0.0264s</v>
      </c>
      <c r="H2002" s="3">
        <f t="shared" si="159"/>
        <v>26.255575021210049</v>
      </c>
      <c r="I2002" s="3">
        <f t="shared" si="160"/>
        <v>0</v>
      </c>
      <c r="J2002" s="3">
        <f t="shared" si="161"/>
        <v>0</v>
      </c>
      <c r="K2002" s="3" t="str">
        <f t="shared" si="162"/>
        <v>Ac220</v>
      </c>
      <c r="L2002" s="3" cm="1">
        <f t="array" ref="L2002">SUM(($J2002*EXP(-$H2002*12*3600*_xlfn.SEQUENCE(L$1-1))))+$J2002</f>
        <v>0</v>
      </c>
      <c r="M2002" s="3"/>
      <c r="N2002" s="3"/>
    </row>
    <row r="2003" spans="2:14" hidden="1" x14ac:dyDescent="0.2">
      <c r="B2003" s="3">
        <v>89221</v>
      </c>
      <c r="C2003" s="3">
        <v>0</v>
      </c>
      <c r="D2003">
        <v>2000</v>
      </c>
      <c r="E2003" t="str">
        <f>VLOOKUP(B2003,Nuclides!A:F,5,FALSE)</f>
        <v>Ac221</v>
      </c>
      <c r="F2003">
        <f>VLOOKUP(B2003,Nuclides!A:F,4,FALSE)</f>
        <v>5.1999999999999998E-2</v>
      </c>
      <c r="G2003" s="3" t="str">
        <f t="shared" si="158"/>
        <v>0.052s</v>
      </c>
      <c r="H2003" s="3">
        <f t="shared" si="159"/>
        <v>13.32975347230664</v>
      </c>
      <c r="I2003" s="3">
        <f t="shared" si="160"/>
        <v>0</v>
      </c>
      <c r="J2003" s="3">
        <f t="shared" si="161"/>
        <v>0</v>
      </c>
      <c r="K2003" s="3" t="str">
        <f t="shared" si="162"/>
        <v>Ac221</v>
      </c>
      <c r="L2003" s="3" cm="1">
        <f t="array" ref="L2003">SUM(($J2003*EXP(-$H2003*12*3600*_xlfn.SEQUENCE(L$1-1))))+$J2003</f>
        <v>0</v>
      </c>
      <c r="M2003" s="3"/>
      <c r="N2003" s="3"/>
    </row>
    <row r="2004" spans="2:14" hidden="1" x14ac:dyDescent="0.2">
      <c r="B2004" s="3">
        <v>89222</v>
      </c>
      <c r="C2004" s="3">
        <v>0</v>
      </c>
      <c r="D2004">
        <v>2001</v>
      </c>
      <c r="E2004" t="str">
        <f>VLOOKUP(B2004,Nuclides!A:F,5,FALSE)</f>
        <v>Ac222</v>
      </c>
      <c r="F2004">
        <f>VLOOKUP(B2004,Nuclides!A:F,4,FALSE)</f>
        <v>5</v>
      </c>
      <c r="G2004" s="3" t="str">
        <f t="shared" si="158"/>
        <v>5s</v>
      </c>
      <c r="H2004" s="3">
        <f t="shared" si="159"/>
        <v>0.13862943611198905</v>
      </c>
      <c r="I2004" s="3">
        <f t="shared" si="160"/>
        <v>0</v>
      </c>
      <c r="J2004" s="3">
        <f t="shared" si="161"/>
        <v>0</v>
      </c>
      <c r="K2004" s="3" t="str">
        <f t="shared" si="162"/>
        <v>Ac222</v>
      </c>
      <c r="L2004" s="3" cm="1">
        <f t="array" ref="L2004">SUM(($J2004*EXP(-$H2004*12*3600*_xlfn.SEQUENCE(L$1-1))))+$J2004</f>
        <v>0</v>
      </c>
      <c r="M2004" s="3"/>
      <c r="N2004" s="3"/>
    </row>
    <row r="2005" spans="2:14" hidden="1" x14ac:dyDescent="0.2">
      <c r="B2005" s="3">
        <v>89223</v>
      </c>
      <c r="C2005" s="3">
        <v>0</v>
      </c>
      <c r="D2005">
        <v>2002</v>
      </c>
      <c r="E2005" t="str">
        <f>VLOOKUP(B2005,Nuclides!A:F,5,FALSE)</f>
        <v>Ac223</v>
      </c>
      <c r="F2005">
        <f>VLOOKUP(B2005,Nuclides!A:F,4,FALSE)</f>
        <v>126</v>
      </c>
      <c r="G2005" s="3" t="str">
        <f t="shared" si="158"/>
        <v>2.1min</v>
      </c>
      <c r="H2005" s="3">
        <f t="shared" si="159"/>
        <v>5.5011680996821053E-3</v>
      </c>
      <c r="I2005" s="3">
        <f t="shared" si="160"/>
        <v>0</v>
      </c>
      <c r="J2005" s="3">
        <f t="shared" si="161"/>
        <v>0</v>
      </c>
      <c r="K2005" s="3" t="str">
        <f t="shared" si="162"/>
        <v>Ac223</v>
      </c>
      <c r="L2005" s="3" cm="1">
        <f t="array" ref="L2005">SUM(($J2005*EXP(-$H2005*12*3600*_xlfn.SEQUENCE(L$1-1))))+$J2005</f>
        <v>0</v>
      </c>
      <c r="M2005" s="3"/>
      <c r="N2005" s="3"/>
    </row>
    <row r="2006" spans="2:14" hidden="1" x14ac:dyDescent="0.2">
      <c r="B2006" s="3">
        <v>89224</v>
      </c>
      <c r="C2006" s="3">
        <v>0</v>
      </c>
      <c r="D2006">
        <v>2003</v>
      </c>
      <c r="E2006" t="str">
        <f>VLOOKUP(B2006,Nuclides!A:F,5,FALSE)</f>
        <v>Ac224</v>
      </c>
      <c r="F2006">
        <f>VLOOKUP(B2006,Nuclides!A:F,4,FALSE)</f>
        <v>10008</v>
      </c>
      <c r="G2006" s="3" t="str">
        <f t="shared" si="158"/>
        <v>2.78h</v>
      </c>
      <c r="H2006" s="3">
        <f t="shared" si="159"/>
        <v>6.9259310607508527E-5</v>
      </c>
      <c r="I2006" s="3">
        <f t="shared" si="160"/>
        <v>0</v>
      </c>
      <c r="J2006" s="3">
        <f t="shared" si="161"/>
        <v>0</v>
      </c>
      <c r="K2006" s="3" t="str">
        <f t="shared" si="162"/>
        <v>Ac224</v>
      </c>
      <c r="L2006" s="3" cm="1">
        <f t="array" ref="L2006">SUM(($J2006*EXP(-$H2006*12*3600*_xlfn.SEQUENCE(L$1-1))))+$J2006</f>
        <v>0</v>
      </c>
      <c r="M2006" s="3"/>
      <c r="N2006" s="3"/>
    </row>
    <row r="2007" spans="2:14" hidden="1" x14ac:dyDescent="0.2">
      <c r="B2007" s="3">
        <v>89225</v>
      </c>
      <c r="C2007" s="3">
        <v>0</v>
      </c>
      <c r="D2007">
        <v>2004</v>
      </c>
      <c r="E2007" t="str">
        <f>VLOOKUP(B2007,Nuclides!A:F,5,FALSE)</f>
        <v>Ac225</v>
      </c>
      <c r="F2007">
        <f>VLOOKUP(B2007,Nuclides!A:F,4,FALSE)</f>
        <v>857088</v>
      </c>
      <c r="G2007" s="3" t="str">
        <f t="shared" si="158"/>
        <v>9.92d</v>
      </c>
      <c r="H2007" s="3">
        <f t="shared" si="159"/>
        <v>8.0872346895528268E-7</v>
      </c>
      <c r="I2007" s="3">
        <f t="shared" si="160"/>
        <v>0</v>
      </c>
      <c r="J2007" s="3">
        <f t="shared" si="161"/>
        <v>0</v>
      </c>
      <c r="K2007" s="3" t="str">
        <f t="shared" si="162"/>
        <v>Ac225</v>
      </c>
      <c r="L2007" s="3" cm="1">
        <f t="array" ref="L2007">SUM(($J2007*EXP(-$H2007*12*3600*_xlfn.SEQUENCE(L$1-1))))+$J2007</f>
        <v>0</v>
      </c>
      <c r="M2007" s="3"/>
      <c r="N2007" s="3"/>
    </row>
    <row r="2008" spans="2:14" hidden="1" x14ac:dyDescent="0.2">
      <c r="B2008" s="3">
        <v>89226</v>
      </c>
      <c r="C2008" s="3">
        <v>0</v>
      </c>
      <c r="D2008">
        <v>2005</v>
      </c>
      <c r="E2008" t="str">
        <f>VLOOKUP(B2008,Nuclides!A:F,5,FALSE)</f>
        <v>Ac226</v>
      </c>
      <c r="F2008">
        <f>VLOOKUP(B2008,Nuclides!A:F,4,FALSE)</f>
        <v>105732</v>
      </c>
      <c r="G2008" s="3" t="str">
        <f t="shared" si="158"/>
        <v>1.22d</v>
      </c>
      <c r="H2008" s="3">
        <f t="shared" si="159"/>
        <v>6.5556991313882766E-6</v>
      </c>
      <c r="I2008" s="3">
        <f t="shared" si="160"/>
        <v>0</v>
      </c>
      <c r="J2008" s="3">
        <f t="shared" si="161"/>
        <v>0</v>
      </c>
      <c r="K2008" s="3" t="str">
        <f t="shared" si="162"/>
        <v>Ac226</v>
      </c>
      <c r="L2008" s="3" cm="1">
        <f t="array" ref="L2008">SUM(($J2008*EXP(-$H2008*12*3600*_xlfn.SEQUENCE(L$1-1))))+$J2008</f>
        <v>0</v>
      </c>
      <c r="M2008" s="3"/>
      <c r="N2008" s="3"/>
    </row>
    <row r="2009" spans="2:14" hidden="1" x14ac:dyDescent="0.2">
      <c r="B2009" s="3">
        <v>89227</v>
      </c>
      <c r="C2009" s="3">
        <v>0</v>
      </c>
      <c r="D2009">
        <v>2006</v>
      </c>
      <c r="E2009" t="str">
        <f>VLOOKUP(B2009,Nuclides!A:F,5,FALSE)</f>
        <v>Ac227</v>
      </c>
      <c r="F2009">
        <f>VLOOKUP(B2009,Nuclides!A:F,4,FALSE)</f>
        <v>687072067.19999897</v>
      </c>
      <c r="G2009" s="3" t="str">
        <f t="shared" si="158"/>
        <v>21.79y</v>
      </c>
      <c r="H2009" s="3">
        <f t="shared" si="159"/>
        <v>1.0088420322262612E-9</v>
      </c>
      <c r="I2009" s="3">
        <f t="shared" si="160"/>
        <v>0</v>
      </c>
      <c r="J2009" s="3">
        <f t="shared" si="161"/>
        <v>0</v>
      </c>
      <c r="K2009" s="3" t="str">
        <f t="shared" si="162"/>
        <v>Ac227</v>
      </c>
      <c r="L2009" s="3" cm="1">
        <f t="array" ref="L2009">SUM(($J2009*EXP(-$H2009*12*3600*_xlfn.SEQUENCE(L$1-1))))+$J2009</f>
        <v>0</v>
      </c>
      <c r="M2009" s="3"/>
      <c r="N2009" s="3"/>
    </row>
    <row r="2010" spans="2:14" hidden="1" x14ac:dyDescent="0.2">
      <c r="B2010" s="3">
        <v>89228</v>
      </c>
      <c r="C2010" s="3">
        <v>0</v>
      </c>
      <c r="D2010">
        <v>2007</v>
      </c>
      <c r="E2010" t="str">
        <f>VLOOKUP(B2010,Nuclides!A:F,5,FALSE)</f>
        <v>Ac228</v>
      </c>
      <c r="F2010">
        <f>VLOOKUP(B2010,Nuclides!A:F,4,FALSE)</f>
        <v>22140</v>
      </c>
      <c r="G2010" s="3" t="str">
        <f t="shared" si="158"/>
        <v>6.15h</v>
      </c>
      <c r="H2010" s="3">
        <f t="shared" si="159"/>
        <v>3.1307460729898159E-5</v>
      </c>
      <c r="I2010" s="3">
        <f t="shared" si="160"/>
        <v>0</v>
      </c>
      <c r="J2010" s="3">
        <f t="shared" si="161"/>
        <v>0</v>
      </c>
      <c r="K2010" s="3" t="str">
        <f t="shared" si="162"/>
        <v>Ac228</v>
      </c>
      <c r="L2010" s="3" cm="1">
        <f t="array" ref="L2010">SUM(($J2010*EXP(-$H2010*12*3600*_xlfn.SEQUENCE(L$1-1))))+$J2010</f>
        <v>0</v>
      </c>
      <c r="M2010" s="3"/>
      <c r="N2010" s="3"/>
    </row>
    <row r="2011" spans="2:14" hidden="1" x14ac:dyDescent="0.2">
      <c r="B2011" s="3">
        <v>89229</v>
      </c>
      <c r="C2011" s="3">
        <v>0</v>
      </c>
      <c r="D2011">
        <v>2008</v>
      </c>
      <c r="E2011" t="str">
        <f>VLOOKUP(B2011,Nuclides!A:F,5,FALSE)</f>
        <v>Ac229</v>
      </c>
      <c r="F2011">
        <f>VLOOKUP(B2011,Nuclides!A:F,4,FALSE)</f>
        <v>3762</v>
      </c>
      <c r="G2011" s="3" t="str">
        <f t="shared" si="158"/>
        <v>1.05h</v>
      </c>
      <c r="H2011" s="3">
        <f t="shared" si="159"/>
        <v>1.8424964927164946E-4</v>
      </c>
      <c r="I2011" s="3">
        <f t="shared" si="160"/>
        <v>0</v>
      </c>
      <c r="J2011" s="3">
        <f t="shared" si="161"/>
        <v>0</v>
      </c>
      <c r="K2011" s="3" t="str">
        <f t="shared" si="162"/>
        <v>Ac229</v>
      </c>
      <c r="L2011" s="3" cm="1">
        <f t="array" ref="L2011">SUM(($J2011*EXP(-$H2011*12*3600*_xlfn.SEQUENCE(L$1-1))))+$J2011</f>
        <v>0</v>
      </c>
      <c r="M2011" s="3"/>
      <c r="N2011" s="3"/>
    </row>
    <row r="2012" spans="2:14" hidden="1" x14ac:dyDescent="0.2">
      <c r="B2012" s="3">
        <v>89230</v>
      </c>
      <c r="C2012" s="3">
        <v>0</v>
      </c>
      <c r="D2012">
        <v>2009</v>
      </c>
      <c r="E2012" t="str">
        <f>VLOOKUP(B2012,Nuclides!A:F,5,FALSE)</f>
        <v>Ac230</v>
      </c>
      <c r="F2012">
        <f>VLOOKUP(B2012,Nuclides!A:F,4,FALSE)</f>
        <v>122</v>
      </c>
      <c r="G2012" s="3" t="str">
        <f t="shared" si="158"/>
        <v>2.03min</v>
      </c>
      <c r="H2012" s="3">
        <f t="shared" si="159"/>
        <v>5.6815342668847975E-3</v>
      </c>
      <c r="I2012" s="3">
        <f t="shared" si="160"/>
        <v>0</v>
      </c>
      <c r="J2012" s="3">
        <f t="shared" si="161"/>
        <v>0</v>
      </c>
      <c r="K2012" s="3" t="str">
        <f t="shared" si="162"/>
        <v>Ac230</v>
      </c>
      <c r="L2012" s="3" cm="1">
        <f t="array" ref="L2012">SUM(($J2012*EXP(-$H2012*12*3600*_xlfn.SEQUENCE(L$1-1))))+$J2012</f>
        <v>0</v>
      </c>
      <c r="M2012" s="3"/>
      <c r="N2012" s="3"/>
    </row>
    <row r="2013" spans="2:14" hidden="1" x14ac:dyDescent="0.2">
      <c r="B2013" s="3">
        <v>89231</v>
      </c>
      <c r="C2013" s="3">
        <v>0</v>
      </c>
      <c r="D2013">
        <v>2010</v>
      </c>
      <c r="E2013" t="str">
        <f>VLOOKUP(B2013,Nuclides!A:F,5,FALSE)</f>
        <v>Ac231</v>
      </c>
      <c r="F2013">
        <f>VLOOKUP(B2013,Nuclides!A:F,4,FALSE)</f>
        <v>450</v>
      </c>
      <c r="G2013" s="3" t="str">
        <f t="shared" si="158"/>
        <v>7.5min</v>
      </c>
      <c r="H2013" s="3">
        <f t="shared" si="159"/>
        <v>1.5403270679109895E-3</v>
      </c>
      <c r="I2013" s="3">
        <f t="shared" si="160"/>
        <v>0</v>
      </c>
      <c r="J2013" s="3">
        <f t="shared" si="161"/>
        <v>0</v>
      </c>
      <c r="K2013" s="3" t="str">
        <f t="shared" si="162"/>
        <v>Ac231</v>
      </c>
      <c r="L2013" s="3" cm="1">
        <f t="array" ref="L2013">SUM(($J2013*EXP(-$H2013*12*3600*_xlfn.SEQUENCE(L$1-1))))+$J2013</f>
        <v>0</v>
      </c>
      <c r="M2013" s="3"/>
      <c r="N2013" s="3"/>
    </row>
    <row r="2014" spans="2:14" hidden="1" x14ac:dyDescent="0.2">
      <c r="B2014" s="3">
        <v>89232</v>
      </c>
      <c r="C2014" s="3">
        <v>0</v>
      </c>
      <c r="D2014">
        <v>2011</v>
      </c>
      <c r="E2014" t="str">
        <f>VLOOKUP(B2014,Nuclides!A:F,5,FALSE)</f>
        <v>Ac232</v>
      </c>
      <c r="F2014">
        <f>VLOOKUP(B2014,Nuclides!A:F,4,FALSE)</f>
        <v>119</v>
      </c>
      <c r="G2014" s="3" t="str">
        <f t="shared" si="158"/>
        <v>1.98min</v>
      </c>
      <c r="H2014" s="3">
        <f t="shared" si="159"/>
        <v>5.8247662231928178E-3</v>
      </c>
      <c r="I2014" s="3">
        <f t="shared" si="160"/>
        <v>0</v>
      </c>
      <c r="J2014" s="3">
        <f t="shared" si="161"/>
        <v>0</v>
      </c>
      <c r="K2014" s="3" t="str">
        <f t="shared" si="162"/>
        <v>Ac232</v>
      </c>
      <c r="L2014" s="3" cm="1">
        <f t="array" ref="L2014">SUM(($J2014*EXP(-$H2014*12*3600*_xlfn.SEQUENCE(L$1-1))))+$J2014</f>
        <v>0</v>
      </c>
      <c r="M2014" s="3"/>
      <c r="N2014" s="3"/>
    </row>
    <row r="2015" spans="2:14" hidden="1" x14ac:dyDescent="0.2">
      <c r="B2015" s="3">
        <v>90212</v>
      </c>
      <c r="C2015" s="3">
        <v>0</v>
      </c>
      <c r="D2015">
        <v>2012</v>
      </c>
      <c r="E2015" t="str">
        <f>VLOOKUP(B2015,Nuclides!A:F,5,FALSE)</f>
        <v>Th212</v>
      </c>
      <c r="F2015">
        <f>VLOOKUP(B2015,Nuclides!A:F,4,FALSE)</f>
        <v>3.1699999999999999E-2</v>
      </c>
      <c r="G2015" s="3" t="str">
        <f t="shared" si="158"/>
        <v>0.0317s</v>
      </c>
      <c r="H2015" s="3">
        <f t="shared" si="159"/>
        <v>21.865841658042438</v>
      </c>
      <c r="I2015" s="3">
        <f t="shared" si="160"/>
        <v>0</v>
      </c>
      <c r="J2015" s="3">
        <f t="shared" si="161"/>
        <v>0</v>
      </c>
      <c r="K2015" s="3" t="str">
        <f t="shared" si="162"/>
        <v>Th212</v>
      </c>
      <c r="L2015" s="3" cm="1">
        <f t="array" ref="L2015">SUM(($J2015*EXP(-$H2015*12*3600*_xlfn.SEQUENCE(L$1-1))))+$J2015</f>
        <v>0</v>
      </c>
      <c r="M2015" s="3"/>
      <c r="N2015" s="3"/>
    </row>
    <row r="2016" spans="2:14" hidden="1" x14ac:dyDescent="0.2">
      <c r="B2016" s="3">
        <v>90213</v>
      </c>
      <c r="C2016" s="3">
        <v>0</v>
      </c>
      <c r="D2016">
        <v>2013</v>
      </c>
      <c r="E2016" t="str">
        <f>VLOOKUP(B2016,Nuclides!A:F,5,FALSE)</f>
        <v>Th213</v>
      </c>
      <c r="F2016">
        <f>VLOOKUP(B2016,Nuclides!A:F,4,FALSE)</f>
        <v>0.14399999999999999</v>
      </c>
      <c r="G2016" s="3" t="str">
        <f t="shared" si="158"/>
        <v>0.144s</v>
      </c>
      <c r="H2016" s="3">
        <f t="shared" si="159"/>
        <v>4.8135220872218429</v>
      </c>
      <c r="I2016" s="3">
        <f t="shared" si="160"/>
        <v>0</v>
      </c>
      <c r="J2016" s="3">
        <f t="shared" si="161"/>
        <v>0</v>
      </c>
      <c r="K2016" s="3" t="str">
        <f t="shared" si="162"/>
        <v>Th213</v>
      </c>
      <c r="L2016" s="3" cm="1">
        <f t="array" ref="L2016">SUM(($J2016*EXP(-$H2016*12*3600*_xlfn.SEQUENCE(L$1-1))))+$J2016</f>
        <v>0</v>
      </c>
      <c r="M2016" s="3"/>
      <c r="N2016" s="3"/>
    </row>
    <row r="2017" spans="2:14" hidden="1" x14ac:dyDescent="0.2">
      <c r="B2017" s="3">
        <v>90214</v>
      </c>
      <c r="C2017" s="3">
        <v>0</v>
      </c>
      <c r="D2017">
        <v>2014</v>
      </c>
      <c r="E2017" t="str">
        <f>VLOOKUP(B2017,Nuclides!A:F,5,FALSE)</f>
        <v>Th214</v>
      </c>
      <c r="F2017">
        <f>VLOOKUP(B2017,Nuclides!A:F,4,FALSE)</f>
        <v>8.6999999999999994E-2</v>
      </c>
      <c r="G2017" s="3" t="str">
        <f t="shared" si="158"/>
        <v>0.087s</v>
      </c>
      <c r="H2017" s="3">
        <f t="shared" si="159"/>
        <v>7.9672089719533945</v>
      </c>
      <c r="I2017" s="3">
        <f t="shared" si="160"/>
        <v>0</v>
      </c>
      <c r="J2017" s="3">
        <f t="shared" si="161"/>
        <v>0</v>
      </c>
      <c r="K2017" s="3" t="str">
        <f t="shared" si="162"/>
        <v>Th214</v>
      </c>
      <c r="L2017" s="3" cm="1">
        <f t="array" ref="L2017">SUM(($J2017*EXP(-$H2017*12*3600*_xlfn.SEQUENCE(L$1-1))))+$J2017</f>
        <v>0</v>
      </c>
      <c r="M2017" s="3"/>
      <c r="N2017" s="3"/>
    </row>
    <row r="2018" spans="2:14" hidden="1" x14ac:dyDescent="0.2">
      <c r="B2018" s="3">
        <v>90215</v>
      </c>
      <c r="C2018" s="3">
        <v>0</v>
      </c>
      <c r="D2018">
        <v>2015</v>
      </c>
      <c r="E2018" t="str">
        <f>VLOOKUP(B2018,Nuclides!A:F,5,FALSE)</f>
        <v>Th215</v>
      </c>
      <c r="F2018">
        <f>VLOOKUP(B2018,Nuclides!A:F,4,FALSE)</f>
        <v>1.2</v>
      </c>
      <c r="G2018" s="3" t="str">
        <f t="shared" si="158"/>
        <v>1.2s</v>
      </c>
      <c r="H2018" s="3">
        <f t="shared" si="159"/>
        <v>0.57762265046662109</v>
      </c>
      <c r="I2018" s="3">
        <f t="shared" si="160"/>
        <v>0</v>
      </c>
      <c r="J2018" s="3">
        <f t="shared" si="161"/>
        <v>0</v>
      </c>
      <c r="K2018" s="3" t="str">
        <f t="shared" si="162"/>
        <v>Th215</v>
      </c>
      <c r="L2018" s="3" cm="1">
        <f t="array" ref="L2018">SUM(($J2018*EXP(-$H2018*12*3600*_xlfn.SEQUENCE(L$1-1))))+$J2018</f>
        <v>0</v>
      </c>
      <c r="M2018" s="3"/>
      <c r="N2018" s="3"/>
    </row>
    <row r="2019" spans="2:14" hidden="1" x14ac:dyDescent="0.2">
      <c r="B2019" s="3">
        <v>90216</v>
      </c>
      <c r="C2019" s="3">
        <v>0</v>
      </c>
      <c r="D2019">
        <v>2016</v>
      </c>
      <c r="E2019" t="str">
        <f>VLOOKUP(B2019,Nuclides!A:F,5,FALSE)</f>
        <v>Th216</v>
      </c>
      <c r="F2019">
        <f>VLOOKUP(B2019,Nuclides!A:F,4,FALSE)</f>
        <v>2.5999999999999999E-2</v>
      </c>
      <c r="G2019" s="3" t="str">
        <f t="shared" si="158"/>
        <v>0.026s</v>
      </c>
      <c r="H2019" s="3">
        <f t="shared" si="159"/>
        <v>26.65950694461328</v>
      </c>
      <c r="I2019" s="3">
        <f t="shared" si="160"/>
        <v>0</v>
      </c>
      <c r="J2019" s="3">
        <f t="shared" si="161"/>
        <v>0</v>
      </c>
      <c r="K2019" s="3" t="str">
        <f t="shared" si="162"/>
        <v>Th216</v>
      </c>
      <c r="L2019" s="3" cm="1">
        <f t="array" ref="L2019">SUM(($J2019*EXP(-$H2019*12*3600*_xlfn.SEQUENCE(L$1-1))))+$J2019</f>
        <v>0</v>
      </c>
      <c r="M2019" s="3"/>
      <c r="N2019" s="3"/>
    </row>
    <row r="2020" spans="2:14" hidden="1" x14ac:dyDescent="0.2">
      <c r="B2020" s="3">
        <v>90217</v>
      </c>
      <c r="C2020" s="3">
        <v>0</v>
      </c>
      <c r="D2020">
        <v>2017</v>
      </c>
      <c r="E2020" t="str">
        <f>VLOOKUP(B2020,Nuclides!A:F,5,FALSE)</f>
        <v>Th217</v>
      </c>
      <c r="F2020">
        <f>VLOOKUP(B2020,Nuclides!A:F,4,FALSE)</f>
        <v>2.41E-4</v>
      </c>
      <c r="G2020" s="3" t="str">
        <f t="shared" si="158"/>
        <v>0.000241s</v>
      </c>
      <c r="H2020" s="3">
        <f t="shared" si="159"/>
        <v>2876.1293799167852</v>
      </c>
      <c r="I2020" s="3">
        <f t="shared" si="160"/>
        <v>0</v>
      </c>
      <c r="J2020" s="3">
        <f t="shared" si="161"/>
        <v>0</v>
      </c>
      <c r="K2020" s="3" t="str">
        <f t="shared" si="162"/>
        <v>Th217</v>
      </c>
      <c r="L2020" s="3" cm="1">
        <f t="array" ref="L2020">SUM(($J2020*EXP(-$H2020*12*3600*_xlfn.SEQUENCE(L$1-1))))+$J2020</f>
        <v>0</v>
      </c>
      <c r="M2020" s="3"/>
      <c r="N2020" s="3"/>
    </row>
    <row r="2021" spans="2:14" hidden="1" x14ac:dyDescent="0.2">
      <c r="B2021" s="3">
        <v>90218</v>
      </c>
      <c r="C2021" s="3">
        <v>0</v>
      </c>
      <c r="D2021">
        <v>2018</v>
      </c>
      <c r="E2021" t="str">
        <f>VLOOKUP(B2021,Nuclides!A:F,5,FALSE)</f>
        <v>Th218</v>
      </c>
      <c r="F2021">
        <f>VLOOKUP(B2021,Nuclides!A:F,4,FALSE)</f>
        <v>1.17E-7</v>
      </c>
      <c r="G2021" s="3" t="str">
        <f t="shared" si="158"/>
        <v>0.000000117s</v>
      </c>
      <c r="H2021" s="3">
        <f t="shared" si="159"/>
        <v>5924334.8765807291</v>
      </c>
      <c r="I2021" s="3">
        <f t="shared" si="160"/>
        <v>0</v>
      </c>
      <c r="J2021" s="3">
        <f t="shared" si="161"/>
        <v>0</v>
      </c>
      <c r="K2021" s="3" t="str">
        <f t="shared" si="162"/>
        <v>Th218</v>
      </c>
      <c r="L2021" s="3" cm="1">
        <f t="array" ref="L2021">SUM(($J2021*EXP(-$H2021*12*3600*_xlfn.SEQUENCE(L$1-1))))+$J2021</f>
        <v>0</v>
      </c>
      <c r="M2021" s="3"/>
      <c r="N2021" s="3"/>
    </row>
    <row r="2022" spans="2:14" hidden="1" x14ac:dyDescent="0.2">
      <c r="B2022" s="3">
        <v>90219</v>
      </c>
      <c r="C2022" s="3">
        <v>0</v>
      </c>
      <c r="D2022">
        <v>2019</v>
      </c>
      <c r="E2022" t="str">
        <f>VLOOKUP(B2022,Nuclides!A:F,5,FALSE)</f>
        <v>Th219</v>
      </c>
      <c r="F2022">
        <f>VLOOKUP(B2022,Nuclides!A:F,4,FALSE)</f>
        <v>1.0499999999999999E-6</v>
      </c>
      <c r="G2022" s="3" t="str">
        <f t="shared" si="158"/>
        <v>0.00000105s</v>
      </c>
      <c r="H2022" s="3">
        <f t="shared" si="159"/>
        <v>660140.1719618527</v>
      </c>
      <c r="I2022" s="3">
        <f t="shared" si="160"/>
        <v>0</v>
      </c>
      <c r="J2022" s="3">
        <f t="shared" si="161"/>
        <v>0</v>
      </c>
      <c r="K2022" s="3" t="str">
        <f t="shared" si="162"/>
        <v>Th219</v>
      </c>
      <c r="L2022" s="3" cm="1">
        <f t="array" ref="L2022">SUM(($J2022*EXP(-$H2022*12*3600*_xlfn.SEQUENCE(L$1-1))))+$J2022</f>
        <v>0</v>
      </c>
      <c r="M2022" s="3"/>
      <c r="N2022" s="3"/>
    </row>
    <row r="2023" spans="2:14" hidden="1" x14ac:dyDescent="0.2">
      <c r="B2023" s="3">
        <v>90220</v>
      </c>
      <c r="C2023" s="3">
        <v>0</v>
      </c>
      <c r="D2023">
        <v>2020</v>
      </c>
      <c r="E2023" t="str">
        <f>VLOOKUP(B2023,Nuclides!A:F,5,FALSE)</f>
        <v>Th220</v>
      </c>
      <c r="F2023">
        <f>VLOOKUP(B2023,Nuclides!A:F,4,FALSE)</f>
        <v>9.6999999999999901E-6</v>
      </c>
      <c r="G2023" s="3" t="str">
        <f t="shared" si="158"/>
        <v>9.69999999999999E-06s</v>
      </c>
      <c r="H2023" s="3">
        <f t="shared" si="159"/>
        <v>71458.472222674842</v>
      </c>
      <c r="I2023" s="3">
        <f t="shared" si="160"/>
        <v>0</v>
      </c>
      <c r="J2023" s="3">
        <f t="shared" si="161"/>
        <v>0</v>
      </c>
      <c r="K2023" s="3" t="str">
        <f t="shared" si="162"/>
        <v>Th220</v>
      </c>
      <c r="L2023" s="3" cm="1">
        <f t="array" ref="L2023">SUM(($J2023*EXP(-$H2023*12*3600*_xlfn.SEQUENCE(L$1-1))))+$J2023</f>
        <v>0</v>
      </c>
      <c r="M2023" s="3"/>
      <c r="N2023" s="3"/>
    </row>
    <row r="2024" spans="2:14" hidden="1" x14ac:dyDescent="0.2">
      <c r="B2024" s="3">
        <v>90221</v>
      </c>
      <c r="C2024" s="3">
        <v>0</v>
      </c>
      <c r="D2024">
        <v>2021</v>
      </c>
      <c r="E2024" t="str">
        <f>VLOOKUP(B2024,Nuclides!A:F,5,FALSE)</f>
        <v>Th221</v>
      </c>
      <c r="F2024">
        <f>VLOOKUP(B2024,Nuclides!A:F,4,FALSE)</f>
        <v>1.6800000000000001E-3</v>
      </c>
      <c r="G2024" s="3" t="str">
        <f t="shared" si="158"/>
        <v>0.00168s</v>
      </c>
      <c r="H2024" s="3">
        <f t="shared" si="159"/>
        <v>412.58760747615787</v>
      </c>
      <c r="I2024" s="3">
        <f t="shared" si="160"/>
        <v>0</v>
      </c>
      <c r="J2024" s="3">
        <f t="shared" si="161"/>
        <v>0</v>
      </c>
      <c r="K2024" s="3" t="str">
        <f t="shared" si="162"/>
        <v>Th221</v>
      </c>
      <c r="L2024" s="3" cm="1">
        <f t="array" ref="L2024">SUM(($J2024*EXP(-$H2024*12*3600*_xlfn.SEQUENCE(L$1-1))))+$J2024</f>
        <v>0</v>
      </c>
      <c r="M2024" s="3"/>
      <c r="N2024" s="3"/>
    </row>
    <row r="2025" spans="2:14" hidden="1" x14ac:dyDescent="0.2">
      <c r="B2025" s="3">
        <v>90222</v>
      </c>
      <c r="C2025" s="3">
        <v>0</v>
      </c>
      <c r="D2025">
        <v>2022</v>
      </c>
      <c r="E2025" t="str">
        <f>VLOOKUP(B2025,Nuclides!A:F,5,FALSE)</f>
        <v>Th222</v>
      </c>
      <c r="F2025">
        <f>VLOOKUP(B2025,Nuclides!A:F,4,FALSE)</f>
        <v>2.8E-3</v>
      </c>
      <c r="G2025" s="3" t="str">
        <f t="shared" si="158"/>
        <v>0.0028s</v>
      </c>
      <c r="H2025" s="3">
        <f t="shared" si="159"/>
        <v>247.55256448569475</v>
      </c>
      <c r="I2025" s="3">
        <f t="shared" si="160"/>
        <v>0</v>
      </c>
      <c r="J2025" s="3">
        <f t="shared" si="161"/>
        <v>0</v>
      </c>
      <c r="K2025" s="3" t="str">
        <f t="shared" si="162"/>
        <v>Th222</v>
      </c>
      <c r="L2025" s="3" cm="1">
        <f t="array" ref="L2025">SUM(($J2025*EXP(-$H2025*12*3600*_xlfn.SEQUENCE(L$1-1))))+$J2025</f>
        <v>0</v>
      </c>
      <c r="M2025" s="3"/>
      <c r="N2025" s="3"/>
    </row>
    <row r="2026" spans="2:14" hidden="1" x14ac:dyDescent="0.2">
      <c r="B2026" s="3">
        <v>90223</v>
      </c>
      <c r="C2026" s="3">
        <v>0</v>
      </c>
      <c r="D2026">
        <v>2023</v>
      </c>
      <c r="E2026" t="str">
        <f>VLOOKUP(B2026,Nuclides!A:F,5,FALSE)</f>
        <v>Th223</v>
      </c>
      <c r="F2026">
        <f>VLOOKUP(B2026,Nuclides!A:F,4,FALSE)</f>
        <v>0.6</v>
      </c>
      <c r="G2026" s="3" t="str">
        <f t="shared" si="158"/>
        <v>0.6s</v>
      </c>
      <c r="H2026" s="3">
        <f t="shared" si="159"/>
        <v>1.1552453009332422</v>
      </c>
      <c r="I2026" s="3">
        <f t="shared" si="160"/>
        <v>0</v>
      </c>
      <c r="J2026" s="3">
        <f t="shared" si="161"/>
        <v>0</v>
      </c>
      <c r="K2026" s="3" t="str">
        <f t="shared" si="162"/>
        <v>Th223</v>
      </c>
      <c r="L2026" s="3" cm="1">
        <f t="array" ref="L2026">SUM(($J2026*EXP(-$H2026*12*3600*_xlfn.SEQUENCE(L$1-1))))+$J2026</f>
        <v>0</v>
      </c>
      <c r="M2026" s="3"/>
      <c r="N2026" s="3"/>
    </row>
    <row r="2027" spans="2:14" hidden="1" x14ac:dyDescent="0.2">
      <c r="B2027" s="3">
        <v>90224</v>
      </c>
      <c r="C2027" s="3">
        <v>0</v>
      </c>
      <c r="D2027">
        <v>2024</v>
      </c>
      <c r="E2027" t="str">
        <f>VLOOKUP(B2027,Nuclides!A:F,5,FALSE)</f>
        <v>Th224</v>
      </c>
      <c r="F2027">
        <f>VLOOKUP(B2027,Nuclides!A:F,4,FALSE)</f>
        <v>1.04</v>
      </c>
      <c r="G2027" s="3" t="str">
        <f t="shared" si="158"/>
        <v>1.04s</v>
      </c>
      <c r="H2027" s="3">
        <f t="shared" si="159"/>
        <v>0.66648767361533201</v>
      </c>
      <c r="I2027" s="3">
        <f t="shared" si="160"/>
        <v>0</v>
      </c>
      <c r="J2027" s="3">
        <f t="shared" si="161"/>
        <v>0</v>
      </c>
      <c r="K2027" s="3" t="str">
        <f t="shared" si="162"/>
        <v>Th224</v>
      </c>
      <c r="L2027" s="3" cm="1">
        <f t="array" ref="L2027">SUM(($J2027*EXP(-$H2027*12*3600*_xlfn.SEQUENCE(L$1-1))))+$J2027</f>
        <v>0</v>
      </c>
      <c r="M2027" s="3"/>
      <c r="N2027" s="3"/>
    </row>
    <row r="2028" spans="2:14" hidden="1" x14ac:dyDescent="0.2">
      <c r="B2028" s="3">
        <v>90225</v>
      </c>
      <c r="C2028" s="3">
        <v>0</v>
      </c>
      <c r="D2028">
        <v>2025</v>
      </c>
      <c r="E2028" t="str">
        <f>VLOOKUP(B2028,Nuclides!A:F,5,FALSE)</f>
        <v>Th225</v>
      </c>
      <c r="F2028">
        <f>VLOOKUP(B2028,Nuclides!A:F,4,FALSE)</f>
        <v>525</v>
      </c>
      <c r="G2028" s="3" t="str">
        <f t="shared" si="158"/>
        <v>8.75min</v>
      </c>
      <c r="H2028" s="3">
        <f t="shared" si="159"/>
        <v>1.3202803439237053E-3</v>
      </c>
      <c r="I2028" s="3">
        <f t="shared" si="160"/>
        <v>0</v>
      </c>
      <c r="J2028" s="3">
        <f t="shared" si="161"/>
        <v>0</v>
      </c>
      <c r="K2028" s="3" t="str">
        <f t="shared" si="162"/>
        <v>Th225</v>
      </c>
      <c r="L2028" s="3" cm="1">
        <f t="array" ref="L2028">SUM(($J2028*EXP(-$H2028*12*3600*_xlfn.SEQUENCE(L$1-1))))+$J2028</f>
        <v>0</v>
      </c>
      <c r="M2028" s="3"/>
      <c r="N2028" s="3"/>
    </row>
    <row r="2029" spans="2:14" hidden="1" x14ac:dyDescent="0.2">
      <c r="B2029" s="3">
        <v>90226</v>
      </c>
      <c r="C2029" s="3">
        <v>0</v>
      </c>
      <c r="D2029">
        <v>2026</v>
      </c>
      <c r="E2029" t="str">
        <f>VLOOKUP(B2029,Nuclides!A:F,5,FALSE)</f>
        <v>Th226</v>
      </c>
      <c r="F2029">
        <f>VLOOKUP(B2029,Nuclides!A:F,4,FALSE)</f>
        <v>1834.2</v>
      </c>
      <c r="G2029" s="3" t="str">
        <f t="shared" si="158"/>
        <v>30.57min</v>
      </c>
      <c r="H2029" s="3">
        <f t="shared" si="159"/>
        <v>3.7790163589572853E-4</v>
      </c>
      <c r="I2029" s="3">
        <f t="shared" si="160"/>
        <v>0</v>
      </c>
      <c r="J2029" s="3">
        <f t="shared" si="161"/>
        <v>0</v>
      </c>
      <c r="K2029" s="3" t="str">
        <f t="shared" si="162"/>
        <v>Th226</v>
      </c>
      <c r="L2029" s="3" cm="1">
        <f t="array" ref="L2029">SUM(($J2029*EXP(-$H2029*12*3600*_xlfn.SEQUENCE(L$1-1))))+$J2029</f>
        <v>0</v>
      </c>
      <c r="M2029" s="3"/>
      <c r="N2029" s="3"/>
    </row>
    <row r="2030" spans="2:14" hidden="1" x14ac:dyDescent="0.2">
      <c r="B2030" s="3">
        <v>90227</v>
      </c>
      <c r="C2030" s="3">
        <v>0</v>
      </c>
      <c r="D2030">
        <v>2027</v>
      </c>
      <c r="E2030" t="str">
        <f>VLOOKUP(B2030,Nuclides!A:F,5,FALSE)</f>
        <v>Th227</v>
      </c>
      <c r="F2030">
        <f>VLOOKUP(B2030,Nuclides!A:F,4,FALSE)</f>
        <v>1615420.79999999</v>
      </c>
      <c r="G2030" s="3" t="str">
        <f t="shared" si="158"/>
        <v>18.7d</v>
      </c>
      <c r="H2030" s="3">
        <f t="shared" si="159"/>
        <v>4.2908150034959905E-7</v>
      </c>
      <c r="I2030" s="3">
        <f t="shared" si="160"/>
        <v>0</v>
      </c>
      <c r="J2030" s="3">
        <f t="shared" si="161"/>
        <v>0</v>
      </c>
      <c r="K2030" s="3" t="str">
        <f t="shared" si="162"/>
        <v>Th227</v>
      </c>
      <c r="L2030" s="3" cm="1">
        <f t="array" ref="L2030">SUM(($J2030*EXP(-$H2030*12*3600*_xlfn.SEQUENCE(L$1-1))))+$J2030</f>
        <v>0</v>
      </c>
      <c r="M2030" s="3"/>
      <c r="N2030" s="3"/>
    </row>
    <row r="2031" spans="2:14" hidden="1" x14ac:dyDescent="0.2">
      <c r="B2031" s="3">
        <v>90228</v>
      </c>
      <c r="C2031" s="3">
        <v>0</v>
      </c>
      <c r="D2031">
        <v>2028</v>
      </c>
      <c r="E2031" t="str">
        <f>VLOOKUP(B2031,Nuclides!A:F,5,FALSE)</f>
        <v>Th228</v>
      </c>
      <c r="F2031">
        <f>VLOOKUP(B2031,Nuclides!A:F,4,FALSE)</f>
        <v>60353910</v>
      </c>
      <c r="G2031" s="3" t="str">
        <f t="shared" si="158"/>
        <v>1.91y</v>
      </c>
      <c r="H2031" s="3">
        <f t="shared" si="159"/>
        <v>1.1484710444773922E-8</v>
      </c>
      <c r="I2031" s="3">
        <f t="shared" si="160"/>
        <v>0</v>
      </c>
      <c r="J2031" s="3">
        <f t="shared" si="161"/>
        <v>0</v>
      </c>
      <c r="K2031" s="3" t="str">
        <f t="shared" si="162"/>
        <v>Th228</v>
      </c>
      <c r="L2031" s="3" cm="1">
        <f t="array" ref="L2031">SUM(($J2031*EXP(-$H2031*12*3600*_xlfn.SEQUENCE(L$1-1))))+$J2031</f>
        <v>0</v>
      </c>
      <c r="M2031" s="3"/>
      <c r="N2031" s="3"/>
    </row>
    <row r="2032" spans="2:14" hidden="1" x14ac:dyDescent="0.2">
      <c r="B2032" s="3">
        <v>90229</v>
      </c>
      <c r="C2032" s="3">
        <v>0</v>
      </c>
      <c r="D2032">
        <v>2029</v>
      </c>
      <c r="E2032" t="str">
        <f>VLOOKUP(B2032,Nuclides!A:F,5,FALSE)</f>
        <v>Th229</v>
      </c>
      <c r="F2032">
        <f>VLOOKUP(B2032,Nuclides!A:F,4,FALSE)</f>
        <v>250314883200</v>
      </c>
      <c r="G2032" s="3" t="str">
        <f t="shared" si="158"/>
        <v>7937.43y</v>
      </c>
      <c r="H2032" s="3">
        <f t="shared" si="159"/>
        <v>2.7691009487682963E-12</v>
      </c>
      <c r="I2032" s="3">
        <f t="shared" si="160"/>
        <v>0</v>
      </c>
      <c r="J2032" s="3">
        <f t="shared" si="161"/>
        <v>0</v>
      </c>
      <c r="K2032" s="3" t="str">
        <f t="shared" si="162"/>
        <v>Th229</v>
      </c>
      <c r="L2032" s="3" cm="1">
        <f t="array" ref="L2032">SUM(($J2032*EXP(-$H2032*12*3600*_xlfn.SEQUENCE(L$1-1))))+$J2032</f>
        <v>0</v>
      </c>
      <c r="M2032" s="3"/>
      <c r="N2032" s="3"/>
    </row>
    <row r="2033" spans="2:14" hidden="1" x14ac:dyDescent="0.2">
      <c r="B2033" s="3">
        <v>90230</v>
      </c>
      <c r="C2033" s="3">
        <v>0</v>
      </c>
      <c r="D2033">
        <v>2030</v>
      </c>
      <c r="E2033" t="str">
        <f>VLOOKUP(B2033,Nuclides!A:F,5,FALSE)</f>
        <v>Th230</v>
      </c>
      <c r="F2033">
        <f>VLOOKUP(B2033,Nuclides!A:F,4,FALSE)</f>
        <v>2379443040000</v>
      </c>
      <c r="G2033" s="3" t="str">
        <f t="shared" si="158"/>
        <v>75451.64y</v>
      </c>
      <c r="H2033" s="3">
        <f t="shared" si="159"/>
        <v>2.9130648177228285E-13</v>
      </c>
      <c r="I2033" s="3">
        <f t="shared" si="160"/>
        <v>0</v>
      </c>
      <c r="J2033" s="3">
        <f t="shared" si="161"/>
        <v>0</v>
      </c>
      <c r="K2033" s="3" t="str">
        <f t="shared" si="162"/>
        <v>Th230</v>
      </c>
      <c r="L2033" s="3" cm="1">
        <f t="array" ref="L2033">SUM(($J2033*EXP(-$H2033*12*3600*_xlfn.SEQUENCE(L$1-1))))+$J2033</f>
        <v>0</v>
      </c>
      <c r="M2033" s="3"/>
      <c r="N2033" s="3"/>
    </row>
    <row r="2034" spans="2:14" hidden="1" x14ac:dyDescent="0.2">
      <c r="B2034" s="3">
        <v>90231</v>
      </c>
      <c r="C2034" s="3">
        <v>0</v>
      </c>
      <c r="D2034">
        <v>2031</v>
      </c>
      <c r="E2034" t="str">
        <f>VLOOKUP(B2034,Nuclides!A:F,5,FALSE)</f>
        <v>Th231</v>
      </c>
      <c r="F2034">
        <f>VLOOKUP(B2034,Nuclides!A:F,4,FALSE)</f>
        <v>91872</v>
      </c>
      <c r="G2034" s="3" t="str">
        <f t="shared" si="158"/>
        <v>1.06d</v>
      </c>
      <c r="H2034" s="3">
        <f t="shared" si="159"/>
        <v>7.5447054658649568E-6</v>
      </c>
      <c r="I2034" s="3">
        <f t="shared" si="160"/>
        <v>0</v>
      </c>
      <c r="J2034" s="3">
        <f t="shared" si="161"/>
        <v>0</v>
      </c>
      <c r="K2034" s="3" t="str">
        <f t="shared" si="162"/>
        <v>Th231</v>
      </c>
      <c r="L2034" s="3" cm="1">
        <f t="array" ref="L2034">SUM(($J2034*EXP(-$H2034*12*3600*_xlfn.SEQUENCE(L$1-1))))+$J2034</f>
        <v>0</v>
      </c>
      <c r="M2034" s="3"/>
      <c r="N2034" s="3"/>
    </row>
    <row r="2035" spans="2:14" hidden="1" x14ac:dyDescent="0.2">
      <c r="B2035" s="3">
        <v>90232</v>
      </c>
      <c r="C2035" s="3">
        <v>0</v>
      </c>
      <c r="D2035">
        <v>2032</v>
      </c>
      <c r="E2035" t="str">
        <f>VLOOKUP(B2035,Nuclides!A:F,5,FALSE)</f>
        <v>Th232</v>
      </c>
      <c r="F2035">
        <f>VLOOKUP(B2035,Nuclides!A:F,4,FALSE)</f>
        <v>4.418064E+17</v>
      </c>
      <c r="G2035" s="3" t="str">
        <f t="shared" si="158"/>
        <v>14009589041.1y</v>
      </c>
      <c r="H2035" s="3">
        <f t="shared" si="159"/>
        <v>1.568893480402152E-18</v>
      </c>
      <c r="I2035" s="3">
        <f t="shared" si="160"/>
        <v>0</v>
      </c>
      <c r="J2035" s="3">
        <f t="shared" si="161"/>
        <v>0</v>
      </c>
      <c r="K2035" s="3" t="str">
        <f t="shared" si="162"/>
        <v>Th232</v>
      </c>
      <c r="L2035" s="3" cm="1">
        <f t="array" ref="L2035">SUM(($J2035*EXP(-$H2035*12*3600*_xlfn.SEQUENCE(L$1-1))))+$J2035</f>
        <v>0</v>
      </c>
      <c r="M2035" s="3"/>
      <c r="N2035" s="3"/>
    </row>
    <row r="2036" spans="2:14" hidden="1" x14ac:dyDescent="0.2">
      <c r="B2036" s="3">
        <v>90233</v>
      </c>
      <c r="C2036" s="3">
        <v>0</v>
      </c>
      <c r="D2036">
        <v>2033</v>
      </c>
      <c r="E2036" t="str">
        <f>VLOOKUP(B2036,Nuclides!A:F,5,FALSE)</f>
        <v>Th233</v>
      </c>
      <c r="F2036">
        <f>VLOOKUP(B2036,Nuclides!A:F,4,FALSE)</f>
        <v>1309.8</v>
      </c>
      <c r="G2036" s="3" t="str">
        <f t="shared" si="158"/>
        <v>21.83min</v>
      </c>
      <c r="H2036" s="3">
        <f t="shared" si="159"/>
        <v>5.2920077917235095E-4</v>
      </c>
      <c r="I2036" s="3">
        <f t="shared" si="160"/>
        <v>0</v>
      </c>
      <c r="J2036" s="3">
        <f t="shared" si="161"/>
        <v>0</v>
      </c>
      <c r="K2036" s="3" t="str">
        <f t="shared" si="162"/>
        <v>Th233</v>
      </c>
      <c r="L2036" s="3" cm="1">
        <f t="array" ref="L2036">SUM(($J2036*EXP(-$H2036*12*3600*_xlfn.SEQUENCE(L$1-1))))+$J2036</f>
        <v>0</v>
      </c>
      <c r="M2036" s="3"/>
      <c r="N2036" s="3"/>
    </row>
    <row r="2037" spans="2:14" hidden="1" x14ac:dyDescent="0.2">
      <c r="B2037" s="3">
        <v>90234</v>
      </c>
      <c r="C2037" s="3">
        <v>0</v>
      </c>
      <c r="D2037">
        <v>2034</v>
      </c>
      <c r="E2037" t="str">
        <f>VLOOKUP(B2037,Nuclides!A:F,5,FALSE)</f>
        <v>Th234</v>
      </c>
      <c r="F2037">
        <f>VLOOKUP(B2037,Nuclides!A:F,4,FALSE)</f>
        <v>2082240</v>
      </c>
      <c r="G2037" s="3" t="str">
        <f t="shared" si="158"/>
        <v>24.1d</v>
      </c>
      <c r="H2037" s="3">
        <f t="shared" si="159"/>
        <v>3.3288534489777611E-7</v>
      </c>
      <c r="I2037" s="3">
        <f t="shared" si="160"/>
        <v>0</v>
      </c>
      <c r="J2037" s="3">
        <f t="shared" si="161"/>
        <v>0</v>
      </c>
      <c r="K2037" s="3" t="str">
        <f t="shared" si="162"/>
        <v>Th234</v>
      </c>
      <c r="L2037" s="3" cm="1">
        <f t="array" ref="L2037">SUM(($J2037*EXP(-$H2037*12*3600*_xlfn.SEQUENCE(L$1-1))))+$J2037</f>
        <v>0</v>
      </c>
      <c r="M2037" s="3"/>
      <c r="N2037" s="3"/>
    </row>
    <row r="2038" spans="2:14" hidden="1" x14ac:dyDescent="0.2">
      <c r="B2038" s="3">
        <v>90235</v>
      </c>
      <c r="C2038" s="3">
        <v>0</v>
      </c>
      <c r="D2038">
        <v>2035</v>
      </c>
      <c r="E2038" t="str">
        <f>VLOOKUP(B2038,Nuclides!A:F,5,FALSE)</f>
        <v>Th235</v>
      </c>
      <c r="F2038">
        <f>VLOOKUP(B2038,Nuclides!A:F,4,FALSE)</f>
        <v>426</v>
      </c>
      <c r="G2038" s="3" t="str">
        <f t="shared" si="158"/>
        <v>7.1min</v>
      </c>
      <c r="H2038" s="3">
        <f t="shared" si="159"/>
        <v>1.6271060576524537E-3</v>
      </c>
      <c r="I2038" s="3">
        <f t="shared" si="160"/>
        <v>0</v>
      </c>
      <c r="J2038" s="3">
        <f t="shared" si="161"/>
        <v>0</v>
      </c>
      <c r="K2038" s="3" t="str">
        <f t="shared" si="162"/>
        <v>Th235</v>
      </c>
      <c r="L2038" s="3" cm="1">
        <f t="array" ref="L2038">SUM(($J2038*EXP(-$H2038*12*3600*_xlfn.SEQUENCE(L$1-1))))+$J2038</f>
        <v>0</v>
      </c>
      <c r="M2038" s="3"/>
      <c r="N2038" s="3"/>
    </row>
    <row r="2039" spans="2:14" hidden="1" x14ac:dyDescent="0.2">
      <c r="B2039" s="3">
        <v>90236</v>
      </c>
      <c r="C2039" s="3">
        <v>0</v>
      </c>
      <c r="D2039">
        <v>2036</v>
      </c>
      <c r="E2039" t="str">
        <f>VLOOKUP(B2039,Nuclides!A:F,5,FALSE)</f>
        <v>Th236</v>
      </c>
      <c r="F2039">
        <f>VLOOKUP(B2039,Nuclides!A:F,4,FALSE)</f>
        <v>2238</v>
      </c>
      <c r="G2039" s="3" t="str">
        <f t="shared" si="158"/>
        <v>37.3min</v>
      </c>
      <c r="H2039" s="3">
        <f t="shared" si="159"/>
        <v>3.0971723885609711E-4</v>
      </c>
      <c r="I2039" s="3">
        <f t="shared" si="160"/>
        <v>0</v>
      </c>
      <c r="J2039" s="3">
        <f t="shared" si="161"/>
        <v>0</v>
      </c>
      <c r="K2039" s="3" t="str">
        <f t="shared" si="162"/>
        <v>Th236</v>
      </c>
      <c r="L2039" s="3" cm="1">
        <f t="array" ref="L2039">SUM(($J2039*EXP(-$H2039*12*3600*_xlfn.SEQUENCE(L$1-1))))+$J2039</f>
        <v>0</v>
      </c>
      <c r="M2039" s="3"/>
      <c r="N2039" s="3"/>
    </row>
    <row r="2040" spans="2:14" hidden="1" x14ac:dyDescent="0.2">
      <c r="B2040" s="3">
        <v>91215</v>
      </c>
      <c r="C2040" s="3">
        <v>0</v>
      </c>
      <c r="D2040">
        <v>2037</v>
      </c>
      <c r="E2040" t="str">
        <f>VLOOKUP(B2040,Nuclides!A:F,5,FALSE)</f>
        <v>Pa215</v>
      </c>
      <c r="F2040">
        <f>VLOOKUP(B2040,Nuclides!A:F,4,FALSE)</f>
        <v>1.4E-2</v>
      </c>
      <c r="G2040" s="3" t="str">
        <f t="shared" si="158"/>
        <v>0.014s</v>
      </c>
      <c r="H2040" s="3">
        <f t="shared" si="159"/>
        <v>49.510512897138945</v>
      </c>
      <c r="I2040" s="3">
        <f t="shared" si="160"/>
        <v>0</v>
      </c>
      <c r="J2040" s="3">
        <f t="shared" si="161"/>
        <v>0</v>
      </c>
      <c r="K2040" s="3" t="str">
        <f t="shared" si="162"/>
        <v>Pa215</v>
      </c>
      <c r="L2040" s="3" cm="1">
        <f t="array" ref="L2040">SUM(($J2040*EXP(-$H2040*12*3600*_xlfn.SEQUENCE(L$1-1))))+$J2040</f>
        <v>0</v>
      </c>
      <c r="M2040" s="3"/>
      <c r="N2040" s="3"/>
    </row>
    <row r="2041" spans="2:14" hidden="1" x14ac:dyDescent="0.2">
      <c r="B2041" s="3">
        <v>91216</v>
      </c>
      <c r="C2041" s="3">
        <v>0</v>
      </c>
      <c r="D2041">
        <v>2038</v>
      </c>
      <c r="E2041" t="str">
        <f>VLOOKUP(B2041,Nuclides!A:F,5,FALSE)</f>
        <v>Pa216</v>
      </c>
      <c r="F2041">
        <f>VLOOKUP(B2041,Nuclides!A:F,4,FALSE)</f>
        <v>0.15</v>
      </c>
      <c r="G2041" s="3" t="str">
        <f t="shared" si="158"/>
        <v>0.15s</v>
      </c>
      <c r="H2041" s="3">
        <f t="shared" si="159"/>
        <v>4.6209812037329687</v>
      </c>
      <c r="I2041" s="3">
        <f t="shared" si="160"/>
        <v>0</v>
      </c>
      <c r="J2041" s="3">
        <f t="shared" si="161"/>
        <v>0</v>
      </c>
      <c r="K2041" s="3" t="str">
        <f t="shared" si="162"/>
        <v>Pa216</v>
      </c>
      <c r="L2041" s="3" cm="1">
        <f t="array" ref="L2041">SUM(($J2041*EXP(-$H2041*12*3600*_xlfn.SEQUENCE(L$1-1))))+$J2041</f>
        <v>0</v>
      </c>
      <c r="M2041" s="3"/>
      <c r="N2041" s="3"/>
    </row>
    <row r="2042" spans="2:14" hidden="1" x14ac:dyDescent="0.2">
      <c r="B2042" s="3">
        <v>91217</v>
      </c>
      <c r="C2042" s="3">
        <v>0</v>
      </c>
      <c r="D2042">
        <v>2039</v>
      </c>
      <c r="E2042" t="str">
        <f>VLOOKUP(B2042,Nuclides!A:F,5,FALSE)</f>
        <v>Pa217</v>
      </c>
      <c r="F2042">
        <f>VLOOKUP(B2042,Nuclides!A:F,4,FALSE)</f>
        <v>3.5999999999999999E-3</v>
      </c>
      <c r="G2042" s="3" t="str">
        <f t="shared" si="158"/>
        <v>0.0036s</v>
      </c>
      <c r="H2042" s="3">
        <f t="shared" si="159"/>
        <v>192.5408834888737</v>
      </c>
      <c r="I2042" s="3">
        <f t="shared" si="160"/>
        <v>0</v>
      </c>
      <c r="J2042" s="3">
        <f t="shared" si="161"/>
        <v>0</v>
      </c>
      <c r="K2042" s="3" t="str">
        <f t="shared" si="162"/>
        <v>Pa217</v>
      </c>
      <c r="L2042" s="3" cm="1">
        <f t="array" ref="L2042">SUM(($J2042*EXP(-$H2042*12*3600*_xlfn.SEQUENCE(L$1-1))))+$J2042</f>
        <v>0</v>
      </c>
      <c r="M2042" s="3"/>
      <c r="N2042" s="3"/>
    </row>
    <row r="2043" spans="2:14" hidden="1" x14ac:dyDescent="0.2">
      <c r="B2043" s="3">
        <v>91218</v>
      </c>
      <c r="C2043" s="3">
        <v>0</v>
      </c>
      <c r="D2043">
        <v>2040</v>
      </c>
      <c r="E2043" t="str">
        <f>VLOOKUP(B2043,Nuclides!A:F,5,FALSE)</f>
        <v>Pa218</v>
      </c>
      <c r="F2043">
        <f>VLOOKUP(B2043,Nuclides!A:F,4,FALSE)</f>
        <v>1.13E-4</v>
      </c>
      <c r="G2043" s="3" t="str">
        <f t="shared" si="158"/>
        <v>0.000113s</v>
      </c>
      <c r="H2043" s="3">
        <f t="shared" si="159"/>
        <v>6134.0458456632332</v>
      </c>
      <c r="I2043" s="3">
        <f t="shared" si="160"/>
        <v>0</v>
      </c>
      <c r="J2043" s="3">
        <f t="shared" si="161"/>
        <v>0</v>
      </c>
      <c r="K2043" s="3" t="str">
        <f t="shared" si="162"/>
        <v>Pa218</v>
      </c>
      <c r="L2043" s="3" cm="1">
        <f t="array" ref="L2043">SUM(($J2043*EXP(-$H2043*12*3600*_xlfn.SEQUENCE(L$1-1))))+$J2043</f>
        <v>0</v>
      </c>
      <c r="M2043" s="3"/>
      <c r="N2043" s="3"/>
    </row>
    <row r="2044" spans="2:14" hidden="1" x14ac:dyDescent="0.2">
      <c r="B2044" s="3">
        <v>91219</v>
      </c>
      <c r="C2044" s="3">
        <v>0</v>
      </c>
      <c r="D2044">
        <v>2041</v>
      </c>
      <c r="E2044" t="str">
        <f>VLOOKUP(B2044,Nuclides!A:F,5,FALSE)</f>
        <v>Pa219</v>
      </c>
      <c r="F2044">
        <f>VLOOKUP(B2044,Nuclides!A:F,4,FALSE)</f>
        <v>5.2999999999999998E-8</v>
      </c>
      <c r="G2044" s="3" t="str">
        <f t="shared" si="158"/>
        <v>0.000000053s</v>
      </c>
      <c r="H2044" s="3">
        <f t="shared" si="159"/>
        <v>13078248.689810289</v>
      </c>
      <c r="I2044" s="3">
        <f t="shared" si="160"/>
        <v>0</v>
      </c>
      <c r="J2044" s="3">
        <f t="shared" si="161"/>
        <v>0</v>
      </c>
      <c r="K2044" s="3" t="str">
        <f t="shared" si="162"/>
        <v>Pa219</v>
      </c>
      <c r="L2044" s="3" cm="1">
        <f t="array" ref="L2044">SUM(($J2044*EXP(-$H2044*12*3600*_xlfn.SEQUENCE(L$1-1))))+$J2044</f>
        <v>0</v>
      </c>
      <c r="M2044" s="3"/>
      <c r="N2044" s="3"/>
    </row>
    <row r="2045" spans="2:14" hidden="1" x14ac:dyDescent="0.2">
      <c r="B2045" s="3">
        <v>91220</v>
      </c>
      <c r="C2045" s="3">
        <v>0</v>
      </c>
      <c r="D2045">
        <v>2042</v>
      </c>
      <c r="E2045" t="str">
        <f>VLOOKUP(B2045,Nuclides!A:F,5,FALSE)</f>
        <v>Pa220</v>
      </c>
      <c r="F2045">
        <f>VLOOKUP(B2045,Nuclides!A:F,4,FALSE)</f>
        <v>7.7999999999999899E-7</v>
      </c>
      <c r="G2045" s="3" t="str">
        <f t="shared" si="158"/>
        <v>7.79999999999999E-07s</v>
      </c>
      <c r="H2045" s="3">
        <f t="shared" si="159"/>
        <v>888650.23148711049</v>
      </c>
      <c r="I2045" s="3">
        <f t="shared" si="160"/>
        <v>0</v>
      </c>
      <c r="J2045" s="3">
        <f t="shared" si="161"/>
        <v>0</v>
      </c>
      <c r="K2045" s="3" t="str">
        <f t="shared" si="162"/>
        <v>Pa220</v>
      </c>
      <c r="L2045" s="3" cm="1">
        <f t="array" ref="L2045">SUM(($J2045*EXP(-$H2045*12*3600*_xlfn.SEQUENCE(L$1-1))))+$J2045</f>
        <v>0</v>
      </c>
      <c r="M2045" s="3"/>
      <c r="N2045" s="3"/>
    </row>
    <row r="2046" spans="2:14" hidden="1" x14ac:dyDescent="0.2">
      <c r="B2046" s="3">
        <v>91221</v>
      </c>
      <c r="C2046" s="3">
        <v>0</v>
      </c>
      <c r="D2046">
        <v>2043</v>
      </c>
      <c r="E2046" t="str">
        <f>VLOOKUP(B2046,Nuclides!A:F,5,FALSE)</f>
        <v>Pa221</v>
      </c>
      <c r="F2046">
        <f>VLOOKUP(B2046,Nuclides!A:F,4,FALSE)</f>
        <v>5.9000000000000003E-6</v>
      </c>
      <c r="G2046" s="3" t="str">
        <f t="shared" si="158"/>
        <v>0.0000059s</v>
      </c>
      <c r="H2046" s="3">
        <f t="shared" si="159"/>
        <v>117482.5729762619</v>
      </c>
      <c r="I2046" s="3">
        <f t="shared" si="160"/>
        <v>0</v>
      </c>
      <c r="J2046" s="3">
        <f t="shared" si="161"/>
        <v>0</v>
      </c>
      <c r="K2046" s="3" t="str">
        <f t="shared" si="162"/>
        <v>Pa221</v>
      </c>
      <c r="L2046" s="3" cm="1">
        <f t="array" ref="L2046">SUM(($J2046*EXP(-$H2046*12*3600*_xlfn.SEQUENCE(L$1-1))))+$J2046</f>
        <v>0</v>
      </c>
      <c r="M2046" s="3"/>
      <c r="N2046" s="3"/>
    </row>
    <row r="2047" spans="2:14" hidden="1" x14ac:dyDescent="0.2">
      <c r="B2047" s="3">
        <v>91222</v>
      </c>
      <c r="C2047" s="3">
        <v>0</v>
      </c>
      <c r="D2047">
        <v>2044</v>
      </c>
      <c r="E2047" t="str">
        <f>VLOOKUP(B2047,Nuclides!A:F,5,FALSE)</f>
        <v>Pa222</v>
      </c>
      <c r="F2047">
        <f>VLOOKUP(B2047,Nuclides!A:F,4,FALSE)</f>
        <v>2.8999999999999998E-3</v>
      </c>
      <c r="G2047" s="3" t="str">
        <f t="shared" si="158"/>
        <v>0.0029s</v>
      </c>
      <c r="H2047" s="3">
        <f t="shared" si="159"/>
        <v>239.01626915860183</v>
      </c>
      <c r="I2047" s="3">
        <f t="shared" si="160"/>
        <v>0</v>
      </c>
      <c r="J2047" s="3">
        <f t="shared" si="161"/>
        <v>0</v>
      </c>
      <c r="K2047" s="3" t="str">
        <f t="shared" si="162"/>
        <v>Pa222</v>
      </c>
      <c r="L2047" s="3" cm="1">
        <f t="array" ref="L2047">SUM(($J2047*EXP(-$H2047*12*3600*_xlfn.SEQUENCE(L$1-1))))+$J2047</f>
        <v>0</v>
      </c>
      <c r="M2047" s="3"/>
      <c r="N2047" s="3"/>
    </row>
    <row r="2048" spans="2:14" hidden="1" x14ac:dyDescent="0.2">
      <c r="B2048" s="3">
        <v>91223</v>
      </c>
      <c r="C2048" s="3">
        <v>0</v>
      </c>
      <c r="D2048">
        <v>2045</v>
      </c>
      <c r="E2048" t="str">
        <f>VLOOKUP(B2048,Nuclides!A:F,5,FALSE)</f>
        <v>Pa223</v>
      </c>
      <c r="F2048">
        <f>VLOOKUP(B2048,Nuclides!A:F,4,FALSE)</f>
        <v>5.09999999999999E-3</v>
      </c>
      <c r="G2048" s="3" t="str">
        <f t="shared" si="158"/>
        <v>0.00509999999999999s</v>
      </c>
      <c r="H2048" s="3">
        <f t="shared" si="159"/>
        <v>135.91121187449934</v>
      </c>
      <c r="I2048" s="3">
        <f t="shared" si="160"/>
        <v>0</v>
      </c>
      <c r="J2048" s="3">
        <f t="shared" si="161"/>
        <v>0</v>
      </c>
      <c r="K2048" s="3" t="str">
        <f t="shared" si="162"/>
        <v>Pa223</v>
      </c>
      <c r="L2048" s="3" cm="1">
        <f t="array" ref="L2048">SUM(($J2048*EXP(-$H2048*12*3600*_xlfn.SEQUENCE(L$1-1))))+$J2048</f>
        <v>0</v>
      </c>
      <c r="M2048" s="3"/>
      <c r="N2048" s="3"/>
    </row>
    <row r="2049" spans="2:14" hidden="1" x14ac:dyDescent="0.2">
      <c r="B2049" s="3">
        <v>91224</v>
      </c>
      <c r="C2049" s="3">
        <v>0</v>
      </c>
      <c r="D2049">
        <v>2046</v>
      </c>
      <c r="E2049" t="str">
        <f>VLOOKUP(B2049,Nuclides!A:F,5,FALSE)</f>
        <v>Pa224</v>
      </c>
      <c r="F2049">
        <f>VLOOKUP(B2049,Nuclides!A:F,4,FALSE)</f>
        <v>0.84599999999999997</v>
      </c>
      <c r="G2049" s="3" t="str">
        <f t="shared" si="158"/>
        <v>0.846s</v>
      </c>
      <c r="H2049" s="3">
        <f t="shared" si="159"/>
        <v>0.81932290846329237</v>
      </c>
      <c r="I2049" s="3">
        <f t="shared" si="160"/>
        <v>0</v>
      </c>
      <c r="J2049" s="3">
        <f t="shared" si="161"/>
        <v>0</v>
      </c>
      <c r="K2049" s="3" t="str">
        <f t="shared" si="162"/>
        <v>Pa224</v>
      </c>
      <c r="L2049" s="3" cm="1">
        <f t="array" ref="L2049">SUM(($J2049*EXP(-$H2049*12*3600*_xlfn.SEQUENCE(L$1-1))))+$J2049</f>
        <v>0</v>
      </c>
      <c r="M2049" s="3"/>
      <c r="N2049" s="3"/>
    </row>
    <row r="2050" spans="2:14" hidden="1" x14ac:dyDescent="0.2">
      <c r="B2050" s="3">
        <v>91225</v>
      </c>
      <c r="C2050" s="3">
        <v>0</v>
      </c>
      <c r="D2050">
        <v>2047</v>
      </c>
      <c r="E2050" t="str">
        <f>VLOOKUP(B2050,Nuclides!A:F,5,FALSE)</f>
        <v>Pa225</v>
      </c>
      <c r="F2050">
        <f>VLOOKUP(B2050,Nuclides!A:F,4,FALSE)</f>
        <v>1.7</v>
      </c>
      <c r="G2050" s="3" t="str">
        <f t="shared" si="158"/>
        <v>1.7s</v>
      </c>
      <c r="H2050" s="3">
        <f t="shared" si="159"/>
        <v>0.40773363562349724</v>
      </c>
      <c r="I2050" s="3">
        <f t="shared" si="160"/>
        <v>0</v>
      </c>
      <c r="J2050" s="3">
        <f t="shared" si="161"/>
        <v>0</v>
      </c>
      <c r="K2050" s="3" t="str">
        <f t="shared" si="162"/>
        <v>Pa225</v>
      </c>
      <c r="L2050" s="3" cm="1">
        <f t="array" ref="L2050">SUM(($J2050*EXP(-$H2050*12*3600*_xlfn.SEQUENCE(L$1-1))))+$J2050</f>
        <v>0</v>
      </c>
      <c r="M2050" s="3"/>
      <c r="N2050" s="3"/>
    </row>
    <row r="2051" spans="2:14" hidden="1" x14ac:dyDescent="0.2">
      <c r="B2051" s="3">
        <v>91226</v>
      </c>
      <c r="C2051" s="3">
        <v>0</v>
      </c>
      <c r="D2051">
        <v>2048</v>
      </c>
      <c r="E2051" t="str">
        <f>VLOOKUP(B2051,Nuclides!A:F,5,FALSE)</f>
        <v>Pa226</v>
      </c>
      <c r="F2051">
        <f>VLOOKUP(B2051,Nuclides!A:F,4,FALSE)</f>
        <v>108</v>
      </c>
      <c r="G2051" s="3" t="str">
        <f t="shared" si="158"/>
        <v>1.8min</v>
      </c>
      <c r="H2051" s="3">
        <f t="shared" si="159"/>
        <v>6.4180294496291234E-3</v>
      </c>
      <c r="I2051" s="3">
        <f t="shared" si="160"/>
        <v>0</v>
      </c>
      <c r="J2051" s="3">
        <f t="shared" si="161"/>
        <v>0</v>
      </c>
      <c r="K2051" s="3" t="str">
        <f t="shared" si="162"/>
        <v>Pa226</v>
      </c>
      <c r="L2051" s="3" cm="1">
        <f t="array" ref="L2051">SUM(($J2051*EXP(-$H2051*12*3600*_xlfn.SEQUENCE(L$1-1))))+$J2051</f>
        <v>0</v>
      </c>
      <c r="M2051" s="3"/>
      <c r="N2051" s="3"/>
    </row>
    <row r="2052" spans="2:14" hidden="1" x14ac:dyDescent="0.2">
      <c r="B2052" s="3">
        <v>91227</v>
      </c>
      <c r="C2052" s="3">
        <v>0</v>
      </c>
      <c r="D2052">
        <v>2049</v>
      </c>
      <c r="E2052" t="str">
        <f>VLOOKUP(B2052,Nuclides!A:F,5,FALSE)</f>
        <v>Pa227</v>
      </c>
      <c r="F2052">
        <f>VLOOKUP(B2052,Nuclides!A:F,4,FALSE)</f>
        <v>2298</v>
      </c>
      <c r="G2052" s="3" t="str">
        <f t="shared" ref="G2052:G2115" si="163">IF(F2052="STABLE", "STABLE", IF(F2052&lt;60, F2052&amp;"s", IF(F2052&lt;3600, ROUND(F2052/60,2)&amp;"min", IF(F2052&lt;86400, ROUND(F2052/3600,2)&amp;"h", IF(F2052&lt;31536000, ROUND(F2052/86400,2)&amp;"d", ROUND(F2052/31536000,2)&amp;"y")))))</f>
        <v>38.3min</v>
      </c>
      <c r="H2052" s="3">
        <f t="shared" ref="H2052:H2115" si="164">LN(2)/F2052</f>
        <v>3.0163062687552013E-4</v>
      </c>
      <c r="I2052" s="3">
        <f t="shared" ref="I2052:I2115" si="165">100*6240000000000*C2052*(1-EXP(-H2052*2*3600))</f>
        <v>0</v>
      </c>
      <c r="J2052" s="3">
        <f t="shared" ref="J2052:J2115" si="166">I2052*EXP(-H2052*10*3600)</f>
        <v>0</v>
      </c>
      <c r="K2052" s="3" t="str">
        <f t="shared" ref="K2052:K2115" si="167">E2052</f>
        <v>Pa227</v>
      </c>
      <c r="L2052" s="3" cm="1">
        <f t="array" ref="L2052">SUM(($J2052*EXP(-$H2052*12*3600*_xlfn.SEQUENCE(L$1-1))))+$J2052</f>
        <v>0</v>
      </c>
      <c r="M2052" s="3"/>
      <c r="N2052" s="3"/>
    </row>
    <row r="2053" spans="2:14" hidden="1" x14ac:dyDescent="0.2">
      <c r="B2053" s="3">
        <v>91228</v>
      </c>
      <c r="C2053" s="3">
        <v>0</v>
      </c>
      <c r="D2053">
        <v>2050</v>
      </c>
      <c r="E2053" t="str">
        <f>VLOOKUP(B2053,Nuclides!A:F,5,FALSE)</f>
        <v>Pa228</v>
      </c>
      <c r="F2053">
        <f>VLOOKUP(B2053,Nuclides!A:F,4,FALSE)</f>
        <v>79200</v>
      </c>
      <c r="G2053" s="3" t="str">
        <f t="shared" si="163"/>
        <v>22h</v>
      </c>
      <c r="H2053" s="3">
        <f t="shared" si="164"/>
        <v>8.7518583404033496E-6</v>
      </c>
      <c r="I2053" s="3">
        <f t="shared" si="165"/>
        <v>0</v>
      </c>
      <c r="J2053" s="3">
        <f t="shared" si="166"/>
        <v>0</v>
      </c>
      <c r="K2053" s="3" t="str">
        <f t="shared" si="167"/>
        <v>Pa228</v>
      </c>
      <c r="L2053" s="3" cm="1">
        <f t="array" ref="L2053">SUM(($J2053*EXP(-$H2053*12*3600*_xlfn.SEQUENCE(L$1-1))))+$J2053</f>
        <v>0</v>
      </c>
      <c r="M2053" s="3"/>
      <c r="N2053" s="3"/>
    </row>
    <row r="2054" spans="2:14" hidden="1" x14ac:dyDescent="0.2">
      <c r="B2054" s="3">
        <v>91229</v>
      </c>
      <c r="C2054" s="3">
        <v>0</v>
      </c>
      <c r="D2054">
        <v>2051</v>
      </c>
      <c r="E2054" t="str">
        <f>VLOOKUP(B2054,Nuclides!A:F,5,FALSE)</f>
        <v>Pa229</v>
      </c>
      <c r="F2054">
        <f>VLOOKUP(B2054,Nuclides!A:F,4,FALSE)</f>
        <v>129600</v>
      </c>
      <c r="G2054" s="3" t="str">
        <f t="shared" si="163"/>
        <v>1.5d</v>
      </c>
      <c r="H2054" s="3">
        <f t="shared" si="164"/>
        <v>5.3483578746909356E-6</v>
      </c>
      <c r="I2054" s="3">
        <f t="shared" si="165"/>
        <v>0</v>
      </c>
      <c r="J2054" s="3">
        <f t="shared" si="166"/>
        <v>0</v>
      </c>
      <c r="K2054" s="3" t="str">
        <f t="shared" si="167"/>
        <v>Pa229</v>
      </c>
      <c r="L2054" s="3" cm="1">
        <f t="array" ref="L2054">SUM(($J2054*EXP(-$H2054*12*3600*_xlfn.SEQUENCE(L$1-1))))+$J2054</f>
        <v>0</v>
      </c>
      <c r="M2054" s="3"/>
      <c r="N2054" s="3"/>
    </row>
    <row r="2055" spans="2:14" hidden="1" x14ac:dyDescent="0.2">
      <c r="B2055" s="3">
        <v>91230</v>
      </c>
      <c r="C2055" s="3">
        <v>0</v>
      </c>
      <c r="D2055">
        <v>2052</v>
      </c>
      <c r="E2055" t="str">
        <f>VLOOKUP(B2055,Nuclides!A:F,5,FALSE)</f>
        <v>Pa230</v>
      </c>
      <c r="F2055">
        <f>VLOOKUP(B2055,Nuclides!A:F,4,FALSE)</f>
        <v>1503359.99999999</v>
      </c>
      <c r="G2055" s="3" t="str">
        <f t="shared" si="163"/>
        <v>17.4d</v>
      </c>
      <c r="H2055" s="3">
        <f t="shared" si="164"/>
        <v>4.6106533402508377E-7</v>
      </c>
      <c r="I2055" s="3">
        <f t="shared" si="165"/>
        <v>0</v>
      </c>
      <c r="J2055" s="3">
        <f t="shared" si="166"/>
        <v>0</v>
      </c>
      <c r="K2055" s="3" t="str">
        <f t="shared" si="167"/>
        <v>Pa230</v>
      </c>
      <c r="L2055" s="3" cm="1">
        <f t="array" ref="L2055">SUM(($J2055*EXP(-$H2055*12*3600*_xlfn.SEQUENCE(L$1-1))))+$J2055</f>
        <v>0</v>
      </c>
      <c r="M2055" s="3"/>
      <c r="N2055" s="3"/>
    </row>
    <row r="2056" spans="2:14" hidden="1" x14ac:dyDescent="0.2">
      <c r="B2056" s="3">
        <v>91231</v>
      </c>
      <c r="C2056" s="3">
        <v>0</v>
      </c>
      <c r="D2056">
        <v>2053</v>
      </c>
      <c r="E2056" t="str">
        <f>VLOOKUP(B2056,Nuclides!A:F,5,FALSE)</f>
        <v>Pa231</v>
      </c>
      <c r="F2056">
        <f>VLOOKUP(B2056,Nuclides!A:F,4,FALSE)</f>
        <v>1033826976000</v>
      </c>
      <c r="G2056" s="3" t="str">
        <f t="shared" si="163"/>
        <v>32782.44y</v>
      </c>
      <c r="H2056" s="3">
        <f t="shared" si="164"/>
        <v>6.704672993171589E-13</v>
      </c>
      <c r="I2056" s="3">
        <f t="shared" si="165"/>
        <v>0</v>
      </c>
      <c r="J2056" s="3">
        <f t="shared" si="166"/>
        <v>0</v>
      </c>
      <c r="K2056" s="3" t="str">
        <f t="shared" si="167"/>
        <v>Pa231</v>
      </c>
      <c r="L2056" s="3" cm="1">
        <f t="array" ref="L2056">SUM(($J2056*EXP(-$H2056*12*3600*_xlfn.SEQUENCE(L$1-1))))+$J2056</f>
        <v>0</v>
      </c>
      <c r="M2056" s="3"/>
      <c r="N2056" s="3"/>
    </row>
    <row r="2057" spans="2:14" hidden="1" x14ac:dyDescent="0.2">
      <c r="B2057" s="3">
        <v>91232</v>
      </c>
      <c r="C2057" s="3">
        <v>0</v>
      </c>
      <c r="D2057">
        <v>2054</v>
      </c>
      <c r="E2057" t="str">
        <f>VLOOKUP(B2057,Nuclides!A:F,5,FALSE)</f>
        <v>Pa232</v>
      </c>
      <c r="F2057">
        <f>VLOOKUP(B2057,Nuclides!A:F,4,FALSE)</f>
        <v>114048</v>
      </c>
      <c r="G2057" s="3" t="str">
        <f t="shared" si="163"/>
        <v>1.32d</v>
      </c>
      <c r="H2057" s="3">
        <f t="shared" si="164"/>
        <v>6.0776794030578814E-6</v>
      </c>
      <c r="I2057" s="3">
        <f t="shared" si="165"/>
        <v>0</v>
      </c>
      <c r="J2057" s="3">
        <f t="shared" si="166"/>
        <v>0</v>
      </c>
      <c r="K2057" s="3" t="str">
        <f t="shared" si="167"/>
        <v>Pa232</v>
      </c>
      <c r="L2057" s="3" cm="1">
        <f t="array" ref="L2057">SUM(($J2057*EXP(-$H2057*12*3600*_xlfn.SEQUENCE(L$1-1))))+$J2057</f>
        <v>0</v>
      </c>
      <c r="M2057" s="3"/>
      <c r="N2057" s="3"/>
    </row>
    <row r="2058" spans="2:14" hidden="1" x14ac:dyDescent="0.2">
      <c r="B2058" s="3">
        <v>91233</v>
      </c>
      <c r="C2058" s="3">
        <v>0</v>
      </c>
      <c r="D2058">
        <v>2055</v>
      </c>
      <c r="E2058" t="str">
        <f>VLOOKUP(B2058,Nuclides!A:F,5,FALSE)</f>
        <v>Pa233</v>
      </c>
      <c r="F2058">
        <f>VLOOKUP(B2058,Nuclides!A:F,4,FALSE)</f>
        <v>2330640</v>
      </c>
      <c r="G2058" s="3" t="str">
        <f t="shared" si="163"/>
        <v>26.98d</v>
      </c>
      <c r="H2058" s="3">
        <f t="shared" si="164"/>
        <v>2.9740636930626152E-7</v>
      </c>
      <c r="I2058" s="3">
        <f t="shared" si="165"/>
        <v>0</v>
      </c>
      <c r="J2058" s="3">
        <f t="shared" si="166"/>
        <v>0</v>
      </c>
      <c r="K2058" s="3" t="str">
        <f t="shared" si="167"/>
        <v>Pa233</v>
      </c>
      <c r="L2058" s="3" cm="1">
        <f t="array" ref="L2058">SUM(($J2058*EXP(-$H2058*12*3600*_xlfn.SEQUENCE(L$1-1))))+$J2058</f>
        <v>0</v>
      </c>
      <c r="M2058" s="3"/>
      <c r="N2058" s="3"/>
    </row>
    <row r="2059" spans="2:14" hidden="1" x14ac:dyDescent="0.2">
      <c r="B2059" s="3">
        <v>91234</v>
      </c>
      <c r="C2059" s="3">
        <v>0</v>
      </c>
      <c r="D2059">
        <v>2056</v>
      </c>
      <c r="E2059" t="str">
        <f>VLOOKUP(B2059,Nuclides!A:F,5,FALSE)</f>
        <v>Pa234</v>
      </c>
      <c r="F2059">
        <f>VLOOKUP(B2059,Nuclides!A:F,4,FALSE)</f>
        <v>24120</v>
      </c>
      <c r="G2059" s="3" t="str">
        <f t="shared" si="163"/>
        <v>6.7h</v>
      </c>
      <c r="H2059" s="3">
        <f t="shared" si="164"/>
        <v>2.873744529684682E-5</v>
      </c>
      <c r="I2059" s="3">
        <f t="shared" si="165"/>
        <v>0</v>
      </c>
      <c r="J2059" s="3">
        <f t="shared" si="166"/>
        <v>0</v>
      </c>
      <c r="K2059" s="3" t="str">
        <f t="shared" si="167"/>
        <v>Pa234</v>
      </c>
      <c r="L2059" s="3" cm="1">
        <f t="array" ref="L2059">SUM(($J2059*EXP(-$H2059*12*3600*_xlfn.SEQUENCE(L$1-1))))+$J2059</f>
        <v>0</v>
      </c>
      <c r="M2059" s="3"/>
      <c r="N2059" s="3"/>
    </row>
    <row r="2060" spans="2:14" hidden="1" x14ac:dyDescent="0.2">
      <c r="B2060" s="3">
        <v>91235</v>
      </c>
      <c r="C2060" s="3">
        <v>0</v>
      </c>
      <c r="D2060">
        <v>2057</v>
      </c>
      <c r="E2060" t="str">
        <f>VLOOKUP(B2060,Nuclides!A:F,5,FALSE)</f>
        <v>Pa235</v>
      </c>
      <c r="F2060">
        <f>VLOOKUP(B2060,Nuclides!A:F,4,FALSE)</f>
        <v>1464</v>
      </c>
      <c r="G2060" s="3" t="str">
        <f t="shared" si="163"/>
        <v>24.4min</v>
      </c>
      <c r="H2060" s="3">
        <f t="shared" si="164"/>
        <v>4.7346118890706648E-4</v>
      </c>
      <c r="I2060" s="3">
        <f t="shared" si="165"/>
        <v>0</v>
      </c>
      <c r="J2060" s="3">
        <f t="shared" si="166"/>
        <v>0</v>
      </c>
      <c r="K2060" s="3" t="str">
        <f t="shared" si="167"/>
        <v>Pa235</v>
      </c>
      <c r="L2060" s="3" cm="1">
        <f t="array" ref="L2060">SUM(($J2060*EXP(-$H2060*12*3600*_xlfn.SEQUENCE(L$1-1))))+$J2060</f>
        <v>0</v>
      </c>
      <c r="M2060" s="3"/>
      <c r="N2060" s="3"/>
    </row>
    <row r="2061" spans="2:14" hidden="1" x14ac:dyDescent="0.2">
      <c r="B2061" s="3">
        <v>91236</v>
      </c>
      <c r="C2061" s="3">
        <v>0</v>
      </c>
      <c r="D2061">
        <v>2058</v>
      </c>
      <c r="E2061" t="str">
        <f>VLOOKUP(B2061,Nuclides!A:F,5,FALSE)</f>
        <v>Pa236</v>
      </c>
      <c r="F2061">
        <f>VLOOKUP(B2061,Nuclides!A:F,4,FALSE)</f>
        <v>546</v>
      </c>
      <c r="G2061" s="3" t="str">
        <f t="shared" si="163"/>
        <v>9.1min</v>
      </c>
      <c r="H2061" s="3">
        <f t="shared" si="164"/>
        <v>1.2695003306958704E-3</v>
      </c>
      <c r="I2061" s="3">
        <f t="shared" si="165"/>
        <v>0</v>
      </c>
      <c r="J2061" s="3">
        <f t="shared" si="166"/>
        <v>0</v>
      </c>
      <c r="K2061" s="3" t="str">
        <f t="shared" si="167"/>
        <v>Pa236</v>
      </c>
      <c r="L2061" s="3" cm="1">
        <f t="array" ref="L2061">SUM(($J2061*EXP(-$H2061*12*3600*_xlfn.SEQUENCE(L$1-1))))+$J2061</f>
        <v>0</v>
      </c>
      <c r="M2061" s="3"/>
      <c r="N2061" s="3"/>
    </row>
    <row r="2062" spans="2:14" hidden="1" x14ac:dyDescent="0.2">
      <c r="B2062" s="3">
        <v>91237</v>
      </c>
      <c r="C2062" s="3">
        <v>0</v>
      </c>
      <c r="D2062">
        <v>2059</v>
      </c>
      <c r="E2062" t="str">
        <f>VLOOKUP(B2062,Nuclides!A:F,5,FALSE)</f>
        <v>Pa237</v>
      </c>
      <c r="F2062">
        <f>VLOOKUP(B2062,Nuclides!A:F,4,FALSE)</f>
        <v>522</v>
      </c>
      <c r="G2062" s="3" t="str">
        <f t="shared" si="163"/>
        <v>8.7min</v>
      </c>
      <c r="H2062" s="3">
        <f t="shared" si="164"/>
        <v>1.3278681619922324E-3</v>
      </c>
      <c r="I2062" s="3">
        <f t="shared" si="165"/>
        <v>0</v>
      </c>
      <c r="J2062" s="3">
        <f t="shared" si="166"/>
        <v>0</v>
      </c>
      <c r="K2062" s="3" t="str">
        <f t="shared" si="167"/>
        <v>Pa237</v>
      </c>
      <c r="L2062" s="3" cm="1">
        <f t="array" ref="L2062">SUM(($J2062*EXP(-$H2062*12*3600*_xlfn.SEQUENCE(L$1-1))))+$J2062</f>
        <v>0</v>
      </c>
      <c r="M2062" s="3"/>
      <c r="N2062" s="3"/>
    </row>
    <row r="2063" spans="2:14" hidden="1" x14ac:dyDescent="0.2">
      <c r="B2063" s="3">
        <v>91238</v>
      </c>
      <c r="C2063" s="3">
        <v>0</v>
      </c>
      <c r="D2063">
        <v>2060</v>
      </c>
      <c r="E2063" t="str">
        <f>VLOOKUP(B2063,Nuclides!A:F,5,FALSE)</f>
        <v>Pa238</v>
      </c>
      <c r="F2063">
        <f>VLOOKUP(B2063,Nuclides!A:F,4,FALSE)</f>
        <v>136.79999999999899</v>
      </c>
      <c r="G2063" s="3" t="str">
        <f t="shared" si="163"/>
        <v>2.28min</v>
      </c>
      <c r="H2063" s="3">
        <f t="shared" si="164"/>
        <v>5.066865354970398E-3</v>
      </c>
      <c r="I2063" s="3">
        <f t="shared" si="165"/>
        <v>0</v>
      </c>
      <c r="J2063" s="3">
        <f t="shared" si="166"/>
        <v>0</v>
      </c>
      <c r="K2063" s="3" t="str">
        <f t="shared" si="167"/>
        <v>Pa238</v>
      </c>
      <c r="L2063" s="3" cm="1">
        <f t="array" ref="L2063">SUM(($J2063*EXP(-$H2063*12*3600*_xlfn.SEQUENCE(L$1-1))))+$J2063</f>
        <v>0</v>
      </c>
      <c r="M2063" s="3"/>
      <c r="N2063" s="3"/>
    </row>
    <row r="2064" spans="2:14" hidden="1" x14ac:dyDescent="0.2">
      <c r="B2064" s="3">
        <v>92222</v>
      </c>
      <c r="C2064" s="3">
        <v>0</v>
      </c>
      <c r="D2064">
        <v>2061</v>
      </c>
      <c r="E2064" t="str">
        <f>VLOOKUP(B2064,Nuclides!A:F,5,FALSE)</f>
        <v>U222</v>
      </c>
      <c r="F2064">
        <f>VLOOKUP(B2064,Nuclides!A:F,4,FALSE)</f>
        <v>4.6999999999999999E-6</v>
      </c>
      <c r="G2064" s="3" t="str">
        <f t="shared" si="163"/>
        <v>0.0000047s</v>
      </c>
      <c r="H2064" s="3">
        <f t="shared" si="164"/>
        <v>147478.12352339263</v>
      </c>
      <c r="I2064" s="3">
        <f t="shared" si="165"/>
        <v>0</v>
      </c>
      <c r="J2064" s="3">
        <f t="shared" si="166"/>
        <v>0</v>
      </c>
      <c r="K2064" s="3" t="str">
        <f t="shared" si="167"/>
        <v>U222</v>
      </c>
      <c r="L2064" s="3" cm="1">
        <f t="array" ref="L2064">SUM(($J2064*EXP(-$H2064*12*3600*_xlfn.SEQUENCE(L$1-1))))+$J2064</f>
        <v>0</v>
      </c>
      <c r="M2064" s="3"/>
      <c r="N2064" s="3"/>
    </row>
    <row r="2065" spans="2:14" hidden="1" x14ac:dyDescent="0.2">
      <c r="B2065" s="3">
        <v>92223</v>
      </c>
      <c r="C2065" s="3">
        <v>0</v>
      </c>
      <c r="D2065">
        <v>2062</v>
      </c>
      <c r="E2065" t="str">
        <f>VLOOKUP(B2065,Nuclides!A:F,5,FALSE)</f>
        <v>U223</v>
      </c>
      <c r="F2065">
        <f>VLOOKUP(B2065,Nuclides!A:F,4,FALSE)</f>
        <v>1.8E-5</v>
      </c>
      <c r="G2065" s="3" t="str">
        <f t="shared" si="163"/>
        <v>0.000018s</v>
      </c>
      <c r="H2065" s="3">
        <f t="shared" si="164"/>
        <v>38508.176697774739</v>
      </c>
      <c r="I2065" s="3">
        <f t="shared" si="165"/>
        <v>0</v>
      </c>
      <c r="J2065" s="3">
        <f t="shared" si="166"/>
        <v>0</v>
      </c>
      <c r="K2065" s="3" t="str">
        <f t="shared" si="167"/>
        <v>U223</v>
      </c>
      <c r="L2065" s="3" cm="1">
        <f t="array" ref="L2065">SUM(($J2065*EXP(-$H2065*12*3600*_xlfn.SEQUENCE(L$1-1))))+$J2065</f>
        <v>0</v>
      </c>
      <c r="M2065" s="3"/>
      <c r="N2065" s="3"/>
    </row>
    <row r="2066" spans="2:14" hidden="1" x14ac:dyDescent="0.2">
      <c r="B2066" s="3">
        <v>92224</v>
      </c>
      <c r="C2066" s="3">
        <v>0</v>
      </c>
      <c r="D2066">
        <v>2063</v>
      </c>
      <c r="E2066" t="str">
        <f>VLOOKUP(B2066,Nuclides!A:F,5,FALSE)</f>
        <v>U224</v>
      </c>
      <c r="F2066">
        <f>VLOOKUP(B2066,Nuclides!A:F,4,FALSE)</f>
        <v>8.4000000000000003E-4</v>
      </c>
      <c r="G2066" s="3" t="str">
        <f t="shared" si="163"/>
        <v>0.00084s</v>
      </c>
      <c r="H2066" s="3">
        <f t="shared" si="164"/>
        <v>825.17521495231574</v>
      </c>
      <c r="I2066" s="3">
        <f t="shared" si="165"/>
        <v>0</v>
      </c>
      <c r="J2066" s="3">
        <f t="shared" si="166"/>
        <v>0</v>
      </c>
      <c r="K2066" s="3" t="str">
        <f t="shared" si="167"/>
        <v>U224</v>
      </c>
      <c r="L2066" s="3" cm="1">
        <f t="array" ref="L2066">SUM(($J2066*EXP(-$H2066*12*3600*_xlfn.SEQUENCE(L$1-1))))+$J2066</f>
        <v>0</v>
      </c>
      <c r="M2066" s="3"/>
      <c r="N2066" s="3"/>
    </row>
    <row r="2067" spans="2:14" hidden="1" x14ac:dyDescent="0.2">
      <c r="B2067" s="3">
        <v>92225</v>
      </c>
      <c r="C2067" s="3">
        <v>0</v>
      </c>
      <c r="D2067">
        <v>2064</v>
      </c>
      <c r="E2067" t="str">
        <f>VLOOKUP(B2067,Nuclides!A:F,5,FALSE)</f>
        <v>U225</v>
      </c>
      <c r="F2067">
        <f>VLOOKUP(B2067,Nuclides!A:F,4,FALSE)</f>
        <v>9.5000000000000001E-2</v>
      </c>
      <c r="G2067" s="3" t="str">
        <f t="shared" si="163"/>
        <v>0.095s</v>
      </c>
      <c r="H2067" s="3">
        <f t="shared" si="164"/>
        <v>7.2962861111573183</v>
      </c>
      <c r="I2067" s="3">
        <f t="shared" si="165"/>
        <v>0</v>
      </c>
      <c r="J2067" s="3">
        <f t="shared" si="166"/>
        <v>0</v>
      </c>
      <c r="K2067" s="3" t="str">
        <f t="shared" si="167"/>
        <v>U225</v>
      </c>
      <c r="L2067" s="3" cm="1">
        <f t="array" ref="L2067">SUM(($J2067*EXP(-$H2067*12*3600*_xlfn.SEQUENCE(L$1-1))))+$J2067</f>
        <v>0</v>
      </c>
      <c r="M2067" s="3"/>
      <c r="N2067" s="3"/>
    </row>
    <row r="2068" spans="2:14" hidden="1" x14ac:dyDescent="0.2">
      <c r="B2068" s="3">
        <v>92226</v>
      </c>
      <c r="C2068" s="3">
        <v>0</v>
      </c>
      <c r="D2068">
        <v>2065</v>
      </c>
      <c r="E2068" t="str">
        <f>VLOOKUP(B2068,Nuclides!A:F,5,FALSE)</f>
        <v>U226</v>
      </c>
      <c r="F2068">
        <f>VLOOKUP(B2068,Nuclides!A:F,4,FALSE)</f>
        <v>0.26800000000000002</v>
      </c>
      <c r="G2068" s="3" t="str">
        <f t="shared" si="163"/>
        <v>0.268s</v>
      </c>
      <c r="H2068" s="3">
        <f t="shared" si="164"/>
        <v>2.5863700767162134</v>
      </c>
      <c r="I2068" s="3">
        <f t="shared" si="165"/>
        <v>0</v>
      </c>
      <c r="J2068" s="3">
        <f t="shared" si="166"/>
        <v>0</v>
      </c>
      <c r="K2068" s="3" t="str">
        <f t="shared" si="167"/>
        <v>U226</v>
      </c>
      <c r="L2068" s="3" cm="1">
        <f t="array" ref="L2068">SUM(($J2068*EXP(-$H2068*12*3600*_xlfn.SEQUENCE(L$1-1))))+$J2068</f>
        <v>0</v>
      </c>
      <c r="M2068" s="3"/>
      <c r="N2068" s="3"/>
    </row>
    <row r="2069" spans="2:14" hidden="1" x14ac:dyDescent="0.2">
      <c r="B2069" s="3">
        <v>92227</v>
      </c>
      <c r="C2069" s="3">
        <v>0</v>
      </c>
      <c r="D2069">
        <v>2066</v>
      </c>
      <c r="E2069" t="str">
        <f>VLOOKUP(B2069,Nuclides!A:F,5,FALSE)</f>
        <v>U227</v>
      </c>
      <c r="F2069">
        <f>VLOOKUP(B2069,Nuclides!A:F,4,FALSE)</f>
        <v>66</v>
      </c>
      <c r="G2069" s="3" t="str">
        <f t="shared" si="163"/>
        <v>1.1min</v>
      </c>
      <c r="H2069" s="3">
        <f t="shared" si="164"/>
        <v>1.050223000848402E-2</v>
      </c>
      <c r="I2069" s="3">
        <f t="shared" si="165"/>
        <v>0</v>
      </c>
      <c r="J2069" s="3">
        <f t="shared" si="166"/>
        <v>0</v>
      </c>
      <c r="K2069" s="3" t="str">
        <f t="shared" si="167"/>
        <v>U227</v>
      </c>
      <c r="L2069" s="3" cm="1">
        <f t="array" ref="L2069">SUM(($J2069*EXP(-$H2069*12*3600*_xlfn.SEQUENCE(L$1-1))))+$J2069</f>
        <v>0</v>
      </c>
      <c r="M2069" s="3"/>
      <c r="N2069" s="3"/>
    </row>
    <row r="2070" spans="2:14" hidden="1" x14ac:dyDescent="0.2">
      <c r="B2070" s="3">
        <v>92228</v>
      </c>
      <c r="C2070" s="3">
        <v>0</v>
      </c>
      <c r="D2070">
        <v>2067</v>
      </c>
      <c r="E2070" t="str">
        <f>VLOOKUP(B2070,Nuclides!A:F,5,FALSE)</f>
        <v>U228</v>
      </c>
      <c r="F2070">
        <f>VLOOKUP(B2070,Nuclides!A:F,4,FALSE)</f>
        <v>546</v>
      </c>
      <c r="G2070" s="3" t="str">
        <f t="shared" si="163"/>
        <v>9.1min</v>
      </c>
      <c r="H2070" s="3">
        <f t="shared" si="164"/>
        <v>1.2695003306958704E-3</v>
      </c>
      <c r="I2070" s="3">
        <f t="shared" si="165"/>
        <v>0</v>
      </c>
      <c r="J2070" s="3">
        <f t="shared" si="166"/>
        <v>0</v>
      </c>
      <c r="K2070" s="3" t="str">
        <f t="shared" si="167"/>
        <v>U228</v>
      </c>
      <c r="L2070" s="3" cm="1">
        <f t="array" ref="L2070">SUM(($J2070*EXP(-$H2070*12*3600*_xlfn.SEQUENCE(L$1-1))))+$J2070</f>
        <v>0</v>
      </c>
      <c r="M2070" s="3"/>
      <c r="N2070" s="3"/>
    </row>
    <row r="2071" spans="2:14" hidden="1" x14ac:dyDescent="0.2">
      <c r="B2071" s="3">
        <v>92229</v>
      </c>
      <c r="C2071" s="3">
        <v>0</v>
      </c>
      <c r="D2071">
        <v>2068</v>
      </c>
      <c r="E2071" t="str">
        <f>VLOOKUP(B2071,Nuclides!A:F,5,FALSE)</f>
        <v>U229</v>
      </c>
      <c r="F2071">
        <f>VLOOKUP(B2071,Nuclides!A:F,4,FALSE)</f>
        <v>3480</v>
      </c>
      <c r="G2071" s="3" t="str">
        <f t="shared" si="163"/>
        <v>58min</v>
      </c>
      <c r="H2071" s="3">
        <f t="shared" si="164"/>
        <v>1.9918022429883485E-4</v>
      </c>
      <c r="I2071" s="3">
        <f t="shared" si="165"/>
        <v>0</v>
      </c>
      <c r="J2071" s="3">
        <f t="shared" si="166"/>
        <v>0</v>
      </c>
      <c r="K2071" s="3" t="str">
        <f t="shared" si="167"/>
        <v>U229</v>
      </c>
      <c r="L2071" s="3" cm="1">
        <f t="array" ref="L2071">SUM(($J2071*EXP(-$H2071*12*3600*_xlfn.SEQUENCE(L$1-1))))+$J2071</f>
        <v>0</v>
      </c>
      <c r="M2071" s="3"/>
      <c r="N2071" s="3"/>
    </row>
    <row r="2072" spans="2:14" hidden="1" x14ac:dyDescent="0.2">
      <c r="B2072" s="3">
        <v>92230</v>
      </c>
      <c r="C2072" s="3">
        <v>0</v>
      </c>
      <c r="D2072">
        <v>2069</v>
      </c>
      <c r="E2072" t="str">
        <f>VLOOKUP(B2072,Nuclides!A:F,5,FALSE)</f>
        <v>U230</v>
      </c>
      <c r="F2072">
        <f>VLOOKUP(B2072,Nuclides!A:F,4,FALSE)</f>
        <v>1797120</v>
      </c>
      <c r="G2072" s="3" t="str">
        <f t="shared" si="163"/>
        <v>20.8d</v>
      </c>
      <c r="H2072" s="3">
        <f t="shared" si="164"/>
        <v>3.8569888519405789E-7</v>
      </c>
      <c r="I2072" s="3">
        <f t="shared" si="165"/>
        <v>0</v>
      </c>
      <c r="J2072" s="3">
        <f t="shared" si="166"/>
        <v>0</v>
      </c>
      <c r="K2072" s="3" t="str">
        <f t="shared" si="167"/>
        <v>U230</v>
      </c>
      <c r="L2072" s="3" cm="1">
        <f t="array" ref="L2072">SUM(($J2072*EXP(-$H2072*12*3600*_xlfn.SEQUENCE(L$1-1))))+$J2072</f>
        <v>0</v>
      </c>
      <c r="M2072" s="3"/>
      <c r="N2072" s="3"/>
    </row>
    <row r="2073" spans="2:14" hidden="1" x14ac:dyDescent="0.2">
      <c r="B2073" s="3">
        <v>92231</v>
      </c>
      <c r="C2073" s="3">
        <v>0</v>
      </c>
      <c r="D2073">
        <v>2070</v>
      </c>
      <c r="E2073" t="str">
        <f>VLOOKUP(B2073,Nuclides!A:F,5,FALSE)</f>
        <v>U231</v>
      </c>
      <c r="F2073">
        <f>VLOOKUP(B2073,Nuclides!A:F,4,FALSE)</f>
        <v>362880</v>
      </c>
      <c r="G2073" s="3" t="str">
        <f t="shared" si="163"/>
        <v>4.2d</v>
      </c>
      <c r="H2073" s="3">
        <f t="shared" si="164"/>
        <v>1.9101278123896201E-6</v>
      </c>
      <c r="I2073" s="3">
        <f t="shared" si="165"/>
        <v>0</v>
      </c>
      <c r="J2073" s="3">
        <f t="shared" si="166"/>
        <v>0</v>
      </c>
      <c r="K2073" s="3" t="str">
        <f t="shared" si="167"/>
        <v>U231</v>
      </c>
      <c r="L2073" s="3" cm="1">
        <f t="array" ref="L2073">SUM(($J2073*EXP(-$H2073*12*3600*_xlfn.SEQUENCE(L$1-1))))+$J2073</f>
        <v>0</v>
      </c>
      <c r="M2073" s="3"/>
      <c r="N2073" s="3"/>
    </row>
    <row r="2074" spans="2:14" hidden="1" x14ac:dyDescent="0.2">
      <c r="B2074" s="3">
        <v>92232</v>
      </c>
      <c r="C2074" s="3">
        <v>0</v>
      </c>
      <c r="D2074">
        <v>2071</v>
      </c>
      <c r="E2074" t="str">
        <f>VLOOKUP(B2074,Nuclides!A:F,5,FALSE)</f>
        <v>U232</v>
      </c>
      <c r="F2074">
        <f>VLOOKUP(B2074,Nuclides!A:F,4,FALSE)</f>
        <v>2174318640</v>
      </c>
      <c r="G2074" s="3" t="str">
        <f t="shared" si="163"/>
        <v>68.95y</v>
      </c>
      <c r="H2074" s="3">
        <f t="shared" si="164"/>
        <v>3.1878822533570577E-10</v>
      </c>
      <c r="I2074" s="3">
        <f t="shared" si="165"/>
        <v>0</v>
      </c>
      <c r="J2074" s="3">
        <f t="shared" si="166"/>
        <v>0</v>
      </c>
      <c r="K2074" s="3" t="str">
        <f t="shared" si="167"/>
        <v>U232</v>
      </c>
      <c r="L2074" s="3" cm="1">
        <f t="array" ref="L2074">SUM(($J2074*EXP(-$H2074*12*3600*_xlfn.SEQUENCE(L$1-1))))+$J2074</f>
        <v>0</v>
      </c>
      <c r="M2074" s="3"/>
      <c r="N2074" s="3"/>
    </row>
    <row r="2075" spans="2:14" hidden="1" x14ac:dyDescent="0.2">
      <c r="B2075" s="3">
        <v>92233</v>
      </c>
      <c r="C2075" s="3">
        <v>0</v>
      </c>
      <c r="D2075">
        <v>2072</v>
      </c>
      <c r="E2075" t="str">
        <f>VLOOKUP(B2075,Nuclides!A:F,5,FALSE)</f>
        <v>U233</v>
      </c>
      <c r="F2075">
        <f>VLOOKUP(B2075,Nuclides!A:F,4,FALSE)</f>
        <v>5023969920000</v>
      </c>
      <c r="G2075" s="3" t="str">
        <f t="shared" si="163"/>
        <v>159309.04y</v>
      </c>
      <c r="H2075" s="3">
        <f t="shared" si="164"/>
        <v>1.3796801963335507E-13</v>
      </c>
      <c r="I2075" s="3">
        <f t="shared" si="165"/>
        <v>0</v>
      </c>
      <c r="J2075" s="3">
        <f t="shared" si="166"/>
        <v>0</v>
      </c>
      <c r="K2075" s="3" t="str">
        <f t="shared" si="167"/>
        <v>U233</v>
      </c>
      <c r="L2075" s="3" cm="1">
        <f t="array" ref="L2075">SUM(($J2075*EXP(-$H2075*12*3600*_xlfn.SEQUENCE(L$1-1))))+$J2075</f>
        <v>0</v>
      </c>
      <c r="M2075" s="3"/>
      <c r="N2075" s="3"/>
    </row>
    <row r="2076" spans="2:14" hidden="1" x14ac:dyDescent="0.2">
      <c r="B2076" s="3">
        <v>92234</v>
      </c>
      <c r="C2076" s="3">
        <v>0</v>
      </c>
      <c r="D2076">
        <v>2073</v>
      </c>
      <c r="E2076" t="str">
        <f>VLOOKUP(B2076,Nuclides!A:F,5,FALSE)</f>
        <v>U234</v>
      </c>
      <c r="F2076">
        <f>VLOOKUP(B2076,Nuclides!A:F,4,FALSE)</f>
        <v>7747390800000</v>
      </c>
      <c r="G2076" s="3" t="str">
        <f t="shared" si="163"/>
        <v>245668.15y</v>
      </c>
      <c r="H2076" s="3">
        <f t="shared" si="164"/>
        <v>8.9468467314175671E-14</v>
      </c>
      <c r="I2076" s="3">
        <f t="shared" si="165"/>
        <v>0</v>
      </c>
      <c r="J2076" s="3">
        <f t="shared" si="166"/>
        <v>0</v>
      </c>
      <c r="K2076" s="3" t="str">
        <f t="shared" si="167"/>
        <v>U234</v>
      </c>
      <c r="L2076" s="3" cm="1">
        <f t="array" ref="L2076">SUM(($J2076*EXP(-$H2076*12*3600*_xlfn.SEQUENCE(L$1-1))))+$J2076</f>
        <v>0</v>
      </c>
      <c r="M2076" s="3"/>
      <c r="N2076" s="3"/>
    </row>
    <row r="2077" spans="2:14" hidden="1" x14ac:dyDescent="0.2">
      <c r="B2077" s="3">
        <v>92235</v>
      </c>
      <c r="C2077" s="3">
        <v>0</v>
      </c>
      <c r="D2077">
        <v>2074</v>
      </c>
      <c r="E2077" t="str">
        <f>VLOOKUP(B2077,Nuclides!A:F,5,FALSE)</f>
        <v>U235</v>
      </c>
      <c r="F2077">
        <f>VLOOKUP(B2077,Nuclides!A:F,4,FALSE)</f>
        <v>2.22165504E+16</v>
      </c>
      <c r="G2077" s="3" t="str">
        <f t="shared" si="163"/>
        <v>704482191.78y</v>
      </c>
      <c r="H2077" s="3">
        <f t="shared" si="164"/>
        <v>3.1199586257997337E-17</v>
      </c>
      <c r="I2077" s="3">
        <f t="shared" si="165"/>
        <v>0</v>
      </c>
      <c r="J2077" s="3">
        <f t="shared" si="166"/>
        <v>0</v>
      </c>
      <c r="K2077" s="3" t="str">
        <f t="shared" si="167"/>
        <v>U235</v>
      </c>
      <c r="L2077" s="3" cm="1">
        <f t="array" ref="L2077">SUM(($J2077*EXP(-$H2077*12*3600*_xlfn.SEQUENCE(L$1-1))))+$J2077</f>
        <v>0</v>
      </c>
      <c r="M2077" s="3"/>
      <c r="N2077" s="3"/>
    </row>
    <row r="2078" spans="2:14" hidden="1" x14ac:dyDescent="0.2">
      <c r="B2078" s="3">
        <v>92236</v>
      </c>
      <c r="C2078" s="3">
        <v>0</v>
      </c>
      <c r="D2078">
        <v>2075</v>
      </c>
      <c r="E2078" t="str">
        <f>VLOOKUP(B2078,Nuclides!A:F,5,FALSE)</f>
        <v>U236</v>
      </c>
      <c r="F2078">
        <f>VLOOKUP(B2078,Nuclides!A:F,4,FALSE)</f>
        <v>739078992000000</v>
      </c>
      <c r="G2078" s="3" t="str">
        <f t="shared" si="163"/>
        <v>23436041.1y</v>
      </c>
      <c r="H2078" s="3">
        <f t="shared" si="164"/>
        <v>9.3785263559479616E-16</v>
      </c>
      <c r="I2078" s="3">
        <f t="shared" si="165"/>
        <v>0</v>
      </c>
      <c r="J2078" s="3">
        <f t="shared" si="166"/>
        <v>0</v>
      </c>
      <c r="K2078" s="3" t="str">
        <f t="shared" si="167"/>
        <v>U236</v>
      </c>
      <c r="L2078" s="3" cm="1">
        <f t="array" ref="L2078">SUM(($J2078*EXP(-$H2078*12*3600*_xlfn.SEQUENCE(L$1-1))))+$J2078</f>
        <v>0</v>
      </c>
      <c r="M2078" s="3"/>
      <c r="N2078" s="3"/>
    </row>
    <row r="2079" spans="2:14" hidden="1" x14ac:dyDescent="0.2">
      <c r="B2079" s="3">
        <v>92237</v>
      </c>
      <c r="C2079" s="3">
        <v>0</v>
      </c>
      <c r="D2079">
        <v>2076</v>
      </c>
      <c r="E2079" t="str">
        <f>VLOOKUP(B2079,Nuclides!A:F,5,FALSE)</f>
        <v>U237</v>
      </c>
      <c r="F2079">
        <f>VLOOKUP(B2079,Nuclides!A:F,4,FALSE)</f>
        <v>583200</v>
      </c>
      <c r="G2079" s="3" t="str">
        <f t="shared" si="163"/>
        <v>6.75d</v>
      </c>
      <c r="H2079" s="3">
        <f t="shared" si="164"/>
        <v>1.1885239721535413E-6</v>
      </c>
      <c r="I2079" s="3">
        <f t="shared" si="165"/>
        <v>0</v>
      </c>
      <c r="J2079" s="3">
        <f t="shared" si="166"/>
        <v>0</v>
      </c>
      <c r="K2079" s="3" t="str">
        <f t="shared" si="167"/>
        <v>U237</v>
      </c>
      <c r="L2079" s="3" cm="1">
        <f t="array" ref="L2079">SUM(($J2079*EXP(-$H2079*12*3600*_xlfn.SEQUENCE(L$1-1))))+$J2079</f>
        <v>0</v>
      </c>
      <c r="M2079" s="3"/>
      <c r="N2079" s="3"/>
    </row>
    <row r="2080" spans="2:14" hidden="1" x14ac:dyDescent="0.2">
      <c r="B2080" s="3">
        <v>92238</v>
      </c>
      <c r="C2080" s="3">
        <v>0</v>
      </c>
      <c r="D2080">
        <v>2077</v>
      </c>
      <c r="E2080" t="str">
        <f>VLOOKUP(B2080,Nuclides!A:F,5,FALSE)</f>
        <v>U238</v>
      </c>
      <c r="F2080">
        <f>VLOOKUP(B2080,Nuclides!A:F,4,FALSE)</f>
        <v>1.409993568E+17</v>
      </c>
      <c r="G2080" s="3" t="str">
        <f t="shared" si="163"/>
        <v>4471060273.97y</v>
      </c>
      <c r="H2080" s="3">
        <f t="shared" si="164"/>
        <v>4.9159598759243794E-18</v>
      </c>
      <c r="I2080" s="3">
        <f t="shared" si="165"/>
        <v>0</v>
      </c>
      <c r="J2080" s="3">
        <f t="shared" si="166"/>
        <v>0</v>
      </c>
      <c r="K2080" s="3" t="str">
        <f t="shared" si="167"/>
        <v>U238</v>
      </c>
      <c r="L2080" s="3" cm="1">
        <f t="array" ref="L2080">SUM(($J2080*EXP(-$H2080*12*3600*_xlfn.SEQUENCE(L$1-1))))+$J2080</f>
        <v>0</v>
      </c>
      <c r="M2080" s="3"/>
      <c r="N2080" s="3"/>
    </row>
    <row r="2081" spans="2:14" hidden="1" x14ac:dyDescent="0.2">
      <c r="B2081" s="3">
        <v>92239</v>
      </c>
      <c r="C2081" s="3">
        <v>0</v>
      </c>
      <c r="D2081">
        <v>2078</v>
      </c>
      <c r="E2081" t="str">
        <f>VLOOKUP(B2081,Nuclides!A:F,5,FALSE)</f>
        <v>U239</v>
      </c>
      <c r="F2081">
        <f>VLOOKUP(B2081,Nuclides!A:F,4,FALSE)</f>
        <v>1407</v>
      </c>
      <c r="G2081" s="3" t="str">
        <f t="shared" si="163"/>
        <v>23.45min</v>
      </c>
      <c r="H2081" s="3">
        <f t="shared" si="164"/>
        <v>4.9264191937451688E-4</v>
      </c>
      <c r="I2081" s="3">
        <f t="shared" si="165"/>
        <v>0</v>
      </c>
      <c r="J2081" s="3">
        <f t="shared" si="166"/>
        <v>0</v>
      </c>
      <c r="K2081" s="3" t="str">
        <f t="shared" si="167"/>
        <v>U239</v>
      </c>
      <c r="L2081" s="3" cm="1">
        <f t="array" ref="L2081">SUM(($J2081*EXP(-$H2081*12*3600*_xlfn.SEQUENCE(L$1-1))))+$J2081</f>
        <v>0</v>
      </c>
      <c r="M2081" s="3"/>
      <c r="N2081" s="3"/>
    </row>
    <row r="2082" spans="2:14" hidden="1" x14ac:dyDescent="0.2">
      <c r="B2082" s="3">
        <v>92240</v>
      </c>
      <c r="C2082" s="3">
        <v>0</v>
      </c>
      <c r="D2082">
        <v>2079</v>
      </c>
      <c r="E2082" t="str">
        <f>VLOOKUP(B2082,Nuclides!A:F,5,FALSE)</f>
        <v>U240</v>
      </c>
      <c r="F2082">
        <f>VLOOKUP(B2082,Nuclides!A:F,4,FALSE)</f>
        <v>50760</v>
      </c>
      <c r="G2082" s="3" t="str">
        <f t="shared" si="163"/>
        <v>14.1h</v>
      </c>
      <c r="H2082" s="3">
        <f t="shared" si="164"/>
        <v>1.3655381807721538E-5</v>
      </c>
      <c r="I2082" s="3">
        <f t="shared" si="165"/>
        <v>0</v>
      </c>
      <c r="J2082" s="3">
        <f t="shared" si="166"/>
        <v>0</v>
      </c>
      <c r="K2082" s="3" t="str">
        <f t="shared" si="167"/>
        <v>U240</v>
      </c>
      <c r="L2082" s="3" cm="1">
        <f t="array" ref="L2082">SUM(($J2082*EXP(-$H2082*12*3600*_xlfn.SEQUENCE(L$1-1))))+$J2082</f>
        <v>0</v>
      </c>
      <c r="M2082" s="3"/>
      <c r="N2082" s="3"/>
    </row>
    <row r="2083" spans="2:14" hidden="1" x14ac:dyDescent="0.2">
      <c r="B2083" s="3">
        <v>92241</v>
      </c>
      <c r="C2083" s="3">
        <v>0</v>
      </c>
      <c r="D2083">
        <v>2080</v>
      </c>
      <c r="E2083" t="e">
        <f>VLOOKUP(B2083,Nuclides!A:F,5,FALSE)</f>
        <v>#N/A</v>
      </c>
      <c r="F2083" t="e">
        <f>VLOOKUP(B2083,Nuclides!A:F,4,FALSE)</f>
        <v>#N/A</v>
      </c>
      <c r="G2083" s="3" t="e">
        <f t="shared" si="163"/>
        <v>#N/A</v>
      </c>
      <c r="H2083" s="3" t="e">
        <f t="shared" si="164"/>
        <v>#N/A</v>
      </c>
      <c r="I2083" s="3" t="e">
        <f t="shared" si="165"/>
        <v>#N/A</v>
      </c>
      <c r="J2083" s="3" t="e">
        <f t="shared" si="166"/>
        <v>#N/A</v>
      </c>
      <c r="K2083" s="3" t="e">
        <f t="shared" si="167"/>
        <v>#N/A</v>
      </c>
      <c r="L2083" s="3" t="e" cm="1">
        <f t="array" ref="L2083">SUM(($J2083*EXP(-$H2083*12*3600*_xlfn.SEQUENCE(L$1-1))))+$J2083</f>
        <v>#N/A</v>
      </c>
      <c r="M2083" s="3"/>
      <c r="N2083" s="3"/>
    </row>
    <row r="2084" spans="2:14" hidden="1" x14ac:dyDescent="0.2">
      <c r="B2084" s="3">
        <v>92242</v>
      </c>
      <c r="C2084" s="3">
        <v>0</v>
      </c>
      <c r="D2084">
        <v>2081</v>
      </c>
      <c r="E2084" t="str">
        <f>VLOOKUP(B2084,Nuclides!A:F,5,FALSE)</f>
        <v>U242</v>
      </c>
      <c r="F2084">
        <f>VLOOKUP(B2084,Nuclides!A:F,4,FALSE)</f>
        <v>1008</v>
      </c>
      <c r="G2084" s="3" t="str">
        <f t="shared" si="163"/>
        <v>16.8min</v>
      </c>
      <c r="H2084" s="3">
        <f t="shared" si="164"/>
        <v>6.8764601246026316E-4</v>
      </c>
      <c r="I2084" s="3">
        <f t="shared" si="165"/>
        <v>0</v>
      </c>
      <c r="J2084" s="3">
        <f t="shared" si="166"/>
        <v>0</v>
      </c>
      <c r="K2084" s="3" t="str">
        <f t="shared" si="167"/>
        <v>U242</v>
      </c>
      <c r="L2084" s="3" cm="1">
        <f t="array" ref="L2084">SUM(($J2084*EXP(-$H2084*12*3600*_xlfn.SEQUENCE(L$1-1))))+$J2084</f>
        <v>0</v>
      </c>
      <c r="M2084" s="3"/>
      <c r="N2084" s="3"/>
    </row>
    <row r="2085" spans="2:14" hidden="1" x14ac:dyDescent="0.2">
      <c r="B2085" s="3">
        <v>93227</v>
      </c>
      <c r="C2085" s="3">
        <v>0</v>
      </c>
      <c r="D2085">
        <v>2082</v>
      </c>
      <c r="E2085" t="str">
        <f>VLOOKUP(B2085,Nuclides!A:F,5,FALSE)</f>
        <v>Np227</v>
      </c>
      <c r="F2085">
        <f>VLOOKUP(B2085,Nuclides!A:F,4,FALSE)</f>
        <v>0.51</v>
      </c>
      <c r="G2085" s="3" t="str">
        <f t="shared" si="163"/>
        <v>0.51s</v>
      </c>
      <c r="H2085" s="3">
        <f t="shared" si="164"/>
        <v>1.3591121187449908</v>
      </c>
      <c r="I2085" s="3">
        <f t="shared" si="165"/>
        <v>0</v>
      </c>
      <c r="J2085" s="3">
        <f t="shared" si="166"/>
        <v>0</v>
      </c>
      <c r="K2085" s="3" t="str">
        <f t="shared" si="167"/>
        <v>Np227</v>
      </c>
      <c r="L2085" s="3" cm="1">
        <f t="array" ref="L2085">SUM(($J2085*EXP(-$H2085*12*3600*_xlfn.SEQUENCE(L$1-1))))+$J2085</f>
        <v>0</v>
      </c>
      <c r="M2085" s="3"/>
      <c r="N2085" s="3"/>
    </row>
    <row r="2086" spans="2:14" hidden="1" x14ac:dyDescent="0.2">
      <c r="B2086" s="3">
        <v>93228</v>
      </c>
      <c r="C2086" s="3">
        <v>0</v>
      </c>
      <c r="D2086">
        <v>2083</v>
      </c>
      <c r="E2086" t="str">
        <f>VLOOKUP(B2086,Nuclides!A:F,5,FALSE)</f>
        <v>Np228</v>
      </c>
      <c r="F2086">
        <f>VLOOKUP(B2086,Nuclides!A:F,4,FALSE)</f>
        <v>61.4</v>
      </c>
      <c r="G2086" s="3" t="str">
        <f t="shared" si="163"/>
        <v>1.02min</v>
      </c>
      <c r="H2086" s="3">
        <f t="shared" si="164"/>
        <v>1.1289042028663604E-2</v>
      </c>
      <c r="I2086" s="3">
        <f t="shared" si="165"/>
        <v>0</v>
      </c>
      <c r="J2086" s="3">
        <f t="shared" si="166"/>
        <v>0</v>
      </c>
      <c r="K2086" s="3" t="str">
        <f t="shared" si="167"/>
        <v>Np228</v>
      </c>
      <c r="L2086" s="3" cm="1">
        <f t="array" ref="L2086">SUM(($J2086*EXP(-$H2086*12*3600*_xlfn.SEQUENCE(L$1-1))))+$J2086</f>
        <v>0</v>
      </c>
      <c r="M2086" s="3"/>
      <c r="N2086" s="3"/>
    </row>
    <row r="2087" spans="2:14" hidden="1" x14ac:dyDescent="0.2">
      <c r="B2087" s="3">
        <v>93229</v>
      </c>
      <c r="C2087" s="3">
        <v>0</v>
      </c>
      <c r="D2087">
        <v>2084</v>
      </c>
      <c r="E2087" t="str">
        <f>VLOOKUP(B2087,Nuclides!A:F,5,FALSE)</f>
        <v>Np229</v>
      </c>
      <c r="F2087">
        <f>VLOOKUP(B2087,Nuclides!A:F,4,FALSE)</f>
        <v>240</v>
      </c>
      <c r="G2087" s="3" t="str">
        <f t="shared" si="163"/>
        <v>4min</v>
      </c>
      <c r="H2087" s="3">
        <f t="shared" si="164"/>
        <v>2.8881132523331052E-3</v>
      </c>
      <c r="I2087" s="3">
        <f t="shared" si="165"/>
        <v>0</v>
      </c>
      <c r="J2087" s="3">
        <f t="shared" si="166"/>
        <v>0</v>
      </c>
      <c r="K2087" s="3" t="str">
        <f t="shared" si="167"/>
        <v>Np229</v>
      </c>
      <c r="L2087" s="3" cm="1">
        <f t="array" ref="L2087">SUM(($J2087*EXP(-$H2087*12*3600*_xlfn.SEQUENCE(L$1-1))))+$J2087</f>
        <v>0</v>
      </c>
      <c r="M2087" s="3"/>
      <c r="N2087" s="3"/>
    </row>
    <row r="2088" spans="2:14" hidden="1" x14ac:dyDescent="0.2">
      <c r="B2088" s="3">
        <v>93230</v>
      </c>
      <c r="C2088" s="3">
        <v>0</v>
      </c>
      <c r="D2088">
        <v>2085</v>
      </c>
      <c r="E2088" t="str">
        <f>VLOOKUP(B2088,Nuclides!A:F,5,FALSE)</f>
        <v>Np230</v>
      </c>
      <c r="F2088">
        <f>VLOOKUP(B2088,Nuclides!A:F,4,FALSE)</f>
        <v>276</v>
      </c>
      <c r="G2088" s="3" t="str">
        <f t="shared" si="163"/>
        <v>4.6min</v>
      </c>
      <c r="H2088" s="3">
        <f t="shared" si="164"/>
        <v>2.5114028281157438E-3</v>
      </c>
      <c r="I2088" s="3">
        <f t="shared" si="165"/>
        <v>0</v>
      </c>
      <c r="J2088" s="3">
        <f t="shared" si="166"/>
        <v>0</v>
      </c>
      <c r="K2088" s="3" t="str">
        <f t="shared" si="167"/>
        <v>Np230</v>
      </c>
      <c r="L2088" s="3" cm="1">
        <f t="array" ref="L2088">SUM(($J2088*EXP(-$H2088*12*3600*_xlfn.SEQUENCE(L$1-1))))+$J2088</f>
        <v>0</v>
      </c>
      <c r="M2088" s="3"/>
      <c r="N2088" s="3"/>
    </row>
    <row r="2089" spans="2:14" hidden="1" x14ac:dyDescent="0.2">
      <c r="B2089" s="3">
        <v>93231</v>
      </c>
      <c r="C2089" s="3">
        <v>0</v>
      </c>
      <c r="D2089">
        <v>2086</v>
      </c>
      <c r="E2089" t="str">
        <f>VLOOKUP(B2089,Nuclides!A:F,5,FALSE)</f>
        <v>Np231</v>
      </c>
      <c r="F2089">
        <f>VLOOKUP(B2089,Nuclides!A:F,4,FALSE)</f>
        <v>2928</v>
      </c>
      <c r="G2089" s="3" t="str">
        <f t="shared" si="163"/>
        <v>48.8min</v>
      </c>
      <c r="H2089" s="3">
        <f t="shared" si="164"/>
        <v>2.3673059445353324E-4</v>
      </c>
      <c r="I2089" s="3">
        <f t="shared" si="165"/>
        <v>0</v>
      </c>
      <c r="J2089" s="3">
        <f t="shared" si="166"/>
        <v>0</v>
      </c>
      <c r="K2089" s="3" t="str">
        <f t="shared" si="167"/>
        <v>Np231</v>
      </c>
      <c r="L2089" s="3" cm="1">
        <f t="array" ref="L2089">SUM(($J2089*EXP(-$H2089*12*3600*_xlfn.SEQUENCE(L$1-1))))+$J2089</f>
        <v>0</v>
      </c>
      <c r="M2089" s="3"/>
      <c r="N2089" s="3"/>
    </row>
    <row r="2090" spans="2:14" hidden="1" x14ac:dyDescent="0.2">
      <c r="B2090" s="3">
        <v>93232</v>
      </c>
      <c r="C2090" s="3">
        <v>0</v>
      </c>
      <c r="D2090">
        <v>2087</v>
      </c>
      <c r="E2090" t="str">
        <f>VLOOKUP(B2090,Nuclides!A:F,5,FALSE)</f>
        <v>Np232</v>
      </c>
      <c r="F2090">
        <f>VLOOKUP(B2090,Nuclides!A:F,4,FALSE)</f>
        <v>882</v>
      </c>
      <c r="G2090" s="3" t="str">
        <f t="shared" si="163"/>
        <v>14.7min</v>
      </c>
      <c r="H2090" s="3">
        <f t="shared" si="164"/>
        <v>7.8588115709744366E-4</v>
      </c>
      <c r="I2090" s="3">
        <f t="shared" si="165"/>
        <v>0</v>
      </c>
      <c r="J2090" s="3">
        <f t="shared" si="166"/>
        <v>0</v>
      </c>
      <c r="K2090" s="3" t="str">
        <f t="shared" si="167"/>
        <v>Np232</v>
      </c>
      <c r="L2090" s="3" cm="1">
        <f t="array" ref="L2090">SUM(($J2090*EXP(-$H2090*12*3600*_xlfn.SEQUENCE(L$1-1))))+$J2090</f>
        <v>0</v>
      </c>
      <c r="M2090" s="3"/>
      <c r="N2090" s="3"/>
    </row>
    <row r="2091" spans="2:14" hidden="1" x14ac:dyDescent="0.2">
      <c r="B2091" s="3">
        <v>93233</v>
      </c>
      <c r="C2091" s="3">
        <v>0</v>
      </c>
      <c r="D2091">
        <v>2088</v>
      </c>
      <c r="E2091" t="str">
        <f>VLOOKUP(B2091,Nuclides!A:F,5,FALSE)</f>
        <v>Np233</v>
      </c>
      <c r="F2091">
        <f>VLOOKUP(B2091,Nuclides!A:F,4,FALSE)</f>
        <v>2172</v>
      </c>
      <c r="G2091" s="3" t="str">
        <f t="shared" si="163"/>
        <v>36.2min</v>
      </c>
      <c r="H2091" s="3">
        <f t="shared" si="164"/>
        <v>3.1912853616940392E-4</v>
      </c>
      <c r="I2091" s="3">
        <f t="shared" si="165"/>
        <v>0</v>
      </c>
      <c r="J2091" s="3">
        <f t="shared" si="166"/>
        <v>0</v>
      </c>
      <c r="K2091" s="3" t="str">
        <f t="shared" si="167"/>
        <v>Np233</v>
      </c>
      <c r="L2091" s="3" cm="1">
        <f t="array" ref="L2091">SUM(($J2091*EXP(-$H2091*12*3600*_xlfn.SEQUENCE(L$1-1))))+$J2091</f>
        <v>0</v>
      </c>
      <c r="M2091" s="3"/>
      <c r="N2091" s="3"/>
    </row>
    <row r="2092" spans="2:14" hidden="1" x14ac:dyDescent="0.2">
      <c r="B2092" s="3">
        <v>93234</v>
      </c>
      <c r="C2092" s="3">
        <v>0</v>
      </c>
      <c r="D2092">
        <v>2089</v>
      </c>
      <c r="E2092" t="str">
        <f>VLOOKUP(B2092,Nuclides!A:F,5,FALSE)</f>
        <v>Np234</v>
      </c>
      <c r="F2092">
        <f>VLOOKUP(B2092,Nuclides!A:F,4,FALSE)</f>
        <v>380160</v>
      </c>
      <c r="G2092" s="3" t="str">
        <f t="shared" si="163"/>
        <v>4.4d</v>
      </c>
      <c r="H2092" s="3">
        <f t="shared" si="164"/>
        <v>1.8233038209173645E-6</v>
      </c>
      <c r="I2092" s="3">
        <f t="shared" si="165"/>
        <v>0</v>
      </c>
      <c r="J2092" s="3">
        <f t="shared" si="166"/>
        <v>0</v>
      </c>
      <c r="K2092" s="3" t="str">
        <f t="shared" si="167"/>
        <v>Np234</v>
      </c>
      <c r="L2092" s="3" cm="1">
        <f t="array" ref="L2092">SUM(($J2092*EXP(-$H2092*12*3600*_xlfn.SEQUENCE(L$1-1))))+$J2092</f>
        <v>0</v>
      </c>
      <c r="M2092" s="3"/>
      <c r="N2092" s="3"/>
    </row>
    <row r="2093" spans="2:14" hidden="1" x14ac:dyDescent="0.2">
      <c r="B2093" s="3">
        <v>93235</v>
      </c>
      <c r="C2093" s="3">
        <v>0</v>
      </c>
      <c r="D2093">
        <v>2090</v>
      </c>
      <c r="E2093" t="str">
        <f>VLOOKUP(B2093,Nuclides!A:F,5,FALSE)</f>
        <v>Np235</v>
      </c>
      <c r="F2093">
        <f>VLOOKUP(B2093,Nuclides!A:F,4,FALSE)</f>
        <v>34223040</v>
      </c>
      <c r="G2093" s="3" t="str">
        <f t="shared" si="163"/>
        <v>1.09y</v>
      </c>
      <c r="H2093" s="3">
        <f t="shared" si="164"/>
        <v>2.025381674333856E-8</v>
      </c>
      <c r="I2093" s="3">
        <f t="shared" si="165"/>
        <v>0</v>
      </c>
      <c r="J2093" s="3">
        <f t="shared" si="166"/>
        <v>0</v>
      </c>
      <c r="K2093" s="3" t="str">
        <f t="shared" si="167"/>
        <v>Np235</v>
      </c>
      <c r="L2093" s="3" cm="1">
        <f t="array" ref="L2093">SUM(($J2093*EXP(-$H2093*12*3600*_xlfn.SEQUENCE(L$1-1))))+$J2093</f>
        <v>0</v>
      </c>
      <c r="M2093" s="3"/>
      <c r="N2093" s="3"/>
    </row>
    <row r="2094" spans="2:14" hidden="1" x14ac:dyDescent="0.2">
      <c r="B2094" s="3">
        <v>93236</v>
      </c>
      <c r="C2094" s="3">
        <v>0</v>
      </c>
      <c r="D2094">
        <v>2091</v>
      </c>
      <c r="E2094" t="str">
        <f>VLOOKUP(B2094,Nuclides!A:F,5,FALSE)</f>
        <v>Np236</v>
      </c>
      <c r="F2094">
        <f>VLOOKUP(B2094,Nuclides!A:F,4,FALSE)</f>
        <v>4828312800000</v>
      </c>
      <c r="G2094" s="3" t="str">
        <f t="shared" si="163"/>
        <v>153104.79y</v>
      </c>
      <c r="H2094" s="3">
        <f t="shared" si="164"/>
        <v>1.4355888055967404E-13</v>
      </c>
      <c r="I2094" s="3">
        <f t="shared" si="165"/>
        <v>0</v>
      </c>
      <c r="J2094" s="3">
        <f t="shared" si="166"/>
        <v>0</v>
      </c>
      <c r="K2094" s="3" t="str">
        <f t="shared" si="167"/>
        <v>Np236</v>
      </c>
      <c r="L2094" s="3" cm="1">
        <f t="array" ref="L2094">SUM(($J2094*EXP(-$H2094*12*3600*_xlfn.SEQUENCE(L$1-1))))+$J2094</f>
        <v>0</v>
      </c>
      <c r="M2094" s="3"/>
      <c r="N2094" s="3"/>
    </row>
    <row r="2095" spans="2:14" hidden="1" x14ac:dyDescent="0.2">
      <c r="B2095" s="3">
        <v>93237</v>
      </c>
      <c r="C2095" s="3">
        <v>0</v>
      </c>
      <c r="D2095">
        <v>2092</v>
      </c>
      <c r="E2095" t="str">
        <f>VLOOKUP(B2095,Nuclides!A:F,5,FALSE)</f>
        <v>Np237</v>
      </c>
      <c r="F2095">
        <f>VLOOKUP(B2095,Nuclides!A:F,4,FALSE)</f>
        <v>67659494400000</v>
      </c>
      <c r="G2095" s="3" t="str">
        <f t="shared" si="163"/>
        <v>2145468.49y</v>
      </c>
      <c r="H2095" s="3">
        <f t="shared" si="164"/>
        <v>1.0244640263820023E-14</v>
      </c>
      <c r="I2095" s="3">
        <f t="shared" si="165"/>
        <v>0</v>
      </c>
      <c r="J2095" s="3">
        <f t="shared" si="166"/>
        <v>0</v>
      </c>
      <c r="K2095" s="3" t="str">
        <f t="shared" si="167"/>
        <v>Np237</v>
      </c>
      <c r="L2095" s="3" cm="1">
        <f t="array" ref="L2095">SUM(($J2095*EXP(-$H2095*12*3600*_xlfn.SEQUENCE(L$1-1))))+$J2095</f>
        <v>0</v>
      </c>
      <c r="M2095" s="3"/>
      <c r="N2095" s="3"/>
    </row>
    <row r="2096" spans="2:14" hidden="1" x14ac:dyDescent="0.2">
      <c r="B2096" s="3">
        <v>93238</v>
      </c>
      <c r="C2096" s="3">
        <v>0</v>
      </c>
      <c r="D2096">
        <v>2093</v>
      </c>
      <c r="E2096" t="str">
        <f>VLOOKUP(B2096,Nuclides!A:F,5,FALSE)</f>
        <v>Np238</v>
      </c>
      <c r="F2096">
        <f>VLOOKUP(B2096,Nuclides!A:F,4,FALSE)</f>
        <v>182908.79999999999</v>
      </c>
      <c r="G2096" s="3" t="str">
        <f t="shared" si="163"/>
        <v>2.12d</v>
      </c>
      <c r="H2096" s="3">
        <f t="shared" si="164"/>
        <v>3.7895780878773757E-6</v>
      </c>
      <c r="I2096" s="3">
        <f t="shared" si="165"/>
        <v>0</v>
      </c>
      <c r="J2096" s="3">
        <f t="shared" si="166"/>
        <v>0</v>
      </c>
      <c r="K2096" s="3" t="str">
        <f t="shared" si="167"/>
        <v>Np238</v>
      </c>
      <c r="L2096" s="3" cm="1">
        <f t="array" ref="L2096">SUM(($J2096*EXP(-$H2096*12*3600*_xlfn.SEQUENCE(L$1-1))))+$J2096</f>
        <v>0</v>
      </c>
      <c r="M2096" s="3"/>
      <c r="N2096" s="3"/>
    </row>
    <row r="2097" spans="2:14" hidden="1" x14ac:dyDescent="0.2">
      <c r="B2097" s="3">
        <v>93239</v>
      </c>
      <c r="C2097" s="3">
        <v>0</v>
      </c>
      <c r="D2097">
        <v>2094</v>
      </c>
      <c r="E2097" t="str">
        <f>VLOOKUP(B2097,Nuclides!A:F,5,FALSE)</f>
        <v>Np239</v>
      </c>
      <c r="F2097">
        <f>VLOOKUP(B2097,Nuclides!A:F,4,FALSE)</f>
        <v>203558.39999999999</v>
      </c>
      <c r="G2097" s="3" t="str">
        <f t="shared" si="163"/>
        <v>2.36d</v>
      </c>
      <c r="H2097" s="3">
        <f t="shared" si="164"/>
        <v>3.405151448232769E-6</v>
      </c>
      <c r="I2097" s="3">
        <f t="shared" si="165"/>
        <v>0</v>
      </c>
      <c r="J2097" s="3">
        <f t="shared" si="166"/>
        <v>0</v>
      </c>
      <c r="K2097" s="3" t="str">
        <f t="shared" si="167"/>
        <v>Np239</v>
      </c>
      <c r="L2097" s="3" cm="1">
        <f t="array" ref="L2097">SUM(($J2097*EXP(-$H2097*12*3600*_xlfn.SEQUENCE(L$1-1))))+$J2097</f>
        <v>0</v>
      </c>
      <c r="M2097" s="3"/>
      <c r="N2097" s="3"/>
    </row>
    <row r="2098" spans="2:14" hidden="1" x14ac:dyDescent="0.2">
      <c r="B2098" s="3">
        <v>93240</v>
      </c>
      <c r="C2098" s="3">
        <v>0</v>
      </c>
      <c r="D2098">
        <v>2095</v>
      </c>
      <c r="E2098" t="str">
        <f>VLOOKUP(B2098,Nuclides!A:F,5,FALSE)</f>
        <v>Np240</v>
      </c>
      <c r="F2098">
        <f>VLOOKUP(B2098,Nuclides!A:F,4,FALSE)</f>
        <v>3714</v>
      </c>
      <c r="G2098" s="3" t="str">
        <f t="shared" si="163"/>
        <v>1.03h</v>
      </c>
      <c r="H2098" s="3">
        <f t="shared" si="164"/>
        <v>1.8663090483574186E-4</v>
      </c>
      <c r="I2098" s="3">
        <f t="shared" si="165"/>
        <v>0</v>
      </c>
      <c r="J2098" s="3">
        <f t="shared" si="166"/>
        <v>0</v>
      </c>
      <c r="K2098" s="3" t="str">
        <f t="shared" si="167"/>
        <v>Np240</v>
      </c>
      <c r="L2098" s="3" cm="1">
        <f t="array" ref="L2098">SUM(($J2098*EXP(-$H2098*12*3600*_xlfn.SEQUENCE(L$1-1))))+$J2098</f>
        <v>0</v>
      </c>
      <c r="M2098" s="3"/>
      <c r="N2098" s="3"/>
    </row>
    <row r="2099" spans="2:14" hidden="1" x14ac:dyDescent="0.2">
      <c r="B2099" s="3">
        <v>93241</v>
      </c>
      <c r="C2099" s="3">
        <v>0</v>
      </c>
      <c r="D2099">
        <v>2096</v>
      </c>
      <c r="E2099" t="str">
        <f>VLOOKUP(B2099,Nuclides!A:F,5,FALSE)</f>
        <v>Np241</v>
      </c>
      <c r="F2099">
        <f>VLOOKUP(B2099,Nuclides!A:F,4,FALSE)</f>
        <v>834</v>
      </c>
      <c r="G2099" s="3" t="str">
        <f t="shared" si="163"/>
        <v>13.9min</v>
      </c>
      <c r="H2099" s="3">
        <f t="shared" si="164"/>
        <v>8.3111172729010221E-4</v>
      </c>
      <c r="I2099" s="3">
        <f t="shared" si="165"/>
        <v>0</v>
      </c>
      <c r="J2099" s="3">
        <f t="shared" si="166"/>
        <v>0</v>
      </c>
      <c r="K2099" s="3" t="str">
        <f t="shared" si="167"/>
        <v>Np241</v>
      </c>
      <c r="L2099" s="3" cm="1">
        <f t="array" ref="L2099">SUM(($J2099*EXP(-$H2099*12*3600*_xlfn.SEQUENCE(L$1-1))))+$J2099</f>
        <v>0</v>
      </c>
      <c r="M2099" s="3"/>
      <c r="N2099" s="3"/>
    </row>
    <row r="2100" spans="2:14" hidden="1" x14ac:dyDescent="0.2">
      <c r="B2100" s="3">
        <v>93242</v>
      </c>
      <c r="C2100" s="3">
        <v>0</v>
      </c>
      <c r="D2100">
        <v>2097</v>
      </c>
      <c r="E2100" t="str">
        <f>VLOOKUP(B2100,Nuclides!A:F,5,FALSE)</f>
        <v>Np242</v>
      </c>
      <c r="F2100">
        <f>VLOOKUP(B2100,Nuclides!A:F,4,FALSE)</f>
        <v>132</v>
      </c>
      <c r="G2100" s="3" t="str">
        <f t="shared" si="163"/>
        <v>2.2min</v>
      </c>
      <c r="H2100" s="3">
        <f t="shared" si="164"/>
        <v>5.2511150042420102E-3</v>
      </c>
      <c r="I2100" s="3">
        <f t="shared" si="165"/>
        <v>0</v>
      </c>
      <c r="J2100" s="3">
        <f t="shared" si="166"/>
        <v>0</v>
      </c>
      <c r="K2100" s="3" t="str">
        <f t="shared" si="167"/>
        <v>Np242</v>
      </c>
      <c r="L2100" s="3" cm="1">
        <f t="array" ref="L2100">SUM(($J2100*EXP(-$H2100*12*3600*_xlfn.SEQUENCE(L$1-1))))+$J2100</f>
        <v>0</v>
      </c>
      <c r="M2100" s="3"/>
      <c r="N2100" s="3"/>
    </row>
    <row r="2101" spans="2:14" hidden="1" x14ac:dyDescent="0.2">
      <c r="B2101" s="3">
        <v>94232</v>
      </c>
      <c r="C2101" s="3">
        <v>0</v>
      </c>
      <c r="D2101">
        <v>2098</v>
      </c>
      <c r="E2101" t="str">
        <f>VLOOKUP(B2101,Nuclides!A:F,5,FALSE)</f>
        <v>Pu232</v>
      </c>
      <c r="F2101">
        <f>VLOOKUP(B2101,Nuclides!A:F,4,FALSE)</f>
        <v>2027.99999999999</v>
      </c>
      <c r="G2101" s="3" t="str">
        <f t="shared" si="163"/>
        <v>33.8min</v>
      </c>
      <c r="H2101" s="3">
        <f t="shared" si="164"/>
        <v>3.417885505719668E-4</v>
      </c>
      <c r="I2101" s="3">
        <f t="shared" si="165"/>
        <v>0</v>
      </c>
      <c r="J2101" s="3">
        <f t="shared" si="166"/>
        <v>0</v>
      </c>
      <c r="K2101" s="3" t="str">
        <f t="shared" si="167"/>
        <v>Pu232</v>
      </c>
      <c r="L2101" s="3" cm="1">
        <f t="array" ref="L2101">SUM(($J2101*EXP(-$H2101*12*3600*_xlfn.SEQUENCE(L$1-1))))+$J2101</f>
        <v>0</v>
      </c>
      <c r="M2101" s="3"/>
      <c r="N2101" s="3"/>
    </row>
    <row r="2102" spans="2:14" hidden="1" x14ac:dyDescent="0.2">
      <c r="B2102" s="3">
        <v>94233</v>
      </c>
      <c r="C2102" s="3">
        <v>0</v>
      </c>
      <c r="D2102">
        <v>2099</v>
      </c>
      <c r="E2102" t="str">
        <f>VLOOKUP(B2102,Nuclides!A:F,5,FALSE)</f>
        <v>Pu233</v>
      </c>
      <c r="F2102">
        <f>VLOOKUP(B2102,Nuclides!A:F,4,FALSE)</f>
        <v>1254</v>
      </c>
      <c r="G2102" s="3" t="str">
        <f t="shared" si="163"/>
        <v>20.9min</v>
      </c>
      <c r="H2102" s="3">
        <f t="shared" si="164"/>
        <v>5.5274894781494842E-4</v>
      </c>
      <c r="I2102" s="3">
        <f t="shared" si="165"/>
        <v>0</v>
      </c>
      <c r="J2102" s="3">
        <f t="shared" si="166"/>
        <v>0</v>
      </c>
      <c r="K2102" s="3" t="str">
        <f t="shared" si="167"/>
        <v>Pu233</v>
      </c>
      <c r="L2102" s="3" cm="1">
        <f t="array" ref="L2102">SUM(($J2102*EXP(-$H2102*12*3600*_xlfn.SEQUENCE(L$1-1))))+$J2102</f>
        <v>0</v>
      </c>
      <c r="M2102" s="3"/>
      <c r="N2102" s="3"/>
    </row>
    <row r="2103" spans="2:14" hidden="1" x14ac:dyDescent="0.2">
      <c r="B2103" s="3">
        <v>94234</v>
      </c>
      <c r="C2103" s="3">
        <v>0</v>
      </c>
      <c r="D2103">
        <v>2100</v>
      </c>
      <c r="E2103" t="str">
        <f>VLOOKUP(B2103,Nuclides!A:F,5,FALSE)</f>
        <v>Pu234</v>
      </c>
      <c r="F2103">
        <f>VLOOKUP(B2103,Nuclides!A:F,4,FALSE)</f>
        <v>31680</v>
      </c>
      <c r="G2103" s="3" t="str">
        <f t="shared" si="163"/>
        <v>8.8h</v>
      </c>
      <c r="H2103" s="3">
        <f t="shared" si="164"/>
        <v>2.1879645851008374E-5</v>
      </c>
      <c r="I2103" s="3">
        <f t="shared" si="165"/>
        <v>0</v>
      </c>
      <c r="J2103" s="3">
        <f t="shared" si="166"/>
        <v>0</v>
      </c>
      <c r="K2103" s="3" t="str">
        <f t="shared" si="167"/>
        <v>Pu234</v>
      </c>
      <c r="L2103" s="3" cm="1">
        <f t="array" ref="L2103">SUM(($J2103*EXP(-$H2103*12*3600*_xlfn.SEQUENCE(L$1-1))))+$J2103</f>
        <v>0</v>
      </c>
      <c r="M2103" s="3"/>
      <c r="N2103" s="3"/>
    </row>
    <row r="2104" spans="2:14" hidden="1" x14ac:dyDescent="0.2">
      <c r="B2104" s="3">
        <v>94235</v>
      </c>
      <c r="C2104" s="3">
        <v>0</v>
      </c>
      <c r="D2104">
        <v>2101</v>
      </c>
      <c r="E2104" t="str">
        <f>VLOOKUP(B2104,Nuclides!A:F,5,FALSE)</f>
        <v>Pu235</v>
      </c>
      <c r="F2104">
        <f>VLOOKUP(B2104,Nuclides!A:F,4,FALSE)</f>
        <v>1518</v>
      </c>
      <c r="G2104" s="3" t="str">
        <f t="shared" si="163"/>
        <v>25.3min</v>
      </c>
      <c r="H2104" s="3">
        <f t="shared" si="164"/>
        <v>4.5661869602104435E-4</v>
      </c>
      <c r="I2104" s="3">
        <f t="shared" si="165"/>
        <v>0</v>
      </c>
      <c r="J2104" s="3">
        <f t="shared" si="166"/>
        <v>0</v>
      </c>
      <c r="K2104" s="3" t="str">
        <f t="shared" si="167"/>
        <v>Pu235</v>
      </c>
      <c r="L2104" s="3" cm="1">
        <f t="array" ref="L2104">SUM(($J2104*EXP(-$H2104*12*3600*_xlfn.SEQUENCE(L$1-1))))+$J2104</f>
        <v>0</v>
      </c>
      <c r="M2104" s="3"/>
      <c r="N2104" s="3"/>
    </row>
    <row r="2105" spans="2:14" hidden="1" x14ac:dyDescent="0.2">
      <c r="B2105" s="3">
        <v>94236</v>
      </c>
      <c r="C2105" s="3">
        <v>0</v>
      </c>
      <c r="D2105">
        <v>2102</v>
      </c>
      <c r="E2105" t="str">
        <f>VLOOKUP(B2105,Nuclides!A:F,5,FALSE)</f>
        <v>Pu236</v>
      </c>
      <c r="F2105">
        <f>VLOOKUP(B2105,Nuclides!A:F,4,FALSE)</f>
        <v>90191620.799999997</v>
      </c>
      <c r="G2105" s="3" t="str">
        <f t="shared" si="163"/>
        <v>2.86y</v>
      </c>
      <c r="H2105" s="3">
        <f t="shared" si="164"/>
        <v>7.6852724722288765E-9</v>
      </c>
      <c r="I2105" s="3">
        <f t="shared" si="165"/>
        <v>0</v>
      </c>
      <c r="J2105" s="3">
        <f t="shared" si="166"/>
        <v>0</v>
      </c>
      <c r="K2105" s="3" t="str">
        <f t="shared" si="167"/>
        <v>Pu236</v>
      </c>
      <c r="L2105" s="3" cm="1">
        <f t="array" ref="L2105">SUM(($J2105*EXP(-$H2105*12*3600*_xlfn.SEQUENCE(L$1-1))))+$J2105</f>
        <v>0</v>
      </c>
      <c r="M2105" s="3"/>
      <c r="N2105" s="3"/>
    </row>
    <row r="2106" spans="2:14" hidden="1" x14ac:dyDescent="0.2">
      <c r="B2106" s="3">
        <v>94237</v>
      </c>
      <c r="C2106" s="3">
        <v>0</v>
      </c>
      <c r="D2106">
        <v>2103</v>
      </c>
      <c r="E2106" t="str">
        <f>VLOOKUP(B2106,Nuclides!A:F,5,FALSE)</f>
        <v>Pu237</v>
      </c>
      <c r="F2106">
        <f>VLOOKUP(B2106,Nuclides!A:F,4,FALSE)</f>
        <v>3943296</v>
      </c>
      <c r="G2106" s="3" t="str">
        <f t="shared" si="163"/>
        <v>45.64d</v>
      </c>
      <c r="H2106" s="3">
        <f t="shared" si="164"/>
        <v>1.7577863304198956E-7</v>
      </c>
      <c r="I2106" s="3">
        <f t="shared" si="165"/>
        <v>0</v>
      </c>
      <c r="J2106" s="3">
        <f t="shared" si="166"/>
        <v>0</v>
      </c>
      <c r="K2106" s="3" t="str">
        <f t="shared" si="167"/>
        <v>Pu237</v>
      </c>
      <c r="L2106" s="3" cm="1">
        <f t="array" ref="L2106">SUM(($J2106*EXP(-$H2106*12*3600*_xlfn.SEQUENCE(L$1-1))))+$J2106</f>
        <v>0</v>
      </c>
      <c r="M2106" s="3"/>
      <c r="N2106" s="3"/>
    </row>
    <row r="2107" spans="2:14" hidden="1" x14ac:dyDescent="0.2">
      <c r="B2107" s="3">
        <v>94238</v>
      </c>
      <c r="C2107" s="3">
        <v>0</v>
      </c>
      <c r="D2107">
        <v>2104</v>
      </c>
      <c r="E2107" t="str">
        <f>VLOOKUP(B2107,Nuclides!A:F,5,FALSE)</f>
        <v>Pu238</v>
      </c>
      <c r="F2107">
        <f>VLOOKUP(B2107,Nuclides!A:F,4,FALSE)</f>
        <v>2767601520</v>
      </c>
      <c r="G2107" s="3" t="str">
        <f t="shared" si="163"/>
        <v>87.76y</v>
      </c>
      <c r="H2107" s="3">
        <f t="shared" si="164"/>
        <v>2.5045049858187148E-10</v>
      </c>
      <c r="I2107" s="3">
        <f t="shared" si="165"/>
        <v>0</v>
      </c>
      <c r="J2107" s="3">
        <f t="shared" si="166"/>
        <v>0</v>
      </c>
      <c r="K2107" s="3" t="str">
        <f t="shared" si="167"/>
        <v>Pu238</v>
      </c>
      <c r="L2107" s="3" cm="1">
        <f t="array" ref="L2107">SUM(($J2107*EXP(-$H2107*12*3600*_xlfn.SEQUENCE(L$1-1))))+$J2107</f>
        <v>0</v>
      </c>
      <c r="M2107" s="3"/>
      <c r="N2107" s="3"/>
    </row>
    <row r="2108" spans="2:14" hidden="1" x14ac:dyDescent="0.2">
      <c r="B2108" s="3">
        <v>94239</v>
      </c>
      <c r="C2108" s="3">
        <v>0</v>
      </c>
      <c r="D2108">
        <v>2105</v>
      </c>
      <c r="E2108" t="str">
        <f>VLOOKUP(B2108,Nuclides!A:F,5,FALSE)</f>
        <v>Pu239</v>
      </c>
      <c r="F2108">
        <f>VLOOKUP(B2108,Nuclides!A:F,4,FALSE)</f>
        <v>760853736000</v>
      </c>
      <c r="G2108" s="3" t="str">
        <f t="shared" si="163"/>
        <v>24126.51y</v>
      </c>
      <c r="H2108" s="3">
        <f t="shared" si="164"/>
        <v>9.1101239011323636E-13</v>
      </c>
      <c r="I2108" s="3">
        <f t="shared" si="165"/>
        <v>0</v>
      </c>
      <c r="J2108" s="3">
        <f t="shared" si="166"/>
        <v>0</v>
      </c>
      <c r="K2108" s="3" t="str">
        <f t="shared" si="167"/>
        <v>Pu239</v>
      </c>
      <c r="L2108" s="3" cm="1">
        <f t="array" ref="L2108">SUM(($J2108*EXP(-$H2108*12*3600*_xlfn.SEQUENCE(L$1-1))))+$J2108</f>
        <v>0</v>
      </c>
      <c r="M2108" s="3"/>
      <c r="N2108" s="3"/>
    </row>
    <row r="2109" spans="2:14" hidden="1" x14ac:dyDescent="0.2">
      <c r="B2109" s="3">
        <v>94240</v>
      </c>
      <c r="C2109" s="3">
        <v>0</v>
      </c>
      <c r="D2109">
        <v>2106</v>
      </c>
      <c r="E2109" t="str">
        <f>VLOOKUP(B2109,Nuclides!A:F,5,FALSE)</f>
        <v>Pu240</v>
      </c>
      <c r="F2109">
        <f>VLOOKUP(B2109,Nuclides!A:F,4,FALSE)</f>
        <v>207049413600</v>
      </c>
      <c r="G2109" s="3" t="str">
        <f t="shared" si="163"/>
        <v>6565.49y</v>
      </c>
      <c r="H2109" s="3">
        <f t="shared" si="164"/>
        <v>3.3477379554382146E-12</v>
      </c>
      <c r="I2109" s="3">
        <f t="shared" si="165"/>
        <v>0</v>
      </c>
      <c r="J2109" s="3">
        <f t="shared" si="166"/>
        <v>0</v>
      </c>
      <c r="K2109" s="3" t="str">
        <f t="shared" si="167"/>
        <v>Pu240</v>
      </c>
      <c r="L2109" s="3" cm="1">
        <f t="array" ref="L2109">SUM(($J2109*EXP(-$H2109*12*3600*_xlfn.SEQUENCE(L$1-1))))+$J2109</f>
        <v>0</v>
      </c>
      <c r="M2109" s="3"/>
      <c r="N2109" s="3"/>
    </row>
    <row r="2110" spans="2:14" hidden="1" x14ac:dyDescent="0.2">
      <c r="B2110" s="3">
        <v>94241</v>
      </c>
      <c r="C2110" s="3">
        <v>0</v>
      </c>
      <c r="D2110">
        <v>2107</v>
      </c>
      <c r="E2110" t="str">
        <f>VLOOKUP(B2110,Nuclides!A:F,5,FALSE)</f>
        <v>Pu241</v>
      </c>
      <c r="F2110">
        <f>VLOOKUP(B2110,Nuclides!A:F,4,FALSE)</f>
        <v>452188850.39999998</v>
      </c>
      <c r="G2110" s="3" t="str">
        <f t="shared" si="163"/>
        <v>14.34y</v>
      </c>
      <c r="H2110" s="3">
        <f t="shared" si="164"/>
        <v>1.5328710116288734E-9</v>
      </c>
      <c r="I2110" s="3">
        <f t="shared" si="165"/>
        <v>0</v>
      </c>
      <c r="J2110" s="3">
        <f t="shared" si="166"/>
        <v>0</v>
      </c>
      <c r="K2110" s="3" t="str">
        <f t="shared" si="167"/>
        <v>Pu241</v>
      </c>
      <c r="L2110" s="3" cm="1">
        <f t="array" ref="L2110">SUM(($J2110*EXP(-$H2110*12*3600*_xlfn.SEQUENCE(L$1-1))))+$J2110</f>
        <v>0</v>
      </c>
      <c r="M2110" s="3"/>
      <c r="N2110" s="3"/>
    </row>
    <row r="2111" spans="2:14" hidden="1" x14ac:dyDescent="0.2">
      <c r="B2111" s="3">
        <v>94242</v>
      </c>
      <c r="C2111" s="3">
        <v>0</v>
      </c>
      <c r="D2111">
        <v>2108</v>
      </c>
      <c r="E2111" t="str">
        <f>VLOOKUP(B2111,Nuclides!A:F,5,FALSE)</f>
        <v>Pu242</v>
      </c>
      <c r="F2111">
        <f>VLOOKUP(B2111,Nuclides!A:F,4,FALSE)</f>
        <v>11834100000000</v>
      </c>
      <c r="G2111" s="3" t="str">
        <f t="shared" si="163"/>
        <v>375256.85y</v>
      </c>
      <c r="H2111" s="3">
        <f t="shared" si="164"/>
        <v>5.8572023268347008E-14</v>
      </c>
      <c r="I2111" s="3">
        <f t="shared" si="165"/>
        <v>0</v>
      </c>
      <c r="J2111" s="3">
        <f t="shared" si="166"/>
        <v>0</v>
      </c>
      <c r="K2111" s="3" t="str">
        <f t="shared" si="167"/>
        <v>Pu242</v>
      </c>
      <c r="L2111" s="3" cm="1">
        <f t="array" ref="L2111">SUM(($J2111*EXP(-$H2111*12*3600*_xlfn.SEQUENCE(L$1-1))))+$J2111</f>
        <v>0</v>
      </c>
      <c r="M2111" s="3"/>
      <c r="N2111" s="3"/>
    </row>
    <row r="2112" spans="2:14" hidden="1" x14ac:dyDescent="0.2">
      <c r="B2112" s="3">
        <v>94243</v>
      </c>
      <c r="C2112" s="3">
        <v>0</v>
      </c>
      <c r="D2112">
        <v>2109</v>
      </c>
      <c r="E2112" t="str">
        <f>VLOOKUP(B2112,Nuclides!A:F,5,FALSE)</f>
        <v>Pu243</v>
      </c>
      <c r="F2112">
        <f>VLOOKUP(B2112,Nuclides!A:F,4,FALSE)</f>
        <v>17841.599999999999</v>
      </c>
      <c r="G2112" s="3" t="str">
        <f t="shared" si="163"/>
        <v>4.96h</v>
      </c>
      <c r="H2112" s="3">
        <f t="shared" si="164"/>
        <v>3.8850057201144817E-5</v>
      </c>
      <c r="I2112" s="3">
        <f t="shared" si="165"/>
        <v>0</v>
      </c>
      <c r="J2112" s="3">
        <f t="shared" si="166"/>
        <v>0</v>
      </c>
      <c r="K2112" s="3" t="str">
        <f t="shared" si="167"/>
        <v>Pu243</v>
      </c>
      <c r="L2112" s="3" cm="1">
        <f t="array" ref="L2112">SUM(($J2112*EXP(-$H2112*12*3600*_xlfn.SEQUENCE(L$1-1))))+$J2112</f>
        <v>0</v>
      </c>
      <c r="M2112" s="3"/>
      <c r="N2112" s="3"/>
    </row>
    <row r="2113" spans="2:14" hidden="1" x14ac:dyDescent="0.2">
      <c r="B2113" s="3">
        <v>94244</v>
      </c>
      <c r="C2113" s="3">
        <v>0</v>
      </c>
      <c r="D2113">
        <v>2110</v>
      </c>
      <c r="E2113" t="str">
        <f>VLOOKUP(B2113,Nuclides!A:F,5,FALSE)</f>
        <v>Pu244</v>
      </c>
      <c r="F2113">
        <f>VLOOKUP(B2113,Nuclides!A:F,4,FALSE)</f>
        <v>2524608000000000</v>
      </c>
      <c r="G2113" s="3" t="str">
        <f t="shared" si="163"/>
        <v>80054794.52y</v>
      </c>
      <c r="H2113" s="3">
        <f t="shared" si="164"/>
        <v>2.7455635907037656E-16</v>
      </c>
      <c r="I2113" s="3">
        <f t="shared" si="165"/>
        <v>0</v>
      </c>
      <c r="J2113" s="3">
        <f t="shared" si="166"/>
        <v>0</v>
      </c>
      <c r="K2113" s="3" t="str">
        <f t="shared" si="167"/>
        <v>Pu244</v>
      </c>
      <c r="L2113" s="3" cm="1">
        <f t="array" ref="L2113">SUM(($J2113*EXP(-$H2113*12*3600*_xlfn.SEQUENCE(L$1-1))))+$J2113</f>
        <v>0</v>
      </c>
      <c r="M2113" s="3"/>
      <c r="N2113" s="3"/>
    </row>
    <row r="2114" spans="2:14" hidden="1" x14ac:dyDescent="0.2">
      <c r="B2114" s="3">
        <v>94245</v>
      </c>
      <c r="C2114" s="3">
        <v>0</v>
      </c>
      <c r="D2114">
        <v>2111</v>
      </c>
      <c r="E2114" t="str">
        <f>VLOOKUP(B2114,Nuclides!A:F,5,FALSE)</f>
        <v>Pu245</v>
      </c>
      <c r="F2114">
        <f>VLOOKUP(B2114,Nuclides!A:F,4,FALSE)</f>
        <v>37800</v>
      </c>
      <c r="G2114" s="3" t="str">
        <f t="shared" si="163"/>
        <v>10.5h</v>
      </c>
      <c r="H2114" s="3">
        <f t="shared" si="164"/>
        <v>1.833722699894035E-5</v>
      </c>
      <c r="I2114" s="3">
        <f t="shared" si="165"/>
        <v>0</v>
      </c>
      <c r="J2114" s="3">
        <f t="shared" si="166"/>
        <v>0</v>
      </c>
      <c r="K2114" s="3" t="str">
        <f t="shared" si="167"/>
        <v>Pu245</v>
      </c>
      <c r="L2114" s="3" cm="1">
        <f t="array" ref="L2114">SUM(($J2114*EXP(-$H2114*12*3600*_xlfn.SEQUENCE(L$1-1))))+$J2114</f>
        <v>0</v>
      </c>
      <c r="M2114" s="3"/>
      <c r="N2114" s="3"/>
    </row>
    <row r="2115" spans="2:14" hidden="1" x14ac:dyDescent="0.2">
      <c r="B2115" s="3">
        <v>94246</v>
      </c>
      <c r="C2115" s="3">
        <v>0</v>
      </c>
      <c r="D2115">
        <v>2112</v>
      </c>
      <c r="E2115" t="str">
        <f>VLOOKUP(B2115,Nuclides!A:F,5,FALSE)</f>
        <v>Pu246</v>
      </c>
      <c r="F2115">
        <f>VLOOKUP(B2115,Nuclides!A:F,4,FALSE)</f>
        <v>936576</v>
      </c>
      <c r="G2115" s="3" t="str">
        <f t="shared" si="163"/>
        <v>10.84d</v>
      </c>
      <c r="H2115" s="3">
        <f t="shared" si="164"/>
        <v>7.4008642177457594E-7</v>
      </c>
      <c r="I2115" s="3">
        <f t="shared" si="165"/>
        <v>0</v>
      </c>
      <c r="J2115" s="3">
        <f t="shared" si="166"/>
        <v>0</v>
      </c>
      <c r="K2115" s="3" t="str">
        <f t="shared" si="167"/>
        <v>Pu246</v>
      </c>
      <c r="L2115" s="3" cm="1">
        <f t="array" ref="L2115">SUM(($J2115*EXP(-$H2115*12*3600*_xlfn.SEQUENCE(L$1-1))))+$J2115</f>
        <v>0</v>
      </c>
      <c r="M2115" s="3"/>
      <c r="N2115" s="3"/>
    </row>
    <row r="2116" spans="2:14" hidden="1" x14ac:dyDescent="0.2">
      <c r="B2116" s="3">
        <v>95232</v>
      </c>
      <c r="C2116" s="3">
        <v>0</v>
      </c>
      <c r="D2116">
        <v>2113</v>
      </c>
      <c r="E2116" t="str">
        <f>VLOOKUP(B2116,Nuclides!A:F,5,FALSE)</f>
        <v>Am232</v>
      </c>
      <c r="F2116">
        <f>VLOOKUP(B2116,Nuclides!A:F,4,FALSE)</f>
        <v>79</v>
      </c>
      <c r="G2116" s="3" t="str">
        <f t="shared" ref="G2116:G2179" si="168">IF(F2116="STABLE", "STABLE", IF(F2116&lt;60, F2116&amp;"s", IF(F2116&lt;3600, ROUND(F2116/60,2)&amp;"min", IF(F2116&lt;86400, ROUND(F2116/3600,2)&amp;"h", IF(F2116&lt;31536000, ROUND(F2116/86400,2)&amp;"d", ROUND(F2116/31536000,2)&amp;"y")))))</f>
        <v>1.32min</v>
      </c>
      <c r="H2116" s="3">
        <f t="shared" ref="H2116:H2179" si="169">LN(2)/F2116</f>
        <v>8.7740149437967752E-3</v>
      </c>
      <c r="I2116" s="3">
        <f t="shared" ref="I2116:I2179" si="170">100*6240000000000*C2116*(1-EXP(-H2116*2*3600))</f>
        <v>0</v>
      </c>
      <c r="J2116" s="3">
        <f t="shared" ref="J2116:J2179" si="171">I2116*EXP(-H2116*10*3600)</f>
        <v>0</v>
      </c>
      <c r="K2116" s="3" t="str">
        <f t="shared" ref="K2116:K2179" si="172">E2116</f>
        <v>Am232</v>
      </c>
      <c r="L2116" s="3" cm="1">
        <f t="array" ref="L2116">SUM(($J2116*EXP(-$H2116*12*3600*_xlfn.SEQUENCE(L$1-1))))+$J2116</f>
        <v>0</v>
      </c>
      <c r="M2116" s="3"/>
      <c r="N2116" s="3"/>
    </row>
    <row r="2117" spans="2:14" hidden="1" x14ac:dyDescent="0.2">
      <c r="B2117" s="3">
        <v>95233</v>
      </c>
      <c r="C2117" s="3">
        <v>0</v>
      </c>
      <c r="D2117">
        <v>2114</v>
      </c>
      <c r="E2117" t="str">
        <f>VLOOKUP(B2117,Nuclides!A:F,5,FALSE)</f>
        <v>Am233</v>
      </c>
      <c r="F2117">
        <f>VLOOKUP(B2117,Nuclides!A:F,4,FALSE)</f>
        <v>192</v>
      </c>
      <c r="G2117" s="3" t="str">
        <f t="shared" si="168"/>
        <v>3.2min</v>
      </c>
      <c r="H2117" s="3">
        <f t="shared" si="169"/>
        <v>3.6101415654163816E-3</v>
      </c>
      <c r="I2117" s="3">
        <f t="shared" si="170"/>
        <v>0</v>
      </c>
      <c r="J2117" s="3">
        <f t="shared" si="171"/>
        <v>0</v>
      </c>
      <c r="K2117" s="3" t="str">
        <f t="shared" si="172"/>
        <v>Am233</v>
      </c>
      <c r="L2117" s="3" cm="1">
        <f t="array" ref="L2117">SUM(($J2117*EXP(-$H2117*12*3600*_xlfn.SEQUENCE(L$1-1))))+$J2117</f>
        <v>0</v>
      </c>
      <c r="M2117" s="3"/>
      <c r="N2117" s="3"/>
    </row>
    <row r="2118" spans="2:14" hidden="1" x14ac:dyDescent="0.2">
      <c r="B2118" s="3">
        <v>95234</v>
      </c>
      <c r="C2118" s="3">
        <v>0</v>
      </c>
      <c r="D2118">
        <v>2115</v>
      </c>
      <c r="E2118" t="str">
        <f>VLOOKUP(B2118,Nuclides!A:F,5,FALSE)</f>
        <v>Am234</v>
      </c>
      <c r="F2118">
        <f>VLOOKUP(B2118,Nuclides!A:F,4,FALSE)</f>
        <v>139.19999999999999</v>
      </c>
      <c r="G2118" s="3" t="str">
        <f t="shared" si="168"/>
        <v>2.32min</v>
      </c>
      <c r="H2118" s="3">
        <f t="shared" si="169"/>
        <v>4.9795056074708717E-3</v>
      </c>
      <c r="I2118" s="3">
        <f t="shared" si="170"/>
        <v>0</v>
      </c>
      <c r="J2118" s="3">
        <f t="shared" si="171"/>
        <v>0</v>
      </c>
      <c r="K2118" s="3" t="str">
        <f t="shared" si="172"/>
        <v>Am234</v>
      </c>
      <c r="L2118" s="3" cm="1">
        <f t="array" ref="L2118">SUM(($J2118*EXP(-$H2118*12*3600*_xlfn.SEQUENCE(L$1-1))))+$J2118</f>
        <v>0</v>
      </c>
      <c r="M2118" s="3"/>
      <c r="N2118" s="3"/>
    </row>
    <row r="2119" spans="2:14" hidden="1" x14ac:dyDescent="0.2">
      <c r="B2119" s="3">
        <v>95235</v>
      </c>
      <c r="C2119" s="3">
        <v>0</v>
      </c>
      <c r="D2119">
        <v>2116</v>
      </c>
      <c r="E2119" t="str">
        <f>VLOOKUP(B2119,Nuclides!A:F,5,FALSE)</f>
        <v>Am235</v>
      </c>
      <c r="F2119">
        <f>VLOOKUP(B2119,Nuclides!A:F,4,FALSE)</f>
        <v>618</v>
      </c>
      <c r="G2119" s="3" t="str">
        <f t="shared" si="168"/>
        <v>10.3min</v>
      </c>
      <c r="H2119" s="3">
        <f t="shared" si="169"/>
        <v>1.1215973795468371E-3</v>
      </c>
      <c r="I2119" s="3">
        <f t="shared" si="170"/>
        <v>0</v>
      </c>
      <c r="J2119" s="3">
        <f t="shared" si="171"/>
        <v>0</v>
      </c>
      <c r="K2119" s="3" t="str">
        <f t="shared" si="172"/>
        <v>Am235</v>
      </c>
      <c r="L2119" s="3" cm="1">
        <f t="array" ref="L2119">SUM(($J2119*EXP(-$H2119*12*3600*_xlfn.SEQUENCE(L$1-1))))+$J2119</f>
        <v>0</v>
      </c>
      <c r="M2119" s="3"/>
      <c r="N2119" s="3"/>
    </row>
    <row r="2120" spans="2:14" hidden="1" x14ac:dyDescent="0.2">
      <c r="B2120" s="3">
        <v>95236</v>
      </c>
      <c r="C2120" s="3">
        <v>0</v>
      </c>
      <c r="D2120">
        <v>2117</v>
      </c>
      <c r="E2120" t="str">
        <f>VLOOKUP(B2120,Nuclides!A:F,5,FALSE)</f>
        <v>Am236</v>
      </c>
      <c r="F2120">
        <f>VLOOKUP(B2120,Nuclides!A:F,4,FALSE)</f>
        <v>216</v>
      </c>
      <c r="G2120" s="3" t="str">
        <f t="shared" si="168"/>
        <v>3.6min</v>
      </c>
      <c r="H2120" s="3">
        <f t="shared" si="169"/>
        <v>3.2090147248145617E-3</v>
      </c>
      <c r="I2120" s="3">
        <f t="shared" si="170"/>
        <v>0</v>
      </c>
      <c r="J2120" s="3">
        <f t="shared" si="171"/>
        <v>0</v>
      </c>
      <c r="K2120" s="3" t="str">
        <f t="shared" si="172"/>
        <v>Am236</v>
      </c>
      <c r="L2120" s="3" cm="1">
        <f t="array" ref="L2120">SUM(($J2120*EXP(-$H2120*12*3600*_xlfn.SEQUENCE(L$1-1))))+$J2120</f>
        <v>0</v>
      </c>
      <c r="M2120" s="3"/>
      <c r="N2120" s="3"/>
    </row>
    <row r="2121" spans="2:14" hidden="1" x14ac:dyDescent="0.2">
      <c r="B2121" s="3">
        <v>95237</v>
      </c>
      <c r="C2121" s="3">
        <v>0</v>
      </c>
      <c r="D2121">
        <v>2118</v>
      </c>
      <c r="E2121" t="str">
        <f>VLOOKUP(B2121,Nuclides!A:F,5,FALSE)</f>
        <v>Am237</v>
      </c>
      <c r="F2121">
        <f>VLOOKUP(B2121,Nuclides!A:F,4,FALSE)</f>
        <v>4416</v>
      </c>
      <c r="G2121" s="3" t="str">
        <f t="shared" si="168"/>
        <v>1.23h</v>
      </c>
      <c r="H2121" s="3">
        <f t="shared" si="169"/>
        <v>1.5696267675723399E-4</v>
      </c>
      <c r="I2121" s="3">
        <f t="shared" si="170"/>
        <v>0</v>
      </c>
      <c r="J2121" s="3">
        <f t="shared" si="171"/>
        <v>0</v>
      </c>
      <c r="K2121" s="3" t="str">
        <f t="shared" si="172"/>
        <v>Am237</v>
      </c>
      <c r="L2121" s="3" cm="1">
        <f t="array" ref="L2121">SUM(($J2121*EXP(-$H2121*12*3600*_xlfn.SEQUENCE(L$1-1))))+$J2121</f>
        <v>0</v>
      </c>
      <c r="M2121" s="3"/>
      <c r="N2121" s="3"/>
    </row>
    <row r="2122" spans="2:14" hidden="1" x14ac:dyDescent="0.2">
      <c r="B2122" s="3">
        <v>95238</v>
      </c>
      <c r="C2122" s="3">
        <v>0</v>
      </c>
      <c r="D2122">
        <v>2119</v>
      </c>
      <c r="E2122" t="str">
        <f>VLOOKUP(B2122,Nuclides!A:F,5,FALSE)</f>
        <v>Am238</v>
      </c>
      <c r="F2122">
        <f>VLOOKUP(B2122,Nuclides!A:F,4,FALSE)</f>
        <v>5880</v>
      </c>
      <c r="G2122" s="3" t="str">
        <f t="shared" si="168"/>
        <v>1.63h</v>
      </c>
      <c r="H2122" s="3">
        <f t="shared" si="169"/>
        <v>1.1788217356461654E-4</v>
      </c>
      <c r="I2122" s="3">
        <f t="shared" si="170"/>
        <v>0</v>
      </c>
      <c r="J2122" s="3">
        <f t="shared" si="171"/>
        <v>0</v>
      </c>
      <c r="K2122" s="3" t="str">
        <f t="shared" si="172"/>
        <v>Am238</v>
      </c>
      <c r="L2122" s="3" cm="1">
        <f t="array" ref="L2122">SUM(($J2122*EXP(-$H2122*12*3600*_xlfn.SEQUENCE(L$1-1))))+$J2122</f>
        <v>0</v>
      </c>
      <c r="M2122" s="3"/>
      <c r="N2122" s="3"/>
    </row>
    <row r="2123" spans="2:14" hidden="1" x14ac:dyDescent="0.2">
      <c r="B2123" s="3">
        <v>95239</v>
      </c>
      <c r="C2123" s="3">
        <v>0</v>
      </c>
      <c r="D2123">
        <v>2120</v>
      </c>
      <c r="E2123" t="str">
        <f>VLOOKUP(B2123,Nuclides!A:F,5,FALSE)</f>
        <v>Am239</v>
      </c>
      <c r="F2123">
        <f>VLOOKUP(B2123,Nuclides!A:F,4,FALSE)</f>
        <v>42840</v>
      </c>
      <c r="G2123" s="3" t="str">
        <f t="shared" si="168"/>
        <v>11.9h</v>
      </c>
      <c r="H2123" s="3">
        <f t="shared" si="169"/>
        <v>1.6179906175535605E-5</v>
      </c>
      <c r="I2123" s="3">
        <f t="shared" si="170"/>
        <v>0</v>
      </c>
      <c r="J2123" s="3">
        <f t="shared" si="171"/>
        <v>0</v>
      </c>
      <c r="K2123" s="3" t="str">
        <f t="shared" si="172"/>
        <v>Am239</v>
      </c>
      <c r="L2123" s="3" cm="1">
        <f t="array" ref="L2123">SUM(($J2123*EXP(-$H2123*12*3600*_xlfn.SEQUENCE(L$1-1))))+$J2123</f>
        <v>0</v>
      </c>
      <c r="M2123" s="3"/>
      <c r="N2123" s="3"/>
    </row>
    <row r="2124" spans="2:14" hidden="1" x14ac:dyDescent="0.2">
      <c r="B2124" s="3">
        <v>95240</v>
      </c>
      <c r="C2124" s="3">
        <v>0</v>
      </c>
      <c r="D2124">
        <v>2121</v>
      </c>
      <c r="E2124" t="str">
        <f>VLOOKUP(B2124,Nuclides!A:F,5,FALSE)</f>
        <v>Am240</v>
      </c>
      <c r="F2124">
        <f>VLOOKUP(B2124,Nuclides!A:F,4,FALSE)</f>
        <v>182880</v>
      </c>
      <c r="G2124" s="3" t="str">
        <f t="shared" si="168"/>
        <v>2.12d</v>
      </c>
      <c r="H2124" s="3">
        <f t="shared" si="169"/>
        <v>3.7901748718282222E-6</v>
      </c>
      <c r="I2124" s="3">
        <f t="shared" si="170"/>
        <v>0</v>
      </c>
      <c r="J2124" s="3">
        <f t="shared" si="171"/>
        <v>0</v>
      </c>
      <c r="K2124" s="3" t="str">
        <f t="shared" si="172"/>
        <v>Am240</v>
      </c>
      <c r="L2124" s="3" cm="1">
        <f t="array" ref="L2124">SUM(($J2124*EXP(-$H2124*12*3600*_xlfn.SEQUENCE(L$1-1))))+$J2124</f>
        <v>0</v>
      </c>
      <c r="M2124" s="3"/>
      <c r="N2124" s="3"/>
    </row>
    <row r="2125" spans="2:14" hidden="1" x14ac:dyDescent="0.2">
      <c r="B2125" s="3">
        <v>95241</v>
      </c>
      <c r="C2125" s="3">
        <v>0</v>
      </c>
      <c r="D2125">
        <v>2122</v>
      </c>
      <c r="E2125" t="str">
        <f>VLOOKUP(B2125,Nuclides!A:F,5,FALSE)</f>
        <v>Am241</v>
      </c>
      <c r="F2125">
        <f>VLOOKUP(B2125,Nuclides!A:F,4,FALSE)</f>
        <v>13651817760</v>
      </c>
      <c r="G2125" s="3" t="str">
        <f t="shared" si="168"/>
        <v>432.9y</v>
      </c>
      <c r="H2125" s="3">
        <f t="shared" si="169"/>
        <v>5.07732517929499E-11</v>
      </c>
      <c r="I2125" s="3">
        <f t="shared" si="170"/>
        <v>0</v>
      </c>
      <c r="J2125" s="3">
        <f t="shared" si="171"/>
        <v>0</v>
      </c>
      <c r="K2125" s="3" t="str">
        <f t="shared" si="172"/>
        <v>Am241</v>
      </c>
      <c r="L2125" s="3" cm="1">
        <f t="array" ref="L2125">SUM(($J2125*EXP(-$H2125*12*3600*_xlfn.SEQUENCE(L$1-1))))+$J2125</f>
        <v>0</v>
      </c>
      <c r="M2125" s="3"/>
      <c r="N2125" s="3"/>
    </row>
    <row r="2126" spans="2:14" hidden="1" x14ac:dyDescent="0.2">
      <c r="B2126" s="3">
        <v>95242</v>
      </c>
      <c r="C2126" s="3">
        <v>0</v>
      </c>
      <c r="D2126">
        <v>2123</v>
      </c>
      <c r="E2126" t="str">
        <f>VLOOKUP(B2126,Nuclides!A:F,5,FALSE)</f>
        <v>Am242</v>
      </c>
      <c r="F2126">
        <f>VLOOKUP(B2126,Nuclides!A:F,4,FALSE)</f>
        <v>57672</v>
      </c>
      <c r="G2126" s="3" t="str">
        <f t="shared" si="168"/>
        <v>16.02h</v>
      </c>
      <c r="H2126" s="3">
        <f t="shared" si="169"/>
        <v>1.2018781740878508E-5</v>
      </c>
      <c r="I2126" s="3">
        <f t="shared" si="170"/>
        <v>0</v>
      </c>
      <c r="J2126" s="3">
        <f t="shared" si="171"/>
        <v>0</v>
      </c>
      <c r="K2126" s="3" t="str">
        <f t="shared" si="172"/>
        <v>Am242</v>
      </c>
      <c r="L2126" s="3" cm="1">
        <f t="array" ref="L2126">SUM(($J2126*EXP(-$H2126*12*3600*_xlfn.SEQUENCE(L$1-1))))+$J2126</f>
        <v>0</v>
      </c>
      <c r="M2126" s="3"/>
      <c r="N2126" s="3"/>
    </row>
    <row r="2127" spans="2:14" hidden="1" x14ac:dyDescent="0.2">
      <c r="B2127" s="3">
        <v>95243</v>
      </c>
      <c r="C2127" s="3">
        <v>0</v>
      </c>
      <c r="D2127">
        <v>2124</v>
      </c>
      <c r="E2127" t="str">
        <f>VLOOKUP(B2127,Nuclides!A:F,5,FALSE)</f>
        <v>Am243</v>
      </c>
      <c r="F2127">
        <f>VLOOKUP(B2127,Nuclides!A:F,4,FALSE)</f>
        <v>232390166400</v>
      </c>
      <c r="G2127" s="3" t="str">
        <f t="shared" si="168"/>
        <v>7369.04y</v>
      </c>
      <c r="H2127" s="3">
        <f t="shared" si="169"/>
        <v>2.9826872250991483E-12</v>
      </c>
      <c r="I2127" s="3">
        <f t="shared" si="170"/>
        <v>0</v>
      </c>
      <c r="J2127" s="3">
        <f t="shared" si="171"/>
        <v>0</v>
      </c>
      <c r="K2127" s="3" t="str">
        <f t="shared" si="172"/>
        <v>Am243</v>
      </c>
      <c r="L2127" s="3" cm="1">
        <f t="array" ref="L2127">SUM(($J2127*EXP(-$H2127*12*3600*_xlfn.SEQUENCE(L$1-1))))+$J2127</f>
        <v>0</v>
      </c>
      <c r="M2127" s="3"/>
      <c r="N2127" s="3"/>
    </row>
    <row r="2128" spans="2:14" hidden="1" x14ac:dyDescent="0.2">
      <c r="B2128" s="3">
        <v>95244</v>
      </c>
      <c r="C2128" s="3">
        <v>0</v>
      </c>
      <c r="D2128">
        <v>2125</v>
      </c>
      <c r="E2128" t="str">
        <f>VLOOKUP(B2128,Nuclides!A:F,5,FALSE)</f>
        <v>Am244</v>
      </c>
      <c r="F2128">
        <f>VLOOKUP(B2128,Nuclides!A:F,4,FALSE)</f>
        <v>36360</v>
      </c>
      <c r="G2128" s="3" t="str">
        <f t="shared" si="168"/>
        <v>10.1h</v>
      </c>
      <c r="H2128" s="3">
        <f t="shared" si="169"/>
        <v>1.9063453810779574E-5</v>
      </c>
      <c r="I2128" s="3">
        <f t="shared" si="170"/>
        <v>0</v>
      </c>
      <c r="J2128" s="3">
        <f t="shared" si="171"/>
        <v>0</v>
      </c>
      <c r="K2128" s="3" t="str">
        <f t="shared" si="172"/>
        <v>Am244</v>
      </c>
      <c r="L2128" s="3" cm="1">
        <f t="array" ref="L2128">SUM(($J2128*EXP(-$H2128*12*3600*_xlfn.SEQUENCE(L$1-1))))+$J2128</f>
        <v>0</v>
      </c>
      <c r="M2128" s="3"/>
      <c r="N2128" s="3"/>
    </row>
    <row r="2129" spans="2:14" hidden="1" x14ac:dyDescent="0.2">
      <c r="B2129" s="3">
        <v>95245</v>
      </c>
      <c r="C2129" s="3">
        <v>0</v>
      </c>
      <c r="D2129">
        <v>2126</v>
      </c>
      <c r="E2129" t="str">
        <f>VLOOKUP(B2129,Nuclides!A:F,5,FALSE)</f>
        <v>Am245</v>
      </c>
      <c r="F2129">
        <f>VLOOKUP(B2129,Nuclides!A:F,4,FALSE)</f>
        <v>7379.99999999999</v>
      </c>
      <c r="G2129" s="3" t="str">
        <f t="shared" si="168"/>
        <v>2.05h</v>
      </c>
      <c r="H2129" s="3">
        <f t="shared" si="169"/>
        <v>9.3922382189694605E-5</v>
      </c>
      <c r="I2129" s="3">
        <f t="shared" si="170"/>
        <v>0</v>
      </c>
      <c r="J2129" s="3">
        <f t="shared" si="171"/>
        <v>0</v>
      </c>
      <c r="K2129" s="3" t="str">
        <f t="shared" si="172"/>
        <v>Am245</v>
      </c>
      <c r="L2129" s="3" cm="1">
        <f t="array" ref="L2129">SUM(($J2129*EXP(-$H2129*12*3600*_xlfn.SEQUENCE(L$1-1))))+$J2129</f>
        <v>0</v>
      </c>
      <c r="M2129" s="3"/>
      <c r="N2129" s="3"/>
    </row>
    <row r="2130" spans="2:14" hidden="1" x14ac:dyDescent="0.2">
      <c r="B2130" s="3">
        <v>95246</v>
      </c>
      <c r="C2130" s="3">
        <v>0</v>
      </c>
      <c r="D2130">
        <v>2127</v>
      </c>
      <c r="E2130" t="str">
        <f>VLOOKUP(B2130,Nuclides!A:F,5,FALSE)</f>
        <v>Am246</v>
      </c>
      <c r="F2130">
        <f>VLOOKUP(B2130,Nuclides!A:F,4,FALSE)</f>
        <v>2340</v>
      </c>
      <c r="G2130" s="3" t="str">
        <f t="shared" si="168"/>
        <v>39min</v>
      </c>
      <c r="H2130" s="3">
        <f t="shared" si="169"/>
        <v>2.9621674382903642E-4</v>
      </c>
      <c r="I2130" s="3">
        <f t="shared" si="170"/>
        <v>0</v>
      </c>
      <c r="J2130" s="3">
        <f t="shared" si="171"/>
        <v>0</v>
      </c>
      <c r="K2130" s="3" t="str">
        <f t="shared" si="172"/>
        <v>Am246</v>
      </c>
      <c r="L2130" s="3" cm="1">
        <f t="array" ref="L2130">SUM(($J2130*EXP(-$H2130*12*3600*_xlfn.SEQUENCE(L$1-1))))+$J2130</f>
        <v>0</v>
      </c>
      <c r="M2130" s="3"/>
      <c r="N2130" s="3"/>
    </row>
    <row r="2131" spans="2:14" hidden="1" x14ac:dyDescent="0.2">
      <c r="B2131" s="3">
        <v>95247</v>
      </c>
      <c r="C2131" s="3">
        <v>0</v>
      </c>
      <c r="D2131">
        <v>2128</v>
      </c>
      <c r="E2131" t="str">
        <f>VLOOKUP(B2131,Nuclides!A:F,5,FALSE)</f>
        <v>Am247</v>
      </c>
      <c r="F2131">
        <f>VLOOKUP(B2131,Nuclides!A:F,4,FALSE)</f>
        <v>1380</v>
      </c>
      <c r="G2131" s="3" t="str">
        <f t="shared" si="168"/>
        <v>23min</v>
      </c>
      <c r="H2131" s="3">
        <f t="shared" si="169"/>
        <v>5.0228056562314871E-4</v>
      </c>
      <c r="I2131" s="3">
        <f t="shared" si="170"/>
        <v>0</v>
      </c>
      <c r="J2131" s="3">
        <f t="shared" si="171"/>
        <v>0</v>
      </c>
      <c r="K2131" s="3" t="str">
        <f t="shared" si="172"/>
        <v>Am247</v>
      </c>
      <c r="L2131" s="3" cm="1">
        <f t="array" ref="L2131">SUM(($J2131*EXP(-$H2131*12*3600*_xlfn.SEQUENCE(L$1-1))))+$J2131</f>
        <v>0</v>
      </c>
      <c r="M2131" s="3"/>
      <c r="N2131" s="3"/>
    </row>
    <row r="2132" spans="2:14" hidden="1" x14ac:dyDescent="0.2">
      <c r="B2132" s="3">
        <v>96238</v>
      </c>
      <c r="C2132" s="3">
        <v>0</v>
      </c>
      <c r="D2132">
        <v>2129</v>
      </c>
      <c r="E2132" t="str">
        <f>VLOOKUP(B2132,Nuclides!A:F,5,FALSE)</f>
        <v>Cm238</v>
      </c>
      <c r="F2132">
        <f>VLOOKUP(B2132,Nuclides!A:F,4,FALSE)</f>
        <v>7920</v>
      </c>
      <c r="G2132" s="3" t="str">
        <f t="shared" si="168"/>
        <v>2.2h</v>
      </c>
      <c r="H2132" s="3">
        <f t="shared" si="169"/>
        <v>8.7518583404033496E-5</v>
      </c>
      <c r="I2132" s="3">
        <f t="shared" si="170"/>
        <v>0</v>
      </c>
      <c r="J2132" s="3">
        <f t="shared" si="171"/>
        <v>0</v>
      </c>
      <c r="K2132" s="3" t="str">
        <f t="shared" si="172"/>
        <v>Cm238</v>
      </c>
      <c r="L2132" s="3" cm="1">
        <f t="array" ref="L2132">SUM(($J2132*EXP(-$H2132*12*3600*_xlfn.SEQUENCE(L$1-1))))+$J2132</f>
        <v>0</v>
      </c>
      <c r="M2132" s="3"/>
      <c r="N2132" s="3"/>
    </row>
    <row r="2133" spans="2:14" hidden="1" x14ac:dyDescent="0.2">
      <c r="B2133" s="3">
        <v>96239</v>
      </c>
      <c r="C2133" s="3">
        <v>0</v>
      </c>
      <c r="D2133">
        <v>2130</v>
      </c>
      <c r="E2133" t="str">
        <f>VLOOKUP(B2133,Nuclides!A:F,5,FALSE)</f>
        <v>Cm239</v>
      </c>
      <c r="F2133">
        <f>VLOOKUP(B2133,Nuclides!A:F,4,FALSE)</f>
        <v>9720</v>
      </c>
      <c r="G2133" s="3" t="str">
        <f t="shared" si="168"/>
        <v>2.7h</v>
      </c>
      <c r="H2133" s="3">
        <f t="shared" si="169"/>
        <v>7.1311438329212481E-5</v>
      </c>
      <c r="I2133" s="3">
        <f t="shared" si="170"/>
        <v>0</v>
      </c>
      <c r="J2133" s="3">
        <f t="shared" si="171"/>
        <v>0</v>
      </c>
      <c r="K2133" s="3" t="str">
        <f t="shared" si="172"/>
        <v>Cm239</v>
      </c>
      <c r="L2133" s="3" cm="1">
        <f t="array" ref="L2133">SUM(($J2133*EXP(-$H2133*12*3600*_xlfn.SEQUENCE(L$1-1))))+$J2133</f>
        <v>0</v>
      </c>
      <c r="M2133" s="3"/>
      <c r="N2133" s="3"/>
    </row>
    <row r="2134" spans="2:14" hidden="1" x14ac:dyDescent="0.2">
      <c r="B2134" s="3">
        <v>96240</v>
      </c>
      <c r="C2134" s="3">
        <v>0</v>
      </c>
      <c r="D2134">
        <v>2131</v>
      </c>
      <c r="E2134" t="str">
        <f>VLOOKUP(B2134,Nuclides!A:F,5,FALSE)</f>
        <v>Cm240</v>
      </c>
      <c r="F2134">
        <f>VLOOKUP(B2134,Nuclides!A:F,4,FALSE)</f>
        <v>2332800</v>
      </c>
      <c r="G2134" s="3" t="str">
        <f t="shared" si="168"/>
        <v>27d</v>
      </c>
      <c r="H2134" s="3">
        <f t="shared" si="169"/>
        <v>2.9713099303838533E-7</v>
      </c>
      <c r="I2134" s="3">
        <f t="shared" si="170"/>
        <v>0</v>
      </c>
      <c r="J2134" s="3">
        <f t="shared" si="171"/>
        <v>0</v>
      </c>
      <c r="K2134" s="3" t="str">
        <f t="shared" si="172"/>
        <v>Cm240</v>
      </c>
      <c r="L2134" s="3" cm="1">
        <f t="array" ref="L2134">SUM(($J2134*EXP(-$H2134*12*3600*_xlfn.SEQUENCE(L$1-1))))+$J2134</f>
        <v>0</v>
      </c>
      <c r="M2134" s="3"/>
      <c r="N2134" s="3"/>
    </row>
    <row r="2135" spans="2:14" hidden="1" x14ac:dyDescent="0.2">
      <c r="B2135" s="3">
        <v>96241</v>
      </c>
      <c r="C2135" s="3">
        <v>0</v>
      </c>
      <c r="D2135">
        <v>2132</v>
      </c>
      <c r="E2135" t="str">
        <f>VLOOKUP(B2135,Nuclides!A:F,5,FALSE)</f>
        <v>Cm241</v>
      </c>
      <c r="F2135">
        <f>VLOOKUP(B2135,Nuclides!A:F,4,FALSE)</f>
        <v>2833919.9999999902</v>
      </c>
      <c r="G2135" s="3" t="str">
        <f t="shared" si="168"/>
        <v>32.8d</v>
      </c>
      <c r="H2135" s="3">
        <f t="shared" si="169"/>
        <v>2.4458953695233021E-7</v>
      </c>
      <c r="I2135" s="3">
        <f t="shared" si="170"/>
        <v>0</v>
      </c>
      <c r="J2135" s="3">
        <f t="shared" si="171"/>
        <v>0</v>
      </c>
      <c r="K2135" s="3" t="str">
        <f t="shared" si="172"/>
        <v>Cm241</v>
      </c>
      <c r="L2135" s="3" cm="1">
        <f t="array" ref="L2135">SUM(($J2135*EXP(-$H2135*12*3600*_xlfn.SEQUENCE(L$1-1))))+$J2135</f>
        <v>0</v>
      </c>
      <c r="M2135" s="3"/>
      <c r="N2135" s="3"/>
    </row>
    <row r="2136" spans="2:14" hidden="1" x14ac:dyDescent="0.2">
      <c r="B2136" s="3">
        <v>96242</v>
      </c>
      <c r="C2136" s="3">
        <v>0</v>
      </c>
      <c r="D2136">
        <v>2133</v>
      </c>
      <c r="E2136" t="str">
        <f>VLOOKUP(B2136,Nuclides!A:F,5,FALSE)</f>
        <v>Cm242</v>
      </c>
      <c r="F2136">
        <f>VLOOKUP(B2136,Nuclides!A:F,4,FALSE)</f>
        <v>14065920</v>
      </c>
      <c r="G2136" s="3" t="str">
        <f t="shared" si="168"/>
        <v>162.8d</v>
      </c>
      <c r="H2136" s="3">
        <f t="shared" si="169"/>
        <v>4.9278481646415256E-8</v>
      </c>
      <c r="I2136" s="3">
        <f t="shared" si="170"/>
        <v>0</v>
      </c>
      <c r="J2136" s="3">
        <f t="shared" si="171"/>
        <v>0</v>
      </c>
      <c r="K2136" s="3" t="str">
        <f t="shared" si="172"/>
        <v>Cm242</v>
      </c>
      <c r="L2136" s="3" cm="1">
        <f t="array" ref="L2136">SUM(($J2136*EXP(-$H2136*12*3600*_xlfn.SEQUENCE(L$1-1))))+$J2136</f>
        <v>0</v>
      </c>
      <c r="M2136" s="3"/>
      <c r="N2136" s="3"/>
    </row>
    <row r="2137" spans="2:14" hidden="1" x14ac:dyDescent="0.2">
      <c r="B2137" s="3">
        <v>96243</v>
      </c>
      <c r="C2137" s="3">
        <v>0</v>
      </c>
      <c r="D2137">
        <v>2134</v>
      </c>
      <c r="E2137" t="str">
        <f>VLOOKUP(B2137,Nuclides!A:F,5,FALSE)</f>
        <v>Cm243</v>
      </c>
      <c r="F2137">
        <f>VLOOKUP(B2137,Nuclides!A:F,4,FALSE)</f>
        <v>918326160</v>
      </c>
      <c r="G2137" s="3" t="str">
        <f t="shared" si="168"/>
        <v>29.12y</v>
      </c>
      <c r="H2137" s="3">
        <f t="shared" si="169"/>
        <v>7.5479411428282217E-10</v>
      </c>
      <c r="I2137" s="3">
        <f t="shared" si="170"/>
        <v>0</v>
      </c>
      <c r="J2137" s="3">
        <f t="shared" si="171"/>
        <v>0</v>
      </c>
      <c r="K2137" s="3" t="str">
        <f t="shared" si="172"/>
        <v>Cm243</v>
      </c>
      <c r="L2137" s="3" cm="1">
        <f t="array" ref="L2137">SUM(($J2137*EXP(-$H2137*12*3600*_xlfn.SEQUENCE(L$1-1))))+$J2137</f>
        <v>0</v>
      </c>
      <c r="M2137" s="3"/>
      <c r="N2137" s="3"/>
    </row>
    <row r="2138" spans="2:14" hidden="1" x14ac:dyDescent="0.2">
      <c r="B2138" s="3">
        <v>96244</v>
      </c>
      <c r="C2138" s="3">
        <v>0</v>
      </c>
      <c r="D2138">
        <v>2135</v>
      </c>
      <c r="E2138" t="str">
        <f>VLOOKUP(B2138,Nuclides!A:F,5,FALSE)</f>
        <v>Cm244</v>
      </c>
      <c r="F2138">
        <f>VLOOKUP(B2138,Nuclides!A:F,4,FALSE)</f>
        <v>571192560</v>
      </c>
      <c r="G2138" s="3" t="str">
        <f t="shared" si="168"/>
        <v>18.11y</v>
      </c>
      <c r="H2138" s="3">
        <f t="shared" si="169"/>
        <v>1.2135087693718301E-9</v>
      </c>
      <c r="I2138" s="3">
        <f t="shared" si="170"/>
        <v>0</v>
      </c>
      <c r="J2138" s="3">
        <f t="shared" si="171"/>
        <v>0</v>
      </c>
      <c r="K2138" s="3" t="str">
        <f t="shared" si="172"/>
        <v>Cm244</v>
      </c>
      <c r="L2138" s="3" cm="1">
        <f t="array" ref="L2138">SUM(($J2138*EXP(-$H2138*12*3600*_xlfn.SEQUENCE(L$1-1))))+$J2138</f>
        <v>0</v>
      </c>
      <c r="M2138" s="3"/>
      <c r="N2138" s="3"/>
    </row>
    <row r="2139" spans="2:14" hidden="1" x14ac:dyDescent="0.2">
      <c r="B2139" s="3">
        <v>96245</v>
      </c>
      <c r="C2139" s="3">
        <v>0</v>
      </c>
      <c r="D2139">
        <v>2136</v>
      </c>
      <c r="E2139" t="str">
        <f>VLOOKUP(B2139,Nuclides!A:F,5,FALSE)</f>
        <v>Cm245</v>
      </c>
      <c r="F2139">
        <f>VLOOKUP(B2139,Nuclides!A:F,4,FALSE)</f>
        <v>265809664800</v>
      </c>
      <c r="G2139" s="3" t="str">
        <f t="shared" si="168"/>
        <v>8428.77y</v>
      </c>
      <c r="H2139" s="3">
        <f t="shared" si="169"/>
        <v>2.6076823846171348E-12</v>
      </c>
      <c r="I2139" s="3">
        <f t="shared" si="170"/>
        <v>0</v>
      </c>
      <c r="J2139" s="3">
        <f t="shared" si="171"/>
        <v>0</v>
      </c>
      <c r="K2139" s="3" t="str">
        <f t="shared" si="172"/>
        <v>Cm245</v>
      </c>
      <c r="L2139" s="3" cm="1">
        <f t="array" ref="L2139">SUM(($J2139*EXP(-$H2139*12*3600*_xlfn.SEQUENCE(L$1-1))))+$J2139</f>
        <v>0</v>
      </c>
      <c r="M2139" s="3"/>
      <c r="N2139" s="3"/>
    </row>
    <row r="2140" spans="2:14" hidden="1" x14ac:dyDescent="0.2">
      <c r="B2140" s="3">
        <v>96246</v>
      </c>
      <c r="C2140" s="3">
        <v>0</v>
      </c>
      <c r="D2140">
        <v>2137</v>
      </c>
      <c r="E2140" t="str">
        <f>VLOOKUP(B2140,Nuclides!A:F,5,FALSE)</f>
        <v>Cm246</v>
      </c>
      <c r="F2140">
        <f>VLOOKUP(B2140,Nuclides!A:F,4,FALSE)</f>
        <v>148510065600</v>
      </c>
      <c r="G2140" s="3" t="str">
        <f t="shared" si="168"/>
        <v>4709.22y</v>
      </c>
      <c r="H2140" s="3">
        <f t="shared" si="169"/>
        <v>4.6673414206608854E-12</v>
      </c>
      <c r="I2140" s="3">
        <f t="shared" si="170"/>
        <v>0</v>
      </c>
      <c r="J2140" s="3">
        <f t="shared" si="171"/>
        <v>0</v>
      </c>
      <c r="K2140" s="3" t="str">
        <f t="shared" si="172"/>
        <v>Cm246</v>
      </c>
      <c r="L2140" s="3" cm="1">
        <f t="array" ref="L2140">SUM(($J2140*EXP(-$H2140*12*3600*_xlfn.SEQUENCE(L$1-1))))+$J2140</f>
        <v>0</v>
      </c>
      <c r="M2140" s="3"/>
      <c r="N2140" s="3"/>
    </row>
    <row r="2141" spans="2:14" hidden="1" x14ac:dyDescent="0.2">
      <c r="B2141" s="3">
        <v>96247</v>
      </c>
      <c r="C2141" s="3">
        <v>0</v>
      </c>
      <c r="D2141">
        <v>2138</v>
      </c>
      <c r="E2141" t="str">
        <f>VLOOKUP(B2141,Nuclides!A:F,5,FALSE)</f>
        <v>Cm247</v>
      </c>
      <c r="F2141">
        <f>VLOOKUP(B2141,Nuclides!A:F,4,FALSE)</f>
        <v>492298560000000</v>
      </c>
      <c r="G2141" s="3" t="str">
        <f t="shared" si="168"/>
        <v>15610684.93y</v>
      </c>
      <c r="H2141" s="3">
        <f t="shared" si="169"/>
        <v>1.4079813285660337E-15</v>
      </c>
      <c r="I2141" s="3">
        <f t="shared" si="170"/>
        <v>0</v>
      </c>
      <c r="J2141" s="3">
        <f t="shared" si="171"/>
        <v>0</v>
      </c>
      <c r="K2141" s="3" t="str">
        <f t="shared" si="172"/>
        <v>Cm247</v>
      </c>
      <c r="L2141" s="3" cm="1">
        <f t="array" ref="L2141">SUM(($J2141*EXP(-$H2141*12*3600*_xlfn.SEQUENCE(L$1-1))))+$J2141</f>
        <v>0</v>
      </c>
      <c r="M2141" s="3"/>
      <c r="N2141" s="3"/>
    </row>
    <row r="2142" spans="2:14" hidden="1" x14ac:dyDescent="0.2">
      <c r="B2142" s="3">
        <v>96248</v>
      </c>
      <c r="C2142" s="3">
        <v>0</v>
      </c>
      <c r="D2142">
        <v>2139</v>
      </c>
      <c r="E2142" t="str">
        <f>VLOOKUP(B2142,Nuclides!A:F,5,FALSE)</f>
        <v>Cm248</v>
      </c>
      <c r="F2142">
        <f>VLOOKUP(B2142,Nuclides!A:F,4,FALSE)</f>
        <v>10982044800000</v>
      </c>
      <c r="G2142" s="3" t="str">
        <f t="shared" si="168"/>
        <v>348238.36y</v>
      </c>
      <c r="H2142" s="3">
        <f t="shared" si="169"/>
        <v>6.3116404383994622E-14</v>
      </c>
      <c r="I2142" s="3">
        <f t="shared" si="170"/>
        <v>0</v>
      </c>
      <c r="J2142" s="3">
        <f t="shared" si="171"/>
        <v>0</v>
      </c>
      <c r="K2142" s="3" t="str">
        <f t="shared" si="172"/>
        <v>Cm248</v>
      </c>
      <c r="L2142" s="3" cm="1">
        <f t="array" ref="L2142">SUM(($J2142*EXP(-$H2142*12*3600*_xlfn.SEQUENCE(L$1-1))))+$J2142</f>
        <v>0</v>
      </c>
      <c r="M2142" s="3"/>
      <c r="N2142" s="3"/>
    </row>
    <row r="2143" spans="2:14" hidden="1" x14ac:dyDescent="0.2">
      <c r="B2143" s="3">
        <v>96249</v>
      </c>
      <c r="C2143" s="3">
        <v>0</v>
      </c>
      <c r="D2143">
        <v>2140</v>
      </c>
      <c r="E2143" t="str">
        <f>VLOOKUP(B2143,Nuclides!A:F,5,FALSE)</f>
        <v>Cm249</v>
      </c>
      <c r="F2143">
        <f>VLOOKUP(B2143,Nuclides!A:F,4,FALSE)</f>
        <v>3849</v>
      </c>
      <c r="G2143" s="3" t="str">
        <f t="shared" si="168"/>
        <v>1.07h</v>
      </c>
      <c r="H2143" s="3">
        <f t="shared" si="169"/>
        <v>1.8008500404259424E-4</v>
      </c>
      <c r="I2143" s="3">
        <f t="shared" si="170"/>
        <v>0</v>
      </c>
      <c r="J2143" s="3">
        <f t="shared" si="171"/>
        <v>0</v>
      </c>
      <c r="K2143" s="3" t="str">
        <f t="shared" si="172"/>
        <v>Cm249</v>
      </c>
      <c r="L2143" s="3" cm="1">
        <f t="array" ref="L2143">SUM(($J2143*EXP(-$H2143*12*3600*_xlfn.SEQUENCE(L$1-1))))+$J2143</f>
        <v>0</v>
      </c>
      <c r="M2143" s="3"/>
      <c r="N2143" s="3"/>
    </row>
    <row r="2144" spans="2:14" hidden="1" x14ac:dyDescent="0.2">
      <c r="B2144" s="3">
        <v>96250</v>
      </c>
      <c r="C2144" s="3">
        <v>0</v>
      </c>
      <c r="D2144">
        <v>2141</v>
      </c>
      <c r="E2144" t="str">
        <f>VLOOKUP(B2144,Nuclides!A:F,5,FALSE)</f>
        <v>Cm250</v>
      </c>
      <c r="F2144">
        <f>VLOOKUP(B2144,Nuclides!A:F,4,FALSE)</f>
        <v>261928080000</v>
      </c>
      <c r="G2144" s="3" t="str">
        <f t="shared" si="168"/>
        <v>8305.68y</v>
      </c>
      <c r="H2144" s="3">
        <f t="shared" si="169"/>
        <v>2.6463263524855574E-12</v>
      </c>
      <c r="I2144" s="3">
        <f t="shared" si="170"/>
        <v>0</v>
      </c>
      <c r="J2144" s="3">
        <f t="shared" si="171"/>
        <v>0</v>
      </c>
      <c r="K2144" s="3" t="str">
        <f t="shared" si="172"/>
        <v>Cm250</v>
      </c>
      <c r="L2144" s="3" cm="1">
        <f t="array" ref="L2144">SUM(($J2144*EXP(-$H2144*12*3600*_xlfn.SEQUENCE(L$1-1))))+$J2144</f>
        <v>0</v>
      </c>
      <c r="M2144" s="3"/>
      <c r="N2144" s="3"/>
    </row>
    <row r="2145" spans="2:14" hidden="1" x14ac:dyDescent="0.2">
      <c r="B2145" s="3">
        <v>96251</v>
      </c>
      <c r="C2145" s="3">
        <v>0</v>
      </c>
      <c r="D2145">
        <v>2142</v>
      </c>
      <c r="E2145" t="str">
        <f>VLOOKUP(B2145,Nuclides!A:F,5,FALSE)</f>
        <v>Cm251</v>
      </c>
      <c r="F2145">
        <f>VLOOKUP(B2145,Nuclides!A:F,4,FALSE)</f>
        <v>1008</v>
      </c>
      <c r="G2145" s="3" t="str">
        <f t="shared" si="168"/>
        <v>16.8min</v>
      </c>
      <c r="H2145" s="3">
        <f t="shared" si="169"/>
        <v>6.8764601246026316E-4</v>
      </c>
      <c r="I2145" s="3">
        <f t="shared" si="170"/>
        <v>0</v>
      </c>
      <c r="J2145" s="3">
        <f t="shared" si="171"/>
        <v>0</v>
      </c>
      <c r="K2145" s="3" t="str">
        <f t="shared" si="172"/>
        <v>Cm251</v>
      </c>
      <c r="L2145" s="3" cm="1">
        <f t="array" ref="L2145">SUM(($J2145*EXP(-$H2145*12*3600*_xlfn.SEQUENCE(L$1-1))))+$J2145</f>
        <v>0</v>
      </c>
      <c r="M2145" s="3"/>
      <c r="N2145" s="3"/>
    </row>
    <row r="2146" spans="2:14" hidden="1" x14ac:dyDescent="0.2">
      <c r="B2146" s="3">
        <v>97240</v>
      </c>
      <c r="C2146" s="3">
        <v>0</v>
      </c>
      <c r="D2146">
        <v>2143</v>
      </c>
      <c r="E2146" t="str">
        <f>VLOOKUP(B2146,Nuclides!A:F,5,FALSE)</f>
        <v>Bk240</v>
      </c>
      <c r="F2146">
        <f>VLOOKUP(B2146,Nuclides!A:F,4,FALSE)</f>
        <v>288</v>
      </c>
      <c r="G2146" s="3" t="str">
        <f t="shared" si="168"/>
        <v>4.8min</v>
      </c>
      <c r="H2146" s="3">
        <f t="shared" si="169"/>
        <v>2.4067610436109212E-3</v>
      </c>
      <c r="I2146" s="3">
        <f t="shared" si="170"/>
        <v>0</v>
      </c>
      <c r="J2146" s="3">
        <f t="shared" si="171"/>
        <v>0</v>
      </c>
      <c r="K2146" s="3" t="str">
        <f t="shared" si="172"/>
        <v>Bk240</v>
      </c>
      <c r="L2146" s="3" cm="1">
        <f t="array" ref="L2146">SUM(($J2146*EXP(-$H2146*12*3600*_xlfn.SEQUENCE(L$1-1))))+$J2146</f>
        <v>0</v>
      </c>
      <c r="M2146" s="3"/>
      <c r="N2146" s="3"/>
    </row>
    <row r="2147" spans="2:14" hidden="1" x14ac:dyDescent="0.2">
      <c r="B2147" s="3">
        <v>97241</v>
      </c>
      <c r="C2147" s="3">
        <v>0</v>
      </c>
      <c r="D2147">
        <v>2144</v>
      </c>
      <c r="E2147" t="str">
        <f>VLOOKUP(B2147,Nuclides!A:F,5,FALSE)</f>
        <v>Bk241</v>
      </c>
      <c r="F2147">
        <f>VLOOKUP(B2147,Nuclides!A:F,4,FALSE)</f>
        <v>276</v>
      </c>
      <c r="G2147" s="3" t="str">
        <f t="shared" si="168"/>
        <v>4.6min</v>
      </c>
      <c r="H2147" s="3">
        <f t="shared" si="169"/>
        <v>2.5114028281157438E-3</v>
      </c>
      <c r="I2147" s="3">
        <f t="shared" si="170"/>
        <v>0</v>
      </c>
      <c r="J2147" s="3">
        <f t="shared" si="171"/>
        <v>0</v>
      </c>
      <c r="K2147" s="3" t="str">
        <f t="shared" si="172"/>
        <v>Bk241</v>
      </c>
      <c r="L2147" s="3" cm="1">
        <f t="array" ref="L2147">SUM(($J2147*EXP(-$H2147*12*3600*_xlfn.SEQUENCE(L$1-1))))+$J2147</f>
        <v>0</v>
      </c>
      <c r="M2147" s="3"/>
      <c r="N2147" s="3"/>
    </row>
    <row r="2148" spans="2:14" hidden="1" x14ac:dyDescent="0.2">
      <c r="B2148" s="3">
        <v>97242</v>
      </c>
      <c r="C2148" s="3">
        <v>0</v>
      </c>
      <c r="D2148">
        <v>2145</v>
      </c>
      <c r="E2148" t="str">
        <f>VLOOKUP(B2148,Nuclides!A:F,5,FALSE)</f>
        <v>Bk242</v>
      </c>
      <c r="F2148">
        <f>VLOOKUP(B2148,Nuclides!A:F,4,FALSE)</f>
        <v>420</v>
      </c>
      <c r="G2148" s="3" t="str">
        <f t="shared" si="168"/>
        <v>7min</v>
      </c>
      <c r="H2148" s="3">
        <f t="shared" si="169"/>
        <v>1.6503504299046317E-3</v>
      </c>
      <c r="I2148" s="3">
        <f t="shared" si="170"/>
        <v>0</v>
      </c>
      <c r="J2148" s="3">
        <f t="shared" si="171"/>
        <v>0</v>
      </c>
      <c r="K2148" s="3" t="str">
        <f t="shared" si="172"/>
        <v>Bk242</v>
      </c>
      <c r="L2148" s="3" cm="1">
        <f t="array" ref="L2148">SUM(($J2148*EXP(-$H2148*12*3600*_xlfn.SEQUENCE(L$1-1))))+$J2148</f>
        <v>0</v>
      </c>
      <c r="M2148" s="3"/>
      <c r="N2148" s="3"/>
    </row>
    <row r="2149" spans="2:14" hidden="1" x14ac:dyDescent="0.2">
      <c r="B2149" s="3">
        <v>97243</v>
      </c>
      <c r="C2149" s="3">
        <v>0</v>
      </c>
      <c r="D2149">
        <v>2146</v>
      </c>
      <c r="E2149" t="str">
        <f>VLOOKUP(B2149,Nuclides!A:F,5,FALSE)</f>
        <v>Bk243</v>
      </c>
      <c r="F2149">
        <f>VLOOKUP(B2149,Nuclides!A:F,4,FALSE)</f>
        <v>16200</v>
      </c>
      <c r="G2149" s="3" t="str">
        <f t="shared" si="168"/>
        <v>4.5h</v>
      </c>
      <c r="H2149" s="3">
        <f t="shared" si="169"/>
        <v>4.2786862997527484E-5</v>
      </c>
      <c r="I2149" s="3">
        <f t="shared" si="170"/>
        <v>0</v>
      </c>
      <c r="J2149" s="3">
        <f t="shared" si="171"/>
        <v>0</v>
      </c>
      <c r="K2149" s="3" t="str">
        <f t="shared" si="172"/>
        <v>Bk243</v>
      </c>
      <c r="L2149" s="3" cm="1">
        <f t="array" ref="L2149">SUM(($J2149*EXP(-$H2149*12*3600*_xlfn.SEQUENCE(L$1-1))))+$J2149</f>
        <v>0</v>
      </c>
      <c r="M2149" s="3"/>
      <c r="N2149" s="3"/>
    </row>
    <row r="2150" spans="2:14" hidden="1" x14ac:dyDescent="0.2">
      <c r="B2150" s="3">
        <v>97244</v>
      </c>
      <c r="C2150" s="3">
        <v>0</v>
      </c>
      <c r="D2150">
        <v>2147</v>
      </c>
      <c r="E2150" t="str">
        <f>VLOOKUP(B2150,Nuclides!A:F,5,FALSE)</f>
        <v>Bk244</v>
      </c>
      <c r="F2150">
        <f>VLOOKUP(B2150,Nuclides!A:F,4,FALSE)</f>
        <v>15659.9999999999</v>
      </c>
      <c r="G2150" s="3" t="str">
        <f t="shared" si="168"/>
        <v>4.35h</v>
      </c>
      <c r="H2150" s="3">
        <f t="shared" si="169"/>
        <v>4.4262272066408028E-5</v>
      </c>
      <c r="I2150" s="3">
        <f t="shared" si="170"/>
        <v>0</v>
      </c>
      <c r="J2150" s="3">
        <f t="shared" si="171"/>
        <v>0</v>
      </c>
      <c r="K2150" s="3" t="str">
        <f t="shared" si="172"/>
        <v>Bk244</v>
      </c>
      <c r="L2150" s="3" cm="1">
        <f t="array" ref="L2150">SUM(($J2150*EXP(-$H2150*12*3600*_xlfn.SEQUENCE(L$1-1))))+$J2150</f>
        <v>0</v>
      </c>
      <c r="M2150" s="3"/>
      <c r="N2150" s="3"/>
    </row>
    <row r="2151" spans="2:14" hidden="1" x14ac:dyDescent="0.2">
      <c r="B2151" s="3">
        <v>97245</v>
      </c>
      <c r="C2151" s="3">
        <v>0</v>
      </c>
      <c r="D2151">
        <v>2148</v>
      </c>
      <c r="E2151" t="str">
        <f>VLOOKUP(B2151,Nuclides!A:F,5,FALSE)</f>
        <v>Bk245</v>
      </c>
      <c r="F2151">
        <f>VLOOKUP(B2151,Nuclides!A:F,4,FALSE)</f>
        <v>427680</v>
      </c>
      <c r="G2151" s="3" t="str">
        <f t="shared" si="168"/>
        <v>4.95d</v>
      </c>
      <c r="H2151" s="3">
        <f t="shared" si="169"/>
        <v>1.6207145074821017E-6</v>
      </c>
      <c r="I2151" s="3">
        <f t="shared" si="170"/>
        <v>0</v>
      </c>
      <c r="J2151" s="3">
        <f t="shared" si="171"/>
        <v>0</v>
      </c>
      <c r="K2151" s="3" t="str">
        <f t="shared" si="172"/>
        <v>Bk245</v>
      </c>
      <c r="L2151" s="3" cm="1">
        <f t="array" ref="L2151">SUM(($J2151*EXP(-$H2151*12*3600*_xlfn.SEQUENCE(L$1-1))))+$J2151</f>
        <v>0</v>
      </c>
      <c r="M2151" s="3"/>
      <c r="N2151" s="3"/>
    </row>
    <row r="2152" spans="2:14" hidden="1" x14ac:dyDescent="0.2">
      <c r="B2152" s="3">
        <v>97246</v>
      </c>
      <c r="C2152" s="3">
        <v>0</v>
      </c>
      <c r="D2152">
        <v>2149</v>
      </c>
      <c r="E2152" t="str">
        <f>VLOOKUP(B2152,Nuclides!A:F,5,FALSE)</f>
        <v>Bk246</v>
      </c>
      <c r="F2152">
        <f>VLOOKUP(B2152,Nuclides!A:F,4,FALSE)</f>
        <v>155520</v>
      </c>
      <c r="G2152" s="3" t="str">
        <f t="shared" si="168"/>
        <v>1.8d</v>
      </c>
      <c r="H2152" s="3">
        <f t="shared" si="169"/>
        <v>4.4569648955757801E-6</v>
      </c>
      <c r="I2152" s="3">
        <f t="shared" si="170"/>
        <v>0</v>
      </c>
      <c r="J2152" s="3">
        <f t="shared" si="171"/>
        <v>0</v>
      </c>
      <c r="K2152" s="3" t="str">
        <f t="shared" si="172"/>
        <v>Bk246</v>
      </c>
      <c r="L2152" s="3" cm="1">
        <f t="array" ref="L2152">SUM(($J2152*EXP(-$H2152*12*3600*_xlfn.SEQUENCE(L$1-1))))+$J2152</f>
        <v>0</v>
      </c>
      <c r="M2152" s="3"/>
      <c r="N2152" s="3"/>
    </row>
    <row r="2153" spans="2:14" hidden="1" x14ac:dyDescent="0.2">
      <c r="B2153" s="3">
        <v>97247</v>
      </c>
      <c r="C2153" s="3">
        <v>0</v>
      </c>
      <c r="D2153">
        <v>2150</v>
      </c>
      <c r="E2153" t="str">
        <f>VLOOKUP(B2153,Nuclides!A:F,5,FALSE)</f>
        <v>Bk247</v>
      </c>
      <c r="F2153">
        <f>VLOOKUP(B2153,Nuclides!A:F,4,FALSE)</f>
        <v>43549488000</v>
      </c>
      <c r="G2153" s="3" t="str">
        <f t="shared" si="168"/>
        <v>1380.95y</v>
      </c>
      <c r="H2153" s="3">
        <f t="shared" si="169"/>
        <v>1.5916310670746468E-11</v>
      </c>
      <c r="I2153" s="3">
        <f t="shared" si="170"/>
        <v>0</v>
      </c>
      <c r="J2153" s="3">
        <f t="shared" si="171"/>
        <v>0</v>
      </c>
      <c r="K2153" s="3" t="str">
        <f t="shared" si="172"/>
        <v>Bk247</v>
      </c>
      <c r="L2153" s="3" cm="1">
        <f t="array" ref="L2153">SUM(($J2153*EXP(-$H2153*12*3600*_xlfn.SEQUENCE(L$1-1))))+$J2153</f>
        <v>0</v>
      </c>
      <c r="M2153" s="3"/>
      <c r="N2153" s="3"/>
    </row>
    <row r="2154" spans="2:14" hidden="1" x14ac:dyDescent="0.2">
      <c r="B2154" s="3">
        <v>97248</v>
      </c>
      <c r="C2154" s="3">
        <v>0</v>
      </c>
      <c r="D2154">
        <v>2151</v>
      </c>
      <c r="E2154" t="str">
        <f>VLOOKUP(B2154,Nuclides!A:F,5,FALSE)</f>
        <v>Bk248</v>
      </c>
      <c r="F2154">
        <f>VLOOKUP(B2154,Nuclides!A:F,4,FALSE)</f>
        <v>284018400</v>
      </c>
      <c r="G2154" s="3" t="str">
        <f t="shared" si="168"/>
        <v>9.01y</v>
      </c>
      <c r="H2154" s="3">
        <f t="shared" si="169"/>
        <v>2.4405009695144586E-9</v>
      </c>
      <c r="I2154" s="3">
        <f t="shared" si="170"/>
        <v>0</v>
      </c>
      <c r="J2154" s="3">
        <f t="shared" si="171"/>
        <v>0</v>
      </c>
      <c r="K2154" s="3" t="str">
        <f t="shared" si="172"/>
        <v>Bk248</v>
      </c>
      <c r="L2154" s="3" cm="1">
        <f t="array" ref="L2154">SUM(($J2154*EXP(-$H2154*12*3600*_xlfn.SEQUENCE(L$1-1))))+$J2154</f>
        <v>0</v>
      </c>
      <c r="M2154" s="3"/>
      <c r="N2154" s="3"/>
    </row>
    <row r="2155" spans="2:14" hidden="1" x14ac:dyDescent="0.2">
      <c r="B2155" s="3">
        <v>97249</v>
      </c>
      <c r="C2155" s="3">
        <v>0</v>
      </c>
      <c r="D2155">
        <v>2152</v>
      </c>
      <c r="E2155" t="str">
        <f>VLOOKUP(B2155,Nuclides!A:F,5,FALSE)</f>
        <v>Bk249</v>
      </c>
      <c r="F2155">
        <f>VLOOKUP(B2155,Nuclides!A:F,4,FALSE)</f>
        <v>28512000</v>
      </c>
      <c r="G2155" s="3" t="str">
        <f t="shared" si="168"/>
        <v>330d</v>
      </c>
      <c r="H2155" s="3">
        <f t="shared" si="169"/>
        <v>2.4310717612231527E-8</v>
      </c>
      <c r="I2155" s="3">
        <f t="shared" si="170"/>
        <v>0</v>
      </c>
      <c r="J2155" s="3">
        <f t="shared" si="171"/>
        <v>0</v>
      </c>
      <c r="K2155" s="3" t="str">
        <f t="shared" si="172"/>
        <v>Bk249</v>
      </c>
      <c r="L2155" s="3" cm="1">
        <f t="array" ref="L2155">SUM(($J2155*EXP(-$H2155*12*3600*_xlfn.SEQUENCE(L$1-1))))+$J2155</f>
        <v>0</v>
      </c>
      <c r="M2155" s="3"/>
      <c r="N2155" s="3"/>
    </row>
    <row r="2156" spans="2:14" hidden="1" x14ac:dyDescent="0.2">
      <c r="B2156" s="3">
        <v>97250</v>
      </c>
      <c r="C2156" s="3">
        <v>0</v>
      </c>
      <c r="D2156">
        <v>2153</v>
      </c>
      <c r="E2156" t="str">
        <f>VLOOKUP(B2156,Nuclides!A:F,5,FALSE)</f>
        <v>Bk250</v>
      </c>
      <c r="F2156">
        <f>VLOOKUP(B2156,Nuclides!A:F,4,FALSE)</f>
        <v>11563.2</v>
      </c>
      <c r="G2156" s="3" t="str">
        <f t="shared" si="168"/>
        <v>3.21h</v>
      </c>
      <c r="H2156" s="3">
        <f t="shared" si="169"/>
        <v>5.9944235208242119E-5</v>
      </c>
      <c r="I2156" s="3">
        <f t="shared" si="170"/>
        <v>0</v>
      </c>
      <c r="J2156" s="3">
        <f t="shared" si="171"/>
        <v>0</v>
      </c>
      <c r="K2156" s="3" t="str">
        <f t="shared" si="172"/>
        <v>Bk250</v>
      </c>
      <c r="L2156" s="3" cm="1">
        <f t="array" ref="L2156">SUM(($J2156*EXP(-$H2156*12*3600*_xlfn.SEQUENCE(L$1-1))))+$J2156</f>
        <v>0</v>
      </c>
      <c r="M2156" s="3"/>
      <c r="N2156" s="3"/>
    </row>
    <row r="2157" spans="2:14" hidden="1" x14ac:dyDescent="0.2">
      <c r="B2157" s="3">
        <v>97251</v>
      </c>
      <c r="C2157" s="3">
        <v>0</v>
      </c>
      <c r="D2157">
        <v>2154</v>
      </c>
      <c r="E2157" t="str">
        <f>VLOOKUP(B2157,Nuclides!A:F,5,FALSE)</f>
        <v>Bk251</v>
      </c>
      <c r="F2157">
        <f>VLOOKUP(B2157,Nuclides!A:F,4,FALSE)</f>
        <v>3336</v>
      </c>
      <c r="G2157" s="3" t="str">
        <f t="shared" si="168"/>
        <v>55.6min</v>
      </c>
      <c r="H2157" s="3">
        <f t="shared" si="169"/>
        <v>2.0777793182252555E-4</v>
      </c>
      <c r="I2157" s="3">
        <f t="shared" si="170"/>
        <v>0</v>
      </c>
      <c r="J2157" s="3">
        <f t="shared" si="171"/>
        <v>0</v>
      </c>
      <c r="K2157" s="3" t="str">
        <f t="shared" si="172"/>
        <v>Bk251</v>
      </c>
      <c r="L2157" s="3" cm="1">
        <f t="array" ref="L2157">SUM(($J2157*EXP(-$H2157*12*3600*_xlfn.SEQUENCE(L$1-1))))+$J2157</f>
        <v>0</v>
      </c>
      <c r="M2157" s="3"/>
      <c r="N2157" s="3"/>
    </row>
    <row r="2158" spans="2:14" hidden="1" x14ac:dyDescent="0.2">
      <c r="B2158" s="3">
        <v>98239</v>
      </c>
      <c r="C2158" s="3">
        <v>0</v>
      </c>
      <c r="D2158">
        <v>2155</v>
      </c>
      <c r="E2158" t="str">
        <f>VLOOKUP(B2158,Nuclides!A:F,5,FALSE)</f>
        <v>Cf239</v>
      </c>
      <c r="F2158">
        <f>VLOOKUP(B2158,Nuclides!A:F,4,FALSE)</f>
        <v>39</v>
      </c>
      <c r="G2158" s="3" t="str">
        <f t="shared" si="168"/>
        <v>39s</v>
      </c>
      <c r="H2158" s="3">
        <f t="shared" si="169"/>
        <v>1.7773004629742187E-2</v>
      </c>
      <c r="I2158" s="3">
        <f t="shared" si="170"/>
        <v>0</v>
      </c>
      <c r="J2158" s="3">
        <f t="shared" si="171"/>
        <v>0</v>
      </c>
      <c r="K2158" s="3" t="str">
        <f t="shared" si="172"/>
        <v>Cf239</v>
      </c>
      <c r="L2158" s="3" cm="1">
        <f t="array" ref="L2158">SUM(($J2158*EXP(-$H2158*12*3600*_xlfn.SEQUENCE(L$1-1))))+$J2158</f>
        <v>0</v>
      </c>
      <c r="M2158" s="3"/>
      <c r="N2158" s="3"/>
    </row>
    <row r="2159" spans="2:14" hidden="1" x14ac:dyDescent="0.2">
      <c r="B2159" s="3">
        <v>98240</v>
      </c>
      <c r="C2159" s="3">
        <v>0</v>
      </c>
      <c r="D2159">
        <v>2156</v>
      </c>
      <c r="E2159" t="str">
        <f>VLOOKUP(B2159,Nuclides!A:F,5,FALSE)</f>
        <v>Cf240</v>
      </c>
      <c r="F2159">
        <f>VLOOKUP(B2159,Nuclides!A:F,4,FALSE)</f>
        <v>64</v>
      </c>
      <c r="G2159" s="3" t="str">
        <f t="shared" si="168"/>
        <v>1.07min</v>
      </c>
      <c r="H2159" s="3">
        <f t="shared" si="169"/>
        <v>1.0830424696249145E-2</v>
      </c>
      <c r="I2159" s="3">
        <f t="shared" si="170"/>
        <v>0</v>
      </c>
      <c r="J2159" s="3">
        <f t="shared" si="171"/>
        <v>0</v>
      </c>
      <c r="K2159" s="3" t="str">
        <f t="shared" si="172"/>
        <v>Cf240</v>
      </c>
      <c r="L2159" s="3" cm="1">
        <f t="array" ref="L2159">SUM(($J2159*EXP(-$H2159*12*3600*_xlfn.SEQUENCE(L$1-1))))+$J2159</f>
        <v>0</v>
      </c>
      <c r="M2159" s="3"/>
      <c r="N2159" s="3"/>
    </row>
    <row r="2160" spans="2:14" hidden="1" x14ac:dyDescent="0.2">
      <c r="B2160" s="3">
        <v>98241</v>
      </c>
      <c r="C2160" s="3">
        <v>0</v>
      </c>
      <c r="D2160">
        <v>2157</v>
      </c>
      <c r="E2160" t="str">
        <f>VLOOKUP(B2160,Nuclides!A:F,5,FALSE)</f>
        <v>Cf241</v>
      </c>
      <c r="F2160">
        <f>VLOOKUP(B2160,Nuclides!A:F,4,FALSE)</f>
        <v>226.79999999999899</v>
      </c>
      <c r="G2160" s="3" t="str">
        <f t="shared" si="168"/>
        <v>3.78min</v>
      </c>
      <c r="H2160" s="3">
        <f t="shared" si="169"/>
        <v>3.0562044998234056E-3</v>
      </c>
      <c r="I2160" s="3">
        <f t="shared" si="170"/>
        <v>0</v>
      </c>
      <c r="J2160" s="3">
        <f t="shared" si="171"/>
        <v>0</v>
      </c>
      <c r="K2160" s="3" t="str">
        <f t="shared" si="172"/>
        <v>Cf241</v>
      </c>
      <c r="L2160" s="3" cm="1">
        <f t="array" ref="L2160">SUM(($J2160*EXP(-$H2160*12*3600*_xlfn.SEQUENCE(L$1-1))))+$J2160</f>
        <v>0</v>
      </c>
      <c r="M2160" s="3"/>
      <c r="N2160" s="3"/>
    </row>
    <row r="2161" spans="2:14" hidden="1" x14ac:dyDescent="0.2">
      <c r="B2161" s="3">
        <v>98242</v>
      </c>
      <c r="C2161" s="3">
        <v>0</v>
      </c>
      <c r="D2161">
        <v>2158</v>
      </c>
      <c r="E2161" t="str">
        <f>VLOOKUP(B2161,Nuclides!A:F,5,FALSE)</f>
        <v>Cf242</v>
      </c>
      <c r="F2161">
        <f>VLOOKUP(B2161,Nuclides!A:F,4,FALSE)</f>
        <v>209.4</v>
      </c>
      <c r="G2161" s="3" t="str">
        <f t="shared" si="168"/>
        <v>3.49min</v>
      </c>
      <c r="H2161" s="3">
        <f t="shared" si="169"/>
        <v>3.3101584553961094E-3</v>
      </c>
      <c r="I2161" s="3">
        <f t="shared" si="170"/>
        <v>0</v>
      </c>
      <c r="J2161" s="3">
        <f t="shared" si="171"/>
        <v>0</v>
      </c>
      <c r="K2161" s="3" t="str">
        <f t="shared" si="172"/>
        <v>Cf242</v>
      </c>
      <c r="L2161" s="3" cm="1">
        <f t="array" ref="L2161">SUM(($J2161*EXP(-$H2161*12*3600*_xlfn.SEQUENCE(L$1-1))))+$J2161</f>
        <v>0</v>
      </c>
      <c r="M2161" s="3"/>
      <c r="N2161" s="3"/>
    </row>
    <row r="2162" spans="2:14" hidden="1" x14ac:dyDescent="0.2">
      <c r="B2162" s="3">
        <v>98243</v>
      </c>
      <c r="C2162" s="3">
        <v>0</v>
      </c>
      <c r="D2162">
        <v>2159</v>
      </c>
      <c r="E2162" t="str">
        <f>VLOOKUP(B2162,Nuclides!A:F,5,FALSE)</f>
        <v>Cf243</v>
      </c>
      <c r="F2162">
        <f>VLOOKUP(B2162,Nuclides!A:F,4,FALSE)</f>
        <v>642</v>
      </c>
      <c r="G2162" s="3" t="str">
        <f t="shared" si="168"/>
        <v>10.7min</v>
      </c>
      <c r="H2162" s="3">
        <f t="shared" si="169"/>
        <v>1.079668505545086E-3</v>
      </c>
      <c r="I2162" s="3">
        <f t="shared" si="170"/>
        <v>0</v>
      </c>
      <c r="J2162" s="3">
        <f t="shared" si="171"/>
        <v>0</v>
      </c>
      <c r="K2162" s="3" t="str">
        <f t="shared" si="172"/>
        <v>Cf243</v>
      </c>
      <c r="L2162" s="3" cm="1">
        <f t="array" ref="L2162">SUM(($J2162*EXP(-$H2162*12*3600*_xlfn.SEQUENCE(L$1-1))))+$J2162</f>
        <v>0</v>
      </c>
      <c r="M2162" s="3"/>
      <c r="N2162" s="3"/>
    </row>
    <row r="2163" spans="2:14" hidden="1" x14ac:dyDescent="0.2">
      <c r="B2163" s="3">
        <v>98244</v>
      </c>
      <c r="C2163" s="3">
        <v>0</v>
      </c>
      <c r="D2163">
        <v>2160</v>
      </c>
      <c r="E2163" t="str">
        <f>VLOOKUP(B2163,Nuclides!A:F,5,FALSE)</f>
        <v>Cf244</v>
      </c>
      <c r="F2163">
        <f>VLOOKUP(B2163,Nuclides!A:F,4,FALSE)</f>
        <v>1164</v>
      </c>
      <c r="G2163" s="3" t="str">
        <f t="shared" si="168"/>
        <v>19.4min</v>
      </c>
      <c r="H2163" s="3">
        <f t="shared" si="169"/>
        <v>5.9548726852228981E-4</v>
      </c>
      <c r="I2163" s="3">
        <f t="shared" si="170"/>
        <v>0</v>
      </c>
      <c r="J2163" s="3">
        <f t="shared" si="171"/>
        <v>0</v>
      </c>
      <c r="K2163" s="3" t="str">
        <f t="shared" si="172"/>
        <v>Cf244</v>
      </c>
      <c r="L2163" s="3" cm="1">
        <f t="array" ref="L2163">SUM(($J2163*EXP(-$H2163*12*3600*_xlfn.SEQUENCE(L$1-1))))+$J2163</f>
        <v>0</v>
      </c>
      <c r="M2163" s="3"/>
      <c r="N2163" s="3"/>
    </row>
    <row r="2164" spans="2:14" hidden="1" x14ac:dyDescent="0.2">
      <c r="B2164" s="3">
        <v>98245</v>
      </c>
      <c r="C2164" s="3">
        <v>0</v>
      </c>
      <c r="D2164">
        <v>2161</v>
      </c>
      <c r="E2164" t="str">
        <f>VLOOKUP(B2164,Nuclides!A:F,5,FALSE)</f>
        <v>Cf245</v>
      </c>
      <c r="F2164">
        <f>VLOOKUP(B2164,Nuclides!A:F,4,FALSE)</f>
        <v>2700</v>
      </c>
      <c r="G2164" s="3" t="str">
        <f t="shared" si="168"/>
        <v>45min</v>
      </c>
      <c r="H2164" s="3">
        <f t="shared" si="169"/>
        <v>2.5672117798516492E-4</v>
      </c>
      <c r="I2164" s="3">
        <f t="shared" si="170"/>
        <v>0</v>
      </c>
      <c r="J2164" s="3">
        <f t="shared" si="171"/>
        <v>0</v>
      </c>
      <c r="K2164" s="3" t="str">
        <f t="shared" si="172"/>
        <v>Cf245</v>
      </c>
      <c r="L2164" s="3" cm="1">
        <f t="array" ref="L2164">SUM(($J2164*EXP(-$H2164*12*3600*_xlfn.SEQUENCE(L$1-1))))+$J2164</f>
        <v>0</v>
      </c>
      <c r="M2164" s="3"/>
      <c r="N2164" s="3"/>
    </row>
    <row r="2165" spans="2:14" hidden="1" x14ac:dyDescent="0.2">
      <c r="B2165" s="3">
        <v>98246</v>
      </c>
      <c r="C2165" s="3">
        <v>0</v>
      </c>
      <c r="D2165">
        <v>2162</v>
      </c>
      <c r="E2165" t="str">
        <f>VLOOKUP(B2165,Nuclides!A:F,5,FALSE)</f>
        <v>Cf246</v>
      </c>
      <c r="F2165">
        <f>VLOOKUP(B2165,Nuclides!A:F,4,FALSE)</f>
        <v>128520</v>
      </c>
      <c r="G2165" s="3" t="str">
        <f t="shared" si="168"/>
        <v>1.49d</v>
      </c>
      <c r="H2165" s="3">
        <f t="shared" si="169"/>
        <v>5.3933020585118681E-6</v>
      </c>
      <c r="I2165" s="3">
        <f t="shared" si="170"/>
        <v>0</v>
      </c>
      <c r="J2165" s="3">
        <f t="shared" si="171"/>
        <v>0</v>
      </c>
      <c r="K2165" s="3" t="str">
        <f t="shared" si="172"/>
        <v>Cf246</v>
      </c>
      <c r="L2165" s="3" cm="1">
        <f t="array" ref="L2165">SUM(($J2165*EXP(-$H2165*12*3600*_xlfn.SEQUENCE(L$1-1))))+$J2165</f>
        <v>0</v>
      </c>
      <c r="M2165" s="3"/>
      <c r="N2165" s="3"/>
    </row>
    <row r="2166" spans="2:14" hidden="1" x14ac:dyDescent="0.2">
      <c r="B2166" s="3">
        <v>98247</v>
      </c>
      <c r="C2166" s="3">
        <v>0</v>
      </c>
      <c r="D2166">
        <v>2163</v>
      </c>
      <c r="E2166" t="str">
        <f>VLOOKUP(B2166,Nuclides!A:F,5,FALSE)</f>
        <v>Cf247</v>
      </c>
      <c r="F2166">
        <f>VLOOKUP(B2166,Nuclides!A:F,4,FALSE)</f>
        <v>11196</v>
      </c>
      <c r="G2166" s="3" t="str">
        <f t="shared" si="168"/>
        <v>3.11h</v>
      </c>
      <c r="H2166" s="3">
        <f t="shared" si="169"/>
        <v>6.1910251925682865E-5</v>
      </c>
      <c r="I2166" s="3">
        <f t="shared" si="170"/>
        <v>0</v>
      </c>
      <c r="J2166" s="3">
        <f t="shared" si="171"/>
        <v>0</v>
      </c>
      <c r="K2166" s="3" t="str">
        <f t="shared" si="172"/>
        <v>Cf247</v>
      </c>
      <c r="L2166" s="3" cm="1">
        <f t="array" ref="L2166">SUM(($J2166*EXP(-$H2166*12*3600*_xlfn.SEQUENCE(L$1-1))))+$J2166</f>
        <v>0</v>
      </c>
      <c r="M2166" s="3"/>
      <c r="N2166" s="3"/>
    </row>
    <row r="2167" spans="2:14" hidden="1" x14ac:dyDescent="0.2">
      <c r="B2167" s="3">
        <v>98248</v>
      </c>
      <c r="C2167" s="3">
        <v>0</v>
      </c>
      <c r="D2167">
        <v>2164</v>
      </c>
      <c r="E2167" t="str">
        <f>VLOOKUP(B2167,Nuclides!A:F,5,FALSE)</f>
        <v>Cf248</v>
      </c>
      <c r="F2167">
        <f>VLOOKUP(B2167,Nuclides!A:F,4,FALSE)</f>
        <v>28814400</v>
      </c>
      <c r="G2167" s="3" t="str">
        <f t="shared" si="168"/>
        <v>333.5d</v>
      </c>
      <c r="H2167" s="3">
        <f t="shared" si="169"/>
        <v>2.4055582644786817E-8</v>
      </c>
      <c r="I2167" s="3">
        <f t="shared" si="170"/>
        <v>0</v>
      </c>
      <c r="J2167" s="3">
        <f t="shared" si="171"/>
        <v>0</v>
      </c>
      <c r="K2167" s="3" t="str">
        <f t="shared" si="172"/>
        <v>Cf248</v>
      </c>
      <c r="L2167" s="3" cm="1">
        <f t="array" ref="L2167">SUM(($J2167*EXP(-$H2167*12*3600*_xlfn.SEQUENCE(L$1-1))))+$J2167</f>
        <v>0</v>
      </c>
      <c r="M2167" s="3"/>
      <c r="N2167" s="3"/>
    </row>
    <row r="2168" spans="2:14" hidden="1" x14ac:dyDescent="0.2">
      <c r="B2168" s="3">
        <v>98249</v>
      </c>
      <c r="C2168" s="3">
        <v>0</v>
      </c>
      <c r="D2168">
        <v>2165</v>
      </c>
      <c r="E2168" t="str">
        <f>VLOOKUP(B2168,Nuclides!A:F,5,FALSE)</f>
        <v>Cf249</v>
      </c>
      <c r="F2168">
        <f>VLOOKUP(B2168,Nuclides!A:F,4,FALSE)</f>
        <v>11076717600</v>
      </c>
      <c r="G2168" s="3" t="str">
        <f t="shared" si="168"/>
        <v>351.24y</v>
      </c>
      <c r="H2168" s="3">
        <f t="shared" si="169"/>
        <v>6.2576947936268165E-11</v>
      </c>
      <c r="I2168" s="3">
        <f t="shared" si="170"/>
        <v>0</v>
      </c>
      <c r="J2168" s="3">
        <f t="shared" si="171"/>
        <v>0</v>
      </c>
      <c r="K2168" s="3" t="str">
        <f t="shared" si="172"/>
        <v>Cf249</v>
      </c>
      <c r="L2168" s="3" cm="1">
        <f t="array" ref="L2168">SUM(($J2168*EXP(-$H2168*12*3600*_xlfn.SEQUENCE(L$1-1))))+$J2168</f>
        <v>0</v>
      </c>
      <c r="M2168" s="3"/>
      <c r="N2168" s="3"/>
    </row>
    <row r="2169" spans="2:14" hidden="1" x14ac:dyDescent="0.2">
      <c r="B2169" s="3">
        <v>98250</v>
      </c>
      <c r="C2169" s="3">
        <v>0</v>
      </c>
      <c r="D2169">
        <v>2166</v>
      </c>
      <c r="E2169" t="str">
        <f>VLOOKUP(B2169,Nuclides!A:F,5,FALSE)</f>
        <v>Cf250</v>
      </c>
      <c r="F2169">
        <f>VLOOKUP(B2169,Nuclides!A:F,4,FALSE)</f>
        <v>412773408</v>
      </c>
      <c r="G2169" s="3" t="str">
        <f t="shared" si="168"/>
        <v>13.09y</v>
      </c>
      <c r="H2169" s="3">
        <f t="shared" si="169"/>
        <v>1.6792437863631596E-9</v>
      </c>
      <c r="I2169" s="3">
        <f t="shared" si="170"/>
        <v>0</v>
      </c>
      <c r="J2169" s="3">
        <f t="shared" si="171"/>
        <v>0</v>
      </c>
      <c r="K2169" s="3" t="str">
        <f t="shared" si="172"/>
        <v>Cf250</v>
      </c>
      <c r="L2169" s="3" cm="1">
        <f t="array" ref="L2169">SUM(($J2169*EXP(-$H2169*12*3600*_xlfn.SEQUENCE(L$1-1))))+$J2169</f>
        <v>0</v>
      </c>
      <c r="M2169" s="3"/>
      <c r="N2169" s="3"/>
    </row>
    <row r="2170" spans="2:14" hidden="1" x14ac:dyDescent="0.2">
      <c r="B2170" s="3">
        <v>98251</v>
      </c>
      <c r="C2170" s="3">
        <v>0</v>
      </c>
      <c r="D2170">
        <v>2167</v>
      </c>
      <c r="E2170" t="str">
        <f>VLOOKUP(B2170,Nuclides!A:F,5,FALSE)</f>
        <v>Cf251</v>
      </c>
      <c r="F2170">
        <f>VLOOKUP(B2170,Nuclides!A:F,4,FALSE)</f>
        <v>28338724800</v>
      </c>
      <c r="G2170" s="3" t="str">
        <f t="shared" si="168"/>
        <v>898.62y</v>
      </c>
      <c r="H2170" s="3">
        <f t="shared" si="169"/>
        <v>2.4459363837004597E-11</v>
      </c>
      <c r="I2170" s="3">
        <f t="shared" si="170"/>
        <v>0</v>
      </c>
      <c r="J2170" s="3">
        <f t="shared" si="171"/>
        <v>0</v>
      </c>
      <c r="K2170" s="3" t="str">
        <f t="shared" si="172"/>
        <v>Cf251</v>
      </c>
      <c r="L2170" s="3" cm="1">
        <f t="array" ref="L2170">SUM(($J2170*EXP(-$H2170*12*3600*_xlfn.SEQUENCE(L$1-1))))+$J2170</f>
        <v>0</v>
      </c>
      <c r="M2170" s="3"/>
      <c r="N2170" s="3"/>
    </row>
    <row r="2171" spans="2:14" hidden="1" x14ac:dyDescent="0.2">
      <c r="B2171" s="3">
        <v>98252</v>
      </c>
      <c r="C2171" s="3">
        <v>0</v>
      </c>
      <c r="D2171">
        <v>2168</v>
      </c>
      <c r="E2171" t="str">
        <f>VLOOKUP(B2171,Nuclides!A:F,5,FALSE)</f>
        <v>Cf252</v>
      </c>
      <c r="F2171">
        <f>VLOOKUP(B2171,Nuclides!A:F,4,FALSE)</f>
        <v>83469852</v>
      </c>
      <c r="G2171" s="3" t="str">
        <f t="shared" si="168"/>
        <v>2.65y</v>
      </c>
      <c r="H2171" s="3">
        <f t="shared" si="169"/>
        <v>8.3041620890851134E-9</v>
      </c>
      <c r="I2171" s="3">
        <f t="shared" si="170"/>
        <v>0</v>
      </c>
      <c r="J2171" s="3">
        <f t="shared" si="171"/>
        <v>0</v>
      </c>
      <c r="K2171" s="3" t="str">
        <f t="shared" si="172"/>
        <v>Cf252</v>
      </c>
      <c r="L2171" s="3" cm="1">
        <f t="array" ref="L2171">SUM(($J2171*EXP(-$H2171*12*3600*_xlfn.SEQUENCE(L$1-1))))+$J2171</f>
        <v>0</v>
      </c>
      <c r="M2171" s="3"/>
      <c r="N2171" s="3"/>
    </row>
    <row r="2172" spans="2:14" hidden="1" x14ac:dyDescent="0.2">
      <c r="B2172" s="3">
        <v>98253</v>
      </c>
      <c r="C2172" s="3">
        <v>0</v>
      </c>
      <c r="D2172">
        <v>2169</v>
      </c>
      <c r="E2172" t="str">
        <f>VLOOKUP(B2172,Nuclides!A:F,5,FALSE)</f>
        <v>Cf253</v>
      </c>
      <c r="F2172">
        <f>VLOOKUP(B2172,Nuclides!A:F,4,FALSE)</f>
        <v>1538784</v>
      </c>
      <c r="G2172" s="3" t="str">
        <f t="shared" si="168"/>
        <v>17.81d</v>
      </c>
      <c r="H2172" s="3">
        <f t="shared" si="169"/>
        <v>4.5045125278138144E-7</v>
      </c>
      <c r="I2172" s="3">
        <f t="shared" si="170"/>
        <v>0</v>
      </c>
      <c r="J2172" s="3">
        <f t="shared" si="171"/>
        <v>0</v>
      </c>
      <c r="K2172" s="3" t="str">
        <f t="shared" si="172"/>
        <v>Cf253</v>
      </c>
      <c r="L2172" s="3" cm="1">
        <f t="array" ref="L2172">SUM(($J2172*EXP(-$H2172*12*3600*_xlfn.SEQUENCE(L$1-1))))+$J2172</f>
        <v>0</v>
      </c>
      <c r="M2172" s="3"/>
      <c r="N2172" s="3"/>
    </row>
    <row r="2173" spans="2:14" hidden="1" x14ac:dyDescent="0.2">
      <c r="B2173" s="3">
        <v>98254</v>
      </c>
      <c r="C2173" s="3">
        <v>0</v>
      </c>
      <c r="D2173">
        <v>2170</v>
      </c>
      <c r="E2173" t="str">
        <f>VLOOKUP(B2173,Nuclides!A:F,5,FALSE)</f>
        <v>Cf254</v>
      </c>
      <c r="F2173">
        <f>VLOOKUP(B2173,Nuclides!A:F,4,FALSE)</f>
        <v>5227200</v>
      </c>
      <c r="G2173" s="3" t="str">
        <f t="shared" si="168"/>
        <v>60.5d</v>
      </c>
      <c r="H2173" s="3">
        <f t="shared" si="169"/>
        <v>1.3260391424853561E-7</v>
      </c>
      <c r="I2173" s="3">
        <f t="shared" si="170"/>
        <v>0</v>
      </c>
      <c r="J2173" s="3">
        <f t="shared" si="171"/>
        <v>0</v>
      </c>
      <c r="K2173" s="3" t="str">
        <f t="shared" si="172"/>
        <v>Cf254</v>
      </c>
      <c r="L2173" s="3" cm="1">
        <f t="array" ref="L2173">SUM(($J2173*EXP(-$H2173*12*3600*_xlfn.SEQUENCE(L$1-1))))+$J2173</f>
        <v>0</v>
      </c>
      <c r="M2173" s="3"/>
      <c r="N2173" s="3"/>
    </row>
    <row r="2174" spans="2:14" hidden="1" x14ac:dyDescent="0.2">
      <c r="B2174" s="3">
        <v>98255</v>
      </c>
      <c r="C2174" s="3">
        <v>0</v>
      </c>
      <c r="D2174">
        <v>2171</v>
      </c>
      <c r="E2174" t="str">
        <f>VLOOKUP(B2174,Nuclides!A:F,5,FALSE)</f>
        <v>Cf255</v>
      </c>
      <c r="F2174">
        <f>VLOOKUP(B2174,Nuclides!A:F,4,FALSE)</f>
        <v>5100</v>
      </c>
      <c r="G2174" s="3" t="str">
        <f t="shared" si="168"/>
        <v>1.42h</v>
      </c>
      <c r="H2174" s="3">
        <f t="shared" si="169"/>
        <v>1.3591121187449907E-4</v>
      </c>
      <c r="I2174" s="3">
        <f t="shared" si="170"/>
        <v>0</v>
      </c>
      <c r="J2174" s="3">
        <f t="shared" si="171"/>
        <v>0</v>
      </c>
      <c r="K2174" s="3" t="str">
        <f t="shared" si="172"/>
        <v>Cf255</v>
      </c>
      <c r="L2174" s="3" cm="1">
        <f t="array" ref="L2174">SUM(($J2174*EXP(-$H2174*12*3600*_xlfn.SEQUENCE(L$1-1))))+$J2174</f>
        <v>0</v>
      </c>
      <c r="M2174" s="3"/>
      <c r="N2174" s="3"/>
    </row>
    <row r="2175" spans="2:14" hidden="1" x14ac:dyDescent="0.2">
      <c r="B2175" s="3">
        <v>98256</v>
      </c>
      <c r="C2175" s="3">
        <v>0</v>
      </c>
      <c r="D2175">
        <v>2172</v>
      </c>
      <c r="E2175" t="str">
        <f>VLOOKUP(B2175,Nuclides!A:F,5,FALSE)</f>
        <v>Cf256</v>
      </c>
      <c r="F2175">
        <f>VLOOKUP(B2175,Nuclides!A:F,4,FALSE)</f>
        <v>738</v>
      </c>
      <c r="G2175" s="3" t="str">
        <f t="shared" si="168"/>
        <v>12.3min</v>
      </c>
      <c r="H2175" s="3">
        <f t="shared" si="169"/>
        <v>9.3922382189694481E-4</v>
      </c>
      <c r="I2175" s="3">
        <f t="shared" si="170"/>
        <v>0</v>
      </c>
      <c r="J2175" s="3">
        <f t="shared" si="171"/>
        <v>0</v>
      </c>
      <c r="K2175" s="3" t="str">
        <f t="shared" si="172"/>
        <v>Cf256</v>
      </c>
      <c r="L2175" s="3" cm="1">
        <f t="array" ref="L2175">SUM(($J2175*EXP(-$H2175*12*3600*_xlfn.SEQUENCE(L$1-1))))+$J2175</f>
        <v>0</v>
      </c>
      <c r="M2175" s="3"/>
      <c r="N2175" s="3"/>
    </row>
    <row r="2176" spans="2:14" hidden="1" x14ac:dyDescent="0.2">
      <c r="B2176" s="3">
        <v>99243</v>
      </c>
      <c r="C2176" s="3">
        <v>0</v>
      </c>
      <c r="D2176">
        <v>2173</v>
      </c>
      <c r="E2176" t="str">
        <f>VLOOKUP(B2176,Nuclides!A:F,5,FALSE)</f>
        <v>Es243</v>
      </c>
      <c r="F2176">
        <f>VLOOKUP(B2176,Nuclides!A:F,4,FALSE)</f>
        <v>21</v>
      </c>
      <c r="G2176" s="3" t="str">
        <f t="shared" si="168"/>
        <v>21s</v>
      </c>
      <c r="H2176" s="3">
        <f t="shared" si="169"/>
        <v>3.3007008598092635E-2</v>
      </c>
      <c r="I2176" s="3">
        <f t="shared" si="170"/>
        <v>0</v>
      </c>
      <c r="J2176" s="3">
        <f t="shared" si="171"/>
        <v>0</v>
      </c>
      <c r="K2176" s="3" t="str">
        <f t="shared" si="172"/>
        <v>Es243</v>
      </c>
      <c r="L2176" s="3" cm="1">
        <f t="array" ref="L2176">SUM(($J2176*EXP(-$H2176*12*3600*_xlfn.SEQUENCE(L$1-1))))+$J2176</f>
        <v>0</v>
      </c>
      <c r="M2176" s="3"/>
      <c r="N2176" s="3"/>
    </row>
    <row r="2177" spans="2:14" hidden="1" x14ac:dyDescent="0.2">
      <c r="B2177" s="3">
        <v>99244</v>
      </c>
      <c r="C2177" s="3">
        <v>0</v>
      </c>
      <c r="D2177">
        <v>2174</v>
      </c>
      <c r="E2177" t="str">
        <f>VLOOKUP(B2177,Nuclides!A:F,5,FALSE)</f>
        <v>Es244</v>
      </c>
      <c r="F2177">
        <f>VLOOKUP(B2177,Nuclides!A:F,4,FALSE)</f>
        <v>37</v>
      </c>
      <c r="G2177" s="3" t="str">
        <f t="shared" si="168"/>
        <v>37s</v>
      </c>
      <c r="H2177" s="3">
        <f t="shared" si="169"/>
        <v>1.8733707582701223E-2</v>
      </c>
      <c r="I2177" s="3">
        <f t="shared" si="170"/>
        <v>0</v>
      </c>
      <c r="J2177" s="3">
        <f t="shared" si="171"/>
        <v>0</v>
      </c>
      <c r="K2177" s="3" t="str">
        <f t="shared" si="172"/>
        <v>Es244</v>
      </c>
      <c r="L2177" s="3" cm="1">
        <f t="array" ref="L2177">SUM(($J2177*EXP(-$H2177*12*3600*_xlfn.SEQUENCE(L$1-1))))+$J2177</f>
        <v>0</v>
      </c>
      <c r="M2177" s="3"/>
      <c r="N2177" s="3"/>
    </row>
    <row r="2178" spans="2:14" hidden="1" x14ac:dyDescent="0.2">
      <c r="B2178" s="3">
        <v>99245</v>
      </c>
      <c r="C2178" s="3">
        <v>0</v>
      </c>
      <c r="D2178">
        <v>2175</v>
      </c>
      <c r="E2178" t="str">
        <f>VLOOKUP(B2178,Nuclides!A:F,5,FALSE)</f>
        <v>Es245</v>
      </c>
      <c r="F2178">
        <f>VLOOKUP(B2178,Nuclides!A:F,4,FALSE)</f>
        <v>66</v>
      </c>
      <c r="G2178" s="3" t="str">
        <f t="shared" si="168"/>
        <v>1.1min</v>
      </c>
      <c r="H2178" s="3">
        <f t="shared" si="169"/>
        <v>1.050223000848402E-2</v>
      </c>
      <c r="I2178" s="3">
        <f t="shared" si="170"/>
        <v>0</v>
      </c>
      <c r="J2178" s="3">
        <f t="shared" si="171"/>
        <v>0</v>
      </c>
      <c r="K2178" s="3" t="str">
        <f t="shared" si="172"/>
        <v>Es245</v>
      </c>
      <c r="L2178" s="3" cm="1">
        <f t="array" ref="L2178">SUM(($J2178*EXP(-$H2178*12*3600*_xlfn.SEQUENCE(L$1-1))))+$J2178</f>
        <v>0</v>
      </c>
      <c r="M2178" s="3"/>
      <c r="N2178" s="3"/>
    </row>
    <row r="2179" spans="2:14" hidden="1" x14ac:dyDescent="0.2">
      <c r="B2179" s="3">
        <v>99246</v>
      </c>
      <c r="C2179" s="3">
        <v>0</v>
      </c>
      <c r="D2179">
        <v>2176</v>
      </c>
      <c r="E2179" t="str">
        <f>VLOOKUP(B2179,Nuclides!A:F,5,FALSE)</f>
        <v>Es246</v>
      </c>
      <c r="F2179">
        <f>VLOOKUP(B2179,Nuclides!A:F,4,FALSE)</f>
        <v>450</v>
      </c>
      <c r="G2179" s="3" t="str">
        <f t="shared" si="168"/>
        <v>7.5min</v>
      </c>
      <c r="H2179" s="3">
        <f t="shared" si="169"/>
        <v>1.5403270679109895E-3</v>
      </c>
      <c r="I2179" s="3">
        <f t="shared" si="170"/>
        <v>0</v>
      </c>
      <c r="J2179" s="3">
        <f t="shared" si="171"/>
        <v>0</v>
      </c>
      <c r="K2179" s="3" t="str">
        <f t="shared" si="172"/>
        <v>Es246</v>
      </c>
      <c r="L2179" s="3" cm="1">
        <f t="array" ref="L2179">SUM(($J2179*EXP(-$H2179*12*3600*_xlfn.SEQUENCE(L$1-1))))+$J2179</f>
        <v>0</v>
      </c>
      <c r="M2179" s="3"/>
      <c r="N2179" s="3"/>
    </row>
    <row r="2180" spans="2:14" hidden="1" x14ac:dyDescent="0.2">
      <c r="B2180" s="3">
        <v>99247</v>
      </c>
      <c r="C2180" s="3">
        <v>0</v>
      </c>
      <c r="D2180">
        <v>2177</v>
      </c>
      <c r="E2180" t="str">
        <f>VLOOKUP(B2180,Nuclides!A:F,5,FALSE)</f>
        <v>Es247</v>
      </c>
      <c r="F2180">
        <f>VLOOKUP(B2180,Nuclides!A:F,4,FALSE)</f>
        <v>273</v>
      </c>
      <c r="G2180" s="3" t="str">
        <f t="shared" ref="G2180:G2208" si="173">IF(F2180="STABLE", "STABLE", IF(F2180&lt;60, F2180&amp;"s", IF(F2180&lt;3600, ROUND(F2180/60,2)&amp;"min", IF(F2180&lt;86400, ROUND(F2180/3600,2)&amp;"h", IF(F2180&lt;31536000, ROUND(F2180/86400,2)&amp;"d", ROUND(F2180/31536000,2)&amp;"y")))))</f>
        <v>4.55min</v>
      </c>
      <c r="H2180" s="3">
        <f t="shared" ref="H2180:H2208" si="174">LN(2)/F2180</f>
        <v>2.5390006613917409E-3</v>
      </c>
      <c r="I2180" s="3">
        <f t="shared" ref="I2180:I2208" si="175">100*6240000000000*C2180*(1-EXP(-H2180*2*3600))</f>
        <v>0</v>
      </c>
      <c r="J2180" s="3">
        <f t="shared" ref="J2180:J2208" si="176">I2180*EXP(-H2180*10*3600)</f>
        <v>0</v>
      </c>
      <c r="K2180" s="3" t="str">
        <f t="shared" ref="K2180:K2208" si="177">E2180</f>
        <v>Es247</v>
      </c>
      <c r="L2180" s="3" cm="1">
        <f t="array" ref="L2180">SUM(($J2180*EXP(-$H2180*12*3600*_xlfn.SEQUENCE(L$1-1))))+$J2180</f>
        <v>0</v>
      </c>
      <c r="M2180" s="3"/>
      <c r="N2180" s="3"/>
    </row>
    <row r="2181" spans="2:14" hidden="1" x14ac:dyDescent="0.2">
      <c r="B2181" s="3">
        <v>99248</v>
      </c>
      <c r="C2181" s="3">
        <v>0</v>
      </c>
      <c r="D2181">
        <v>2178</v>
      </c>
      <c r="E2181" t="str">
        <f>VLOOKUP(B2181,Nuclides!A:F,5,FALSE)</f>
        <v>Es248</v>
      </c>
      <c r="F2181">
        <f>VLOOKUP(B2181,Nuclides!A:F,4,FALSE)</f>
        <v>1440</v>
      </c>
      <c r="G2181" s="3" t="str">
        <f t="shared" si="173"/>
        <v>24min</v>
      </c>
      <c r="H2181" s="3">
        <f t="shared" si="174"/>
        <v>4.8135220872218423E-4</v>
      </c>
      <c r="I2181" s="3">
        <f t="shared" si="175"/>
        <v>0</v>
      </c>
      <c r="J2181" s="3">
        <f t="shared" si="176"/>
        <v>0</v>
      </c>
      <c r="K2181" s="3" t="str">
        <f t="shared" si="177"/>
        <v>Es248</v>
      </c>
      <c r="L2181" s="3" cm="1">
        <f t="array" ref="L2181">SUM(($J2181*EXP(-$H2181*12*3600*_xlfn.SEQUENCE(L$1-1))))+$J2181</f>
        <v>0</v>
      </c>
      <c r="M2181" s="3"/>
      <c r="N2181" s="3"/>
    </row>
    <row r="2182" spans="2:14" hidden="1" x14ac:dyDescent="0.2">
      <c r="B2182" s="3">
        <v>99249</v>
      </c>
      <c r="C2182" s="3">
        <v>0</v>
      </c>
      <c r="D2182">
        <v>2179</v>
      </c>
      <c r="E2182" t="str">
        <f>VLOOKUP(B2182,Nuclides!A:F,5,FALSE)</f>
        <v>Es249</v>
      </c>
      <c r="F2182">
        <f>VLOOKUP(B2182,Nuclides!A:F,4,FALSE)</f>
        <v>6132</v>
      </c>
      <c r="G2182" s="3" t="str">
        <f t="shared" si="173"/>
        <v>1.7h</v>
      </c>
      <c r="H2182" s="3">
        <f t="shared" si="174"/>
        <v>1.1303770067839942E-4</v>
      </c>
      <c r="I2182" s="3">
        <f t="shared" si="175"/>
        <v>0</v>
      </c>
      <c r="J2182" s="3">
        <f t="shared" si="176"/>
        <v>0</v>
      </c>
      <c r="K2182" s="3" t="str">
        <f t="shared" si="177"/>
        <v>Es249</v>
      </c>
      <c r="L2182" s="3" cm="1">
        <f t="array" ref="L2182">SUM(($J2182*EXP(-$H2182*12*3600*_xlfn.SEQUENCE(L$1-1))))+$J2182</f>
        <v>0</v>
      </c>
      <c r="M2182" s="3"/>
      <c r="N2182" s="3"/>
    </row>
    <row r="2183" spans="2:14" hidden="1" x14ac:dyDescent="0.2">
      <c r="B2183" s="3">
        <v>99250</v>
      </c>
      <c r="C2183" s="3">
        <v>0</v>
      </c>
      <c r="D2183">
        <v>2180</v>
      </c>
      <c r="E2183" t="str">
        <f>VLOOKUP(B2183,Nuclides!A:F,5,FALSE)</f>
        <v>Es250</v>
      </c>
      <c r="F2183">
        <f>VLOOKUP(B2183,Nuclides!A:F,4,FALSE)</f>
        <v>30960</v>
      </c>
      <c r="G2183" s="3" t="str">
        <f t="shared" si="173"/>
        <v>8.6h</v>
      </c>
      <c r="H2183" s="3">
        <f t="shared" si="174"/>
        <v>2.2388474824287639E-5</v>
      </c>
      <c r="I2183" s="3">
        <f t="shared" si="175"/>
        <v>0</v>
      </c>
      <c r="J2183" s="3">
        <f t="shared" si="176"/>
        <v>0</v>
      </c>
      <c r="K2183" s="3" t="str">
        <f t="shared" si="177"/>
        <v>Es250</v>
      </c>
      <c r="L2183" s="3" cm="1">
        <f t="array" ref="L2183">SUM(($J2183*EXP(-$H2183*12*3600*_xlfn.SEQUENCE(L$1-1))))+$J2183</f>
        <v>0</v>
      </c>
      <c r="M2183" s="3"/>
      <c r="N2183" s="3"/>
    </row>
    <row r="2184" spans="2:14" hidden="1" x14ac:dyDescent="0.2">
      <c r="B2184" s="3">
        <v>99251</v>
      </c>
      <c r="C2184" s="3">
        <v>0</v>
      </c>
      <c r="D2184">
        <v>2181</v>
      </c>
      <c r="E2184" t="str">
        <f>VLOOKUP(B2184,Nuclides!A:F,5,FALSE)</f>
        <v>Es251</v>
      </c>
      <c r="F2184">
        <f>VLOOKUP(B2184,Nuclides!A:F,4,FALSE)</f>
        <v>118800</v>
      </c>
      <c r="G2184" s="3" t="str">
        <f t="shared" si="173"/>
        <v>1.38d</v>
      </c>
      <c r="H2184" s="3">
        <f t="shared" si="174"/>
        <v>5.8345722269355664E-6</v>
      </c>
      <c r="I2184" s="3">
        <f t="shared" si="175"/>
        <v>0</v>
      </c>
      <c r="J2184" s="3">
        <f t="shared" si="176"/>
        <v>0</v>
      </c>
      <c r="K2184" s="3" t="str">
        <f t="shared" si="177"/>
        <v>Es251</v>
      </c>
      <c r="L2184" s="3" cm="1">
        <f t="array" ref="L2184">SUM(($J2184*EXP(-$H2184*12*3600*_xlfn.SEQUENCE(L$1-1))))+$J2184</f>
        <v>0</v>
      </c>
      <c r="M2184" s="3"/>
      <c r="N2184" s="3"/>
    </row>
    <row r="2185" spans="2:14" hidden="1" x14ac:dyDescent="0.2">
      <c r="B2185" s="3">
        <v>99252</v>
      </c>
      <c r="C2185" s="3">
        <v>0</v>
      </c>
      <c r="D2185">
        <v>2182</v>
      </c>
      <c r="E2185" t="str">
        <f>VLOOKUP(B2185,Nuclides!A:F,5,FALSE)</f>
        <v>Es252</v>
      </c>
      <c r="F2185">
        <f>VLOOKUP(B2185,Nuclides!A:F,4,FALSE)</f>
        <v>40754880</v>
      </c>
      <c r="G2185" s="3" t="str">
        <f t="shared" si="173"/>
        <v>1.29y</v>
      </c>
      <c r="H2185" s="3">
        <f t="shared" si="174"/>
        <v>1.7007710010677134E-8</v>
      </c>
      <c r="I2185" s="3">
        <f t="shared" si="175"/>
        <v>0</v>
      </c>
      <c r="J2185" s="3">
        <f t="shared" si="176"/>
        <v>0</v>
      </c>
      <c r="K2185" s="3" t="str">
        <f t="shared" si="177"/>
        <v>Es252</v>
      </c>
      <c r="L2185" s="3" cm="1">
        <f t="array" ref="L2185">SUM(($J2185*EXP(-$H2185*12*3600*_xlfn.SEQUENCE(L$1-1))))+$J2185</f>
        <v>0</v>
      </c>
      <c r="M2185" s="3"/>
      <c r="N2185" s="3"/>
    </row>
    <row r="2186" spans="2:14" hidden="1" x14ac:dyDescent="0.2">
      <c r="B2186" s="3">
        <v>99253</v>
      </c>
      <c r="C2186" s="3">
        <v>0</v>
      </c>
      <c r="D2186">
        <v>2183</v>
      </c>
      <c r="E2186" t="str">
        <f>VLOOKUP(B2186,Nuclides!A:F,5,FALSE)</f>
        <v>Es253</v>
      </c>
      <c r="F2186">
        <f>VLOOKUP(B2186,Nuclides!A:F,4,FALSE)</f>
        <v>1768608</v>
      </c>
      <c r="G2186" s="3" t="str">
        <f t="shared" si="173"/>
        <v>20.47d</v>
      </c>
      <c r="H2186" s="3">
        <f t="shared" si="174"/>
        <v>3.9191679589821221E-7</v>
      </c>
      <c r="I2186" s="3">
        <f t="shared" si="175"/>
        <v>0</v>
      </c>
      <c r="J2186" s="3">
        <f t="shared" si="176"/>
        <v>0</v>
      </c>
      <c r="K2186" s="3" t="str">
        <f t="shared" si="177"/>
        <v>Es253</v>
      </c>
      <c r="L2186" s="3" cm="1">
        <f t="array" ref="L2186">SUM(($J2186*EXP(-$H2186*12*3600*_xlfn.SEQUENCE(L$1-1))))+$J2186</f>
        <v>0</v>
      </c>
      <c r="M2186" s="3"/>
      <c r="N2186" s="3"/>
    </row>
    <row r="2187" spans="2:14" hidden="1" x14ac:dyDescent="0.2">
      <c r="B2187" s="3">
        <v>99254</v>
      </c>
      <c r="C2187" s="3">
        <v>0</v>
      </c>
      <c r="D2187">
        <v>2184</v>
      </c>
      <c r="E2187" t="str">
        <f>VLOOKUP(B2187,Nuclides!A:F,5,FALSE)</f>
        <v>Es254</v>
      </c>
      <c r="F2187">
        <f>VLOOKUP(B2187,Nuclides!A:F,4,FALSE)</f>
        <v>23820480</v>
      </c>
      <c r="G2187" s="3" t="str">
        <f t="shared" si="173"/>
        <v>275.7d</v>
      </c>
      <c r="H2187" s="3">
        <f t="shared" si="174"/>
        <v>2.9098791483628596E-8</v>
      </c>
      <c r="I2187" s="3">
        <f t="shared" si="175"/>
        <v>0</v>
      </c>
      <c r="J2187" s="3">
        <f t="shared" si="176"/>
        <v>0</v>
      </c>
      <c r="K2187" s="3" t="str">
        <f t="shared" si="177"/>
        <v>Es254</v>
      </c>
      <c r="L2187" s="3" cm="1">
        <f t="array" ref="L2187">SUM(($J2187*EXP(-$H2187*12*3600*_xlfn.SEQUENCE(L$1-1))))+$J2187</f>
        <v>0</v>
      </c>
      <c r="M2187" s="3"/>
      <c r="N2187" s="3"/>
    </row>
    <row r="2188" spans="2:14" hidden="1" x14ac:dyDescent="0.2">
      <c r="B2188" s="3">
        <v>99255</v>
      </c>
      <c r="C2188" s="3">
        <v>0</v>
      </c>
      <c r="D2188">
        <v>2185</v>
      </c>
      <c r="E2188" t="str">
        <f>VLOOKUP(B2188,Nuclides!A:F,5,FALSE)</f>
        <v>Es255</v>
      </c>
      <c r="F2188">
        <f>VLOOKUP(B2188,Nuclides!A:F,4,FALSE)</f>
        <v>3438719.9999999902</v>
      </c>
      <c r="G2188" s="3" t="str">
        <f t="shared" si="173"/>
        <v>39.8d</v>
      </c>
      <c r="H2188" s="3">
        <f t="shared" si="174"/>
        <v>2.0157127668433234E-7</v>
      </c>
      <c r="I2188" s="3">
        <f t="shared" si="175"/>
        <v>0</v>
      </c>
      <c r="J2188" s="3">
        <f t="shared" si="176"/>
        <v>0</v>
      </c>
      <c r="K2188" s="3" t="str">
        <f t="shared" si="177"/>
        <v>Es255</v>
      </c>
      <c r="L2188" s="3" cm="1">
        <f t="array" ref="L2188">SUM(($J2188*EXP(-$H2188*12*3600*_xlfn.SEQUENCE(L$1-1))))+$J2188</f>
        <v>0</v>
      </c>
      <c r="M2188" s="3"/>
      <c r="N2188" s="3"/>
    </row>
    <row r="2189" spans="2:14" hidden="1" x14ac:dyDescent="0.2">
      <c r="B2189" s="3">
        <v>99256</v>
      </c>
      <c r="C2189" s="3">
        <v>0</v>
      </c>
      <c r="D2189">
        <v>2186</v>
      </c>
      <c r="E2189" t="str">
        <f>VLOOKUP(B2189,Nuclides!A:F,5,FALSE)</f>
        <v>Es256</v>
      </c>
      <c r="F2189">
        <f>VLOOKUP(B2189,Nuclides!A:F,4,FALSE)</f>
        <v>1524</v>
      </c>
      <c r="G2189" s="3" t="str">
        <f t="shared" si="173"/>
        <v>25.4min</v>
      </c>
      <c r="H2189" s="3">
        <f t="shared" si="174"/>
        <v>4.5482098461938666E-4</v>
      </c>
      <c r="I2189" s="3">
        <f t="shared" si="175"/>
        <v>0</v>
      </c>
      <c r="J2189" s="3">
        <f t="shared" si="176"/>
        <v>0</v>
      </c>
      <c r="K2189" s="3" t="str">
        <f t="shared" si="177"/>
        <v>Es256</v>
      </c>
      <c r="L2189" s="3" cm="1">
        <f t="array" ref="L2189">SUM(($J2189*EXP(-$H2189*12*3600*_xlfn.SEQUENCE(L$1-1))))+$J2189</f>
        <v>0</v>
      </c>
      <c r="M2189" s="3"/>
      <c r="N2189" s="3"/>
    </row>
    <row r="2190" spans="2:14" hidden="1" x14ac:dyDescent="0.2">
      <c r="B2190" s="3">
        <v>100240</v>
      </c>
      <c r="C2190" s="3">
        <v>0</v>
      </c>
      <c r="D2190">
        <v>2187</v>
      </c>
      <c r="E2190" t="e">
        <f>VLOOKUP(B2190,Nuclides!A:F,5,FALSE)</f>
        <v>#N/A</v>
      </c>
      <c r="F2190" t="e">
        <f>VLOOKUP(B2190,Nuclides!A:F,4,FALSE)</f>
        <v>#N/A</v>
      </c>
      <c r="G2190" s="3" t="e">
        <f t="shared" si="173"/>
        <v>#N/A</v>
      </c>
      <c r="H2190" s="3" t="e">
        <f t="shared" si="174"/>
        <v>#N/A</v>
      </c>
      <c r="I2190" s="3" t="e">
        <f t="shared" si="175"/>
        <v>#N/A</v>
      </c>
      <c r="J2190" s="3" t="e">
        <f t="shared" si="176"/>
        <v>#N/A</v>
      </c>
      <c r="K2190" s="3" t="e">
        <f t="shared" si="177"/>
        <v>#N/A</v>
      </c>
      <c r="L2190" s="3" t="e" cm="1">
        <f t="array" ref="L2190">SUM(($J2190*EXP(-$H2190*12*3600*_xlfn.SEQUENCE(L$1-1))))+$J2190</f>
        <v>#N/A</v>
      </c>
      <c r="M2190" s="3"/>
      <c r="N2190" s="3"/>
    </row>
    <row r="2191" spans="2:14" hidden="1" x14ac:dyDescent="0.2">
      <c r="B2191" s="3">
        <v>100240</v>
      </c>
      <c r="C2191" s="3">
        <v>0</v>
      </c>
      <c r="D2191">
        <v>2188</v>
      </c>
      <c r="E2191" t="e">
        <f>VLOOKUP(B2191,Nuclides!A:F,5,FALSE)</f>
        <v>#N/A</v>
      </c>
      <c r="F2191" t="e">
        <f>VLOOKUP(B2191,Nuclides!A:F,4,FALSE)</f>
        <v>#N/A</v>
      </c>
      <c r="G2191" s="3" t="e">
        <f t="shared" si="173"/>
        <v>#N/A</v>
      </c>
      <c r="H2191" s="3" t="e">
        <f t="shared" si="174"/>
        <v>#N/A</v>
      </c>
      <c r="I2191" s="3" t="e">
        <f t="shared" si="175"/>
        <v>#N/A</v>
      </c>
      <c r="J2191" s="3" t="e">
        <f t="shared" si="176"/>
        <v>#N/A</v>
      </c>
      <c r="K2191" s="3" t="e">
        <f t="shared" si="177"/>
        <v>#N/A</v>
      </c>
      <c r="L2191" s="3" t="e" cm="1">
        <f t="array" ref="L2191">SUM(($J2191*EXP(-$H2191*12*3600*_xlfn.SEQUENCE(L$1-1))))+$J2191</f>
        <v>#N/A</v>
      </c>
      <c r="M2191" s="3"/>
      <c r="N2191" s="3"/>
    </row>
    <row r="2192" spans="2:14" hidden="1" x14ac:dyDescent="0.2">
      <c r="B2192" s="3">
        <v>100240</v>
      </c>
      <c r="C2192" s="3">
        <v>0</v>
      </c>
      <c r="D2192">
        <v>2189</v>
      </c>
      <c r="E2192" t="e">
        <f>VLOOKUP(B2192,Nuclides!A:F,5,FALSE)</f>
        <v>#N/A</v>
      </c>
      <c r="F2192" t="e">
        <f>VLOOKUP(B2192,Nuclides!A:F,4,FALSE)</f>
        <v>#N/A</v>
      </c>
      <c r="G2192" s="3" t="e">
        <f t="shared" si="173"/>
        <v>#N/A</v>
      </c>
      <c r="H2192" s="3" t="e">
        <f t="shared" si="174"/>
        <v>#N/A</v>
      </c>
      <c r="I2192" s="3" t="e">
        <f t="shared" si="175"/>
        <v>#N/A</v>
      </c>
      <c r="J2192" s="3" t="e">
        <f t="shared" si="176"/>
        <v>#N/A</v>
      </c>
      <c r="K2192" s="3" t="e">
        <f t="shared" si="177"/>
        <v>#N/A</v>
      </c>
      <c r="L2192" s="3" t="e" cm="1">
        <f t="array" ref="L2192">SUM(($J2192*EXP(-$H2192*12*3600*_xlfn.SEQUENCE(L$1-1))))+$J2192</f>
        <v>#N/A</v>
      </c>
      <c r="M2192" s="3"/>
      <c r="N2192" s="3"/>
    </row>
    <row r="2193" spans="2:14" hidden="1" x14ac:dyDescent="0.2">
      <c r="B2193" s="3">
        <v>100240</v>
      </c>
      <c r="C2193" s="3">
        <v>0</v>
      </c>
      <c r="D2193">
        <v>2190</v>
      </c>
      <c r="E2193" t="e">
        <f>VLOOKUP(B2193,Nuclides!A:F,5,FALSE)</f>
        <v>#N/A</v>
      </c>
      <c r="F2193" t="e">
        <f>VLOOKUP(B2193,Nuclides!A:F,4,FALSE)</f>
        <v>#N/A</v>
      </c>
      <c r="G2193" s="3" t="e">
        <f t="shared" si="173"/>
        <v>#N/A</v>
      </c>
      <c r="H2193" s="3" t="e">
        <f t="shared" si="174"/>
        <v>#N/A</v>
      </c>
      <c r="I2193" s="3" t="e">
        <f t="shared" si="175"/>
        <v>#N/A</v>
      </c>
      <c r="J2193" s="3" t="e">
        <f t="shared" si="176"/>
        <v>#N/A</v>
      </c>
      <c r="K2193" s="3" t="e">
        <f t="shared" si="177"/>
        <v>#N/A</v>
      </c>
      <c r="L2193" s="3" t="e" cm="1">
        <f t="array" ref="L2193">SUM(($J2193*EXP(-$H2193*12*3600*_xlfn.SEQUENCE(L$1-1))))+$J2193</f>
        <v>#N/A</v>
      </c>
      <c r="M2193" s="3"/>
      <c r="N2193" s="3"/>
    </row>
    <row r="2194" spans="2:14" hidden="1" x14ac:dyDescent="0.2">
      <c r="B2194" s="3">
        <v>100250</v>
      </c>
      <c r="C2194" s="3">
        <v>0</v>
      </c>
      <c r="D2194">
        <v>2191</v>
      </c>
      <c r="E2194" t="str">
        <f>VLOOKUP(B2194,Nuclides!A:F,5,FALSE)</f>
        <v>Fm250</v>
      </c>
      <c r="F2194">
        <f>VLOOKUP(B2194,Nuclides!A:F,4,FALSE)</f>
        <v>1800</v>
      </c>
      <c r="G2194" s="3" t="str">
        <f t="shared" si="173"/>
        <v>30min</v>
      </c>
      <c r="H2194" s="3">
        <f t="shared" si="174"/>
        <v>3.8508176697774738E-4</v>
      </c>
      <c r="I2194" s="3">
        <f t="shared" si="175"/>
        <v>0</v>
      </c>
      <c r="J2194" s="3">
        <f t="shared" si="176"/>
        <v>0</v>
      </c>
      <c r="K2194" s="3" t="str">
        <f t="shared" si="177"/>
        <v>Fm250</v>
      </c>
      <c r="L2194" s="3" cm="1">
        <f t="array" ref="L2194">SUM(($J2194*EXP(-$H2194*12*3600*_xlfn.SEQUENCE(L$1-1))))+$J2194</f>
        <v>0</v>
      </c>
      <c r="M2194" s="3"/>
      <c r="N2194" s="3"/>
    </row>
    <row r="2195" spans="2:14" hidden="1" x14ac:dyDescent="0.2">
      <c r="B2195" s="3">
        <v>100250</v>
      </c>
      <c r="C2195" s="3">
        <v>0</v>
      </c>
      <c r="D2195">
        <v>2192</v>
      </c>
      <c r="E2195" t="str">
        <f>VLOOKUP(B2195,Nuclides!A:F,5,FALSE)</f>
        <v>Fm250</v>
      </c>
      <c r="F2195">
        <f>VLOOKUP(B2195,Nuclides!A:F,4,FALSE)</f>
        <v>1800</v>
      </c>
      <c r="G2195" s="3" t="str">
        <f t="shared" si="173"/>
        <v>30min</v>
      </c>
      <c r="H2195" s="3">
        <f t="shared" si="174"/>
        <v>3.8508176697774738E-4</v>
      </c>
      <c r="I2195" s="3">
        <f t="shared" si="175"/>
        <v>0</v>
      </c>
      <c r="J2195" s="3">
        <f t="shared" si="176"/>
        <v>0</v>
      </c>
      <c r="K2195" s="3" t="str">
        <f t="shared" si="177"/>
        <v>Fm250</v>
      </c>
      <c r="L2195" s="3" cm="1">
        <f t="array" ref="L2195">SUM(($J2195*EXP(-$H2195*12*3600*_xlfn.SEQUENCE(L$1-1))))+$J2195</f>
        <v>0</v>
      </c>
      <c r="M2195" s="3"/>
      <c r="N2195" s="3"/>
    </row>
    <row r="2196" spans="2:14" hidden="1" x14ac:dyDescent="0.2">
      <c r="B2196" s="3">
        <v>100250</v>
      </c>
      <c r="C2196" s="3">
        <v>0</v>
      </c>
      <c r="D2196">
        <v>2193</v>
      </c>
      <c r="E2196" t="str">
        <f>VLOOKUP(B2196,Nuclides!A:F,5,FALSE)</f>
        <v>Fm250</v>
      </c>
      <c r="F2196">
        <f>VLOOKUP(B2196,Nuclides!A:F,4,FALSE)</f>
        <v>1800</v>
      </c>
      <c r="G2196" s="3" t="str">
        <f t="shared" si="173"/>
        <v>30min</v>
      </c>
      <c r="H2196" s="3">
        <f t="shared" si="174"/>
        <v>3.8508176697774738E-4</v>
      </c>
      <c r="I2196" s="3">
        <f t="shared" si="175"/>
        <v>0</v>
      </c>
      <c r="J2196" s="3">
        <f t="shared" si="176"/>
        <v>0</v>
      </c>
      <c r="K2196" s="3" t="str">
        <f t="shared" si="177"/>
        <v>Fm250</v>
      </c>
      <c r="L2196" s="3" cm="1">
        <f t="array" ref="L2196">SUM(($J2196*EXP(-$H2196*12*3600*_xlfn.SEQUENCE(L$1-1))))+$J2196</f>
        <v>0</v>
      </c>
      <c r="M2196" s="3"/>
      <c r="N2196" s="3"/>
    </row>
    <row r="2197" spans="2:14" hidden="1" x14ac:dyDescent="0.2">
      <c r="B2197" s="3">
        <v>100250</v>
      </c>
      <c r="C2197" s="3">
        <v>0</v>
      </c>
      <c r="D2197">
        <v>2194</v>
      </c>
      <c r="E2197" t="str">
        <f>VLOOKUP(B2197,Nuclides!A:F,5,FALSE)</f>
        <v>Fm250</v>
      </c>
      <c r="F2197">
        <f>VLOOKUP(B2197,Nuclides!A:F,4,FALSE)</f>
        <v>1800</v>
      </c>
      <c r="G2197" s="3" t="str">
        <f t="shared" si="173"/>
        <v>30min</v>
      </c>
      <c r="H2197" s="3">
        <f t="shared" si="174"/>
        <v>3.8508176697774738E-4</v>
      </c>
      <c r="I2197" s="3">
        <f t="shared" si="175"/>
        <v>0</v>
      </c>
      <c r="J2197" s="3">
        <f t="shared" si="176"/>
        <v>0</v>
      </c>
      <c r="K2197" s="3" t="str">
        <f t="shared" si="177"/>
        <v>Fm250</v>
      </c>
      <c r="L2197" s="3" cm="1">
        <f t="array" ref="L2197">SUM(($J2197*EXP(-$H2197*12*3600*_xlfn.SEQUENCE(L$1-1))))+$J2197</f>
        <v>0</v>
      </c>
      <c r="M2197" s="3"/>
      <c r="N2197" s="3"/>
    </row>
    <row r="2198" spans="2:14" hidden="1" x14ac:dyDescent="0.2">
      <c r="B2198" s="3">
        <v>100250</v>
      </c>
      <c r="C2198" s="3">
        <v>0</v>
      </c>
      <c r="D2198">
        <v>2195</v>
      </c>
      <c r="E2198" t="str">
        <f>VLOOKUP(B2198,Nuclides!A:F,5,FALSE)</f>
        <v>Fm250</v>
      </c>
      <c r="F2198">
        <f>VLOOKUP(B2198,Nuclides!A:F,4,FALSE)</f>
        <v>1800</v>
      </c>
      <c r="G2198" s="3" t="str">
        <f t="shared" si="173"/>
        <v>30min</v>
      </c>
      <c r="H2198" s="3">
        <f t="shared" si="174"/>
        <v>3.8508176697774738E-4</v>
      </c>
      <c r="I2198" s="3">
        <f t="shared" si="175"/>
        <v>0</v>
      </c>
      <c r="J2198" s="3">
        <f t="shared" si="176"/>
        <v>0</v>
      </c>
      <c r="K2198" s="3" t="str">
        <f t="shared" si="177"/>
        <v>Fm250</v>
      </c>
      <c r="L2198" s="3" cm="1">
        <f t="array" ref="L2198">SUM(($J2198*EXP(-$H2198*12*3600*_xlfn.SEQUENCE(L$1-1))))+$J2198</f>
        <v>0</v>
      </c>
      <c r="M2198" s="3"/>
      <c r="N2198" s="3"/>
    </row>
    <row r="2199" spans="2:14" hidden="1" x14ac:dyDescent="0.2">
      <c r="B2199" s="3">
        <v>100250</v>
      </c>
      <c r="C2199" s="3">
        <v>0</v>
      </c>
      <c r="D2199">
        <v>2196</v>
      </c>
      <c r="E2199" t="str">
        <f>VLOOKUP(B2199,Nuclides!A:F,5,FALSE)</f>
        <v>Fm250</v>
      </c>
      <c r="F2199">
        <f>VLOOKUP(B2199,Nuclides!A:F,4,FALSE)</f>
        <v>1800</v>
      </c>
      <c r="G2199" s="3" t="str">
        <f t="shared" si="173"/>
        <v>30min</v>
      </c>
      <c r="H2199" s="3">
        <f t="shared" si="174"/>
        <v>3.8508176697774738E-4</v>
      </c>
      <c r="I2199" s="3">
        <f t="shared" si="175"/>
        <v>0</v>
      </c>
      <c r="J2199" s="3">
        <f t="shared" si="176"/>
        <v>0</v>
      </c>
      <c r="K2199" s="3" t="str">
        <f t="shared" si="177"/>
        <v>Fm250</v>
      </c>
      <c r="L2199" s="3" cm="1">
        <f t="array" ref="L2199">SUM(($J2199*EXP(-$H2199*12*3600*_xlfn.SEQUENCE(L$1-1))))+$J2199</f>
        <v>0</v>
      </c>
      <c r="M2199" s="3"/>
      <c r="N2199" s="3"/>
    </row>
    <row r="2200" spans="2:14" hidden="1" x14ac:dyDescent="0.2">
      <c r="B2200" s="3">
        <v>100250</v>
      </c>
      <c r="C2200" s="3">
        <v>0</v>
      </c>
      <c r="D2200">
        <v>2197</v>
      </c>
      <c r="E2200" t="str">
        <f>VLOOKUP(B2200,Nuclides!A:F,5,FALSE)</f>
        <v>Fm250</v>
      </c>
      <c r="F2200">
        <f>VLOOKUP(B2200,Nuclides!A:F,4,FALSE)</f>
        <v>1800</v>
      </c>
      <c r="G2200" s="3" t="str">
        <f t="shared" si="173"/>
        <v>30min</v>
      </c>
      <c r="H2200" s="3">
        <f t="shared" si="174"/>
        <v>3.8508176697774738E-4</v>
      </c>
      <c r="I2200" s="3">
        <f t="shared" si="175"/>
        <v>0</v>
      </c>
      <c r="J2200" s="3">
        <f t="shared" si="176"/>
        <v>0</v>
      </c>
      <c r="K2200" s="3" t="str">
        <f t="shared" si="177"/>
        <v>Fm250</v>
      </c>
      <c r="L2200" s="3" cm="1">
        <f t="array" ref="L2200">SUM(($J2200*EXP(-$H2200*12*3600*_xlfn.SEQUENCE(L$1-1))))+$J2200</f>
        <v>0</v>
      </c>
      <c r="M2200" s="3"/>
      <c r="N2200" s="3"/>
    </row>
    <row r="2201" spans="2:14" hidden="1" x14ac:dyDescent="0.2">
      <c r="B2201" s="3">
        <v>100250</v>
      </c>
      <c r="C2201" s="3">
        <v>0</v>
      </c>
      <c r="D2201">
        <v>2198</v>
      </c>
      <c r="E2201" t="str">
        <f>VLOOKUP(B2201,Nuclides!A:F,5,FALSE)</f>
        <v>Fm250</v>
      </c>
      <c r="F2201">
        <f>VLOOKUP(B2201,Nuclides!A:F,4,FALSE)</f>
        <v>1800</v>
      </c>
      <c r="G2201" s="3" t="str">
        <f t="shared" si="173"/>
        <v>30min</v>
      </c>
      <c r="H2201" s="3">
        <f t="shared" si="174"/>
        <v>3.8508176697774738E-4</v>
      </c>
      <c r="I2201" s="3">
        <f t="shared" si="175"/>
        <v>0</v>
      </c>
      <c r="J2201" s="3">
        <f t="shared" si="176"/>
        <v>0</v>
      </c>
      <c r="K2201" s="3" t="str">
        <f t="shared" si="177"/>
        <v>Fm250</v>
      </c>
      <c r="L2201" s="3" cm="1">
        <f t="array" ref="L2201">SUM(($J2201*EXP(-$H2201*12*3600*_xlfn.SEQUENCE(L$1-1))))+$J2201</f>
        <v>0</v>
      </c>
      <c r="M2201" s="3"/>
      <c r="N2201" s="3"/>
    </row>
    <row r="2202" spans="2:14" hidden="1" x14ac:dyDescent="0.2">
      <c r="B2202" s="3">
        <v>100250</v>
      </c>
      <c r="C2202" s="3">
        <v>0</v>
      </c>
      <c r="D2202">
        <v>2199</v>
      </c>
      <c r="E2202" t="str">
        <f>VLOOKUP(B2202,Nuclides!A:F,5,FALSE)</f>
        <v>Fm250</v>
      </c>
      <c r="F2202">
        <f>VLOOKUP(B2202,Nuclides!A:F,4,FALSE)</f>
        <v>1800</v>
      </c>
      <c r="G2202" s="3" t="str">
        <f t="shared" si="173"/>
        <v>30min</v>
      </c>
      <c r="H2202" s="3">
        <f t="shared" si="174"/>
        <v>3.8508176697774738E-4</v>
      </c>
      <c r="I2202" s="3">
        <f t="shared" si="175"/>
        <v>0</v>
      </c>
      <c r="J2202" s="3">
        <f t="shared" si="176"/>
        <v>0</v>
      </c>
      <c r="K2202" s="3" t="str">
        <f t="shared" si="177"/>
        <v>Fm250</v>
      </c>
      <c r="L2202" s="3" cm="1">
        <f t="array" ref="L2202">SUM(($J2202*EXP(-$H2202*12*3600*_xlfn.SEQUENCE(L$1-1))))+$J2202</f>
        <v>0</v>
      </c>
      <c r="M2202" s="3"/>
      <c r="N2202" s="3"/>
    </row>
    <row r="2203" spans="2:14" hidden="1" x14ac:dyDescent="0.2">
      <c r="B2203" s="3">
        <v>100260</v>
      </c>
      <c r="C2203" s="3">
        <v>0</v>
      </c>
      <c r="D2203">
        <v>2200</v>
      </c>
      <c r="E2203" t="str">
        <f>VLOOKUP(B2203,Nuclides!A:F,5,FALSE)</f>
        <v>Fm260</v>
      </c>
      <c r="F2203">
        <f>VLOOKUP(B2203,Nuclides!A:F,4,FALSE)</f>
        <v>4.0000000000000001E-3</v>
      </c>
      <c r="G2203" s="3" t="str">
        <f t="shared" si="173"/>
        <v>0.004s</v>
      </c>
      <c r="H2203" s="3">
        <f t="shared" si="174"/>
        <v>173.28679513998631</v>
      </c>
      <c r="I2203" s="3">
        <f t="shared" si="175"/>
        <v>0</v>
      </c>
      <c r="J2203" s="3">
        <f t="shared" si="176"/>
        <v>0</v>
      </c>
      <c r="K2203" s="3" t="str">
        <f t="shared" si="177"/>
        <v>Fm260</v>
      </c>
      <c r="L2203" s="3" cm="1">
        <f t="array" ref="L2203">SUM(($J2203*EXP(-$H2203*12*3600*_xlfn.SEQUENCE(L$1-1))))+$J2203</f>
        <v>0</v>
      </c>
      <c r="M2203" s="3"/>
      <c r="N2203" s="3"/>
    </row>
    <row r="2204" spans="2:14" hidden="1" x14ac:dyDescent="0.2">
      <c r="B2204" s="3">
        <v>100260</v>
      </c>
      <c r="C2204" s="3">
        <v>0</v>
      </c>
      <c r="D2204">
        <v>2201</v>
      </c>
      <c r="E2204" t="str">
        <f>VLOOKUP(B2204,Nuclides!A:F,5,FALSE)</f>
        <v>Fm260</v>
      </c>
      <c r="F2204">
        <f>VLOOKUP(B2204,Nuclides!A:F,4,FALSE)</f>
        <v>4.0000000000000001E-3</v>
      </c>
      <c r="G2204" s="3" t="str">
        <f t="shared" si="173"/>
        <v>0.004s</v>
      </c>
      <c r="H2204" s="3">
        <f t="shared" si="174"/>
        <v>173.28679513998631</v>
      </c>
      <c r="I2204" s="3">
        <f t="shared" si="175"/>
        <v>0</v>
      </c>
      <c r="J2204" s="3">
        <f t="shared" si="176"/>
        <v>0</v>
      </c>
      <c r="K2204" s="3" t="str">
        <f t="shared" si="177"/>
        <v>Fm260</v>
      </c>
      <c r="L2204" s="3" cm="1">
        <f t="array" ref="L2204">SUM(($J2204*EXP(-$H2204*12*3600*_xlfn.SEQUENCE(L$1-1))))+$J2204</f>
        <v>0</v>
      </c>
      <c r="M2204" s="3"/>
      <c r="N2204" s="3"/>
    </row>
    <row r="2205" spans="2:14" hidden="1" x14ac:dyDescent="0.2">
      <c r="B2205" s="3">
        <v>100260</v>
      </c>
      <c r="C2205" s="3">
        <v>0</v>
      </c>
      <c r="D2205">
        <v>2202</v>
      </c>
      <c r="E2205" t="str">
        <f>VLOOKUP(B2205,Nuclides!A:F,5,FALSE)</f>
        <v>Fm260</v>
      </c>
      <c r="F2205">
        <f>VLOOKUP(B2205,Nuclides!A:F,4,FALSE)</f>
        <v>4.0000000000000001E-3</v>
      </c>
      <c r="G2205" s="3" t="str">
        <f t="shared" si="173"/>
        <v>0.004s</v>
      </c>
      <c r="H2205" s="3">
        <f t="shared" si="174"/>
        <v>173.28679513998631</v>
      </c>
      <c r="I2205" s="3">
        <f t="shared" si="175"/>
        <v>0</v>
      </c>
      <c r="J2205" s="3">
        <f t="shared" si="176"/>
        <v>0</v>
      </c>
      <c r="K2205" s="3" t="str">
        <f t="shared" si="177"/>
        <v>Fm260</v>
      </c>
      <c r="L2205" s="3" cm="1">
        <f t="array" ref="L2205">SUM(($J2205*EXP(-$H2205*12*3600*_xlfn.SEQUENCE(L$1-1))))+$J2205</f>
        <v>0</v>
      </c>
      <c r="M2205" s="3"/>
      <c r="N2205" s="3"/>
    </row>
    <row r="2206" spans="2:14" hidden="1" x14ac:dyDescent="0.2">
      <c r="B2206" s="3">
        <v>100260</v>
      </c>
      <c r="C2206" s="3">
        <v>0</v>
      </c>
      <c r="D2206">
        <v>2203</v>
      </c>
      <c r="E2206" t="str">
        <f>VLOOKUP(B2206,Nuclides!A:F,5,FALSE)</f>
        <v>Fm260</v>
      </c>
      <c r="F2206">
        <f>VLOOKUP(B2206,Nuclides!A:F,4,FALSE)</f>
        <v>4.0000000000000001E-3</v>
      </c>
      <c r="G2206" s="3" t="str">
        <f t="shared" si="173"/>
        <v>0.004s</v>
      </c>
      <c r="H2206" s="3">
        <f t="shared" si="174"/>
        <v>173.28679513998631</v>
      </c>
      <c r="I2206" s="3">
        <f t="shared" si="175"/>
        <v>0</v>
      </c>
      <c r="J2206" s="3">
        <f t="shared" si="176"/>
        <v>0</v>
      </c>
      <c r="K2206" s="3" t="str">
        <f t="shared" si="177"/>
        <v>Fm260</v>
      </c>
      <c r="L2206" s="3" cm="1">
        <f t="array" ref="L2206">SUM(($J2206*EXP(-$H2206*12*3600*_xlfn.SEQUENCE(L$1-1))))+$J2206</f>
        <v>0</v>
      </c>
      <c r="M2206" s="3"/>
      <c r="N2206" s="3"/>
    </row>
    <row r="2207" spans="2:14" hidden="1" x14ac:dyDescent="0.2">
      <c r="B2207" s="3">
        <v>100260</v>
      </c>
      <c r="C2207" s="3">
        <v>0</v>
      </c>
      <c r="D2207">
        <v>2204</v>
      </c>
      <c r="E2207" t="str">
        <f>VLOOKUP(B2207,Nuclides!A:F,5,FALSE)</f>
        <v>Fm260</v>
      </c>
      <c r="F2207">
        <f>VLOOKUP(B2207,Nuclides!A:F,4,FALSE)</f>
        <v>4.0000000000000001E-3</v>
      </c>
      <c r="G2207" s="3" t="str">
        <f t="shared" si="173"/>
        <v>0.004s</v>
      </c>
      <c r="H2207" s="3">
        <f t="shared" si="174"/>
        <v>173.28679513998631</v>
      </c>
      <c r="I2207" s="3">
        <f t="shared" si="175"/>
        <v>0</v>
      </c>
      <c r="J2207" s="3">
        <f t="shared" si="176"/>
        <v>0</v>
      </c>
      <c r="K2207" s="3" t="str">
        <f t="shared" si="177"/>
        <v>Fm260</v>
      </c>
      <c r="L2207" s="3" cm="1">
        <f t="array" ref="L2207">SUM(($J2207*EXP(-$H2207*12*3600*_xlfn.SEQUENCE(L$1-1))))+$J2207</f>
        <v>0</v>
      </c>
      <c r="M2207" s="3"/>
      <c r="N2207" s="3"/>
    </row>
    <row r="2208" spans="2:14" hidden="1" x14ac:dyDescent="0.2">
      <c r="C2208" s="3"/>
      <c r="D2208">
        <v>2205</v>
      </c>
      <c r="E2208" t="e">
        <f>VLOOKUP(B2208,Nuclides!A:F,5,FALSE)</f>
        <v>#N/A</v>
      </c>
      <c r="F2208" t="e">
        <f>VLOOKUP(B2208,Nuclides!A:F,4,FALSE)</f>
        <v>#N/A</v>
      </c>
      <c r="G2208" s="3" t="e">
        <f t="shared" si="173"/>
        <v>#N/A</v>
      </c>
      <c r="H2208" s="3" t="e">
        <f t="shared" si="174"/>
        <v>#N/A</v>
      </c>
      <c r="I2208" s="3" t="e">
        <f t="shared" si="175"/>
        <v>#N/A</v>
      </c>
      <c r="J2208" s="3" t="e">
        <f t="shared" si="176"/>
        <v>#N/A</v>
      </c>
      <c r="K2208" s="3" t="e">
        <f t="shared" si="177"/>
        <v>#N/A</v>
      </c>
      <c r="L2208" s="3" t="e" cm="1">
        <f t="array" ref="L2208">SUM(($J2208*EXP(-$H2208*12*3600*_xlfn.SEQUENCE(L$1-1))))+$J2208</f>
        <v>#N/A</v>
      </c>
      <c r="M2208" s="3"/>
      <c r="N2208" s="3"/>
    </row>
  </sheetData>
  <autoFilter ref="I1:J2208" xr:uid="{0A7CFDFD-F70B-438E-9F9F-5A436BC6014C}">
    <filterColumn colId="0">
      <filters blank="1">
        <filter val="2.27E-01"/>
        <filter val="4.37E+05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AA59-EFFF-482D-9813-A19FD7B47291}">
  <dimension ref="B3:F17"/>
  <sheetViews>
    <sheetView tabSelected="1" workbookViewId="0">
      <selection activeCell="H26" sqref="H26"/>
    </sheetView>
  </sheetViews>
  <sheetFormatPr defaultRowHeight="14.25" x14ac:dyDescent="0.2"/>
  <sheetData>
    <row r="3" spans="2:6" x14ac:dyDescent="0.2">
      <c r="B3" t="s">
        <v>3172</v>
      </c>
    </row>
    <row r="4" spans="2:6" x14ac:dyDescent="0.2">
      <c r="B4" t="s">
        <v>3173</v>
      </c>
    </row>
    <row r="5" spans="2:6" x14ac:dyDescent="0.2">
      <c r="B5" t="s">
        <v>3177</v>
      </c>
      <c r="C5" t="s">
        <v>3180</v>
      </c>
      <c r="D5" t="s">
        <v>3174</v>
      </c>
      <c r="E5" t="s">
        <v>3175</v>
      </c>
      <c r="F5" t="s">
        <v>3176</v>
      </c>
    </row>
    <row r="6" spans="2:6" x14ac:dyDescent="0.2">
      <c r="B6" t="s">
        <v>50</v>
      </c>
      <c r="C6" s="3" t="s">
        <v>3181</v>
      </c>
      <c r="D6" s="3">
        <v>0.2267854160168323</v>
      </c>
      <c r="E6" s="3">
        <v>0.22678540972475206</v>
      </c>
      <c r="F6" s="3">
        <v>163.27570541970056</v>
      </c>
    </row>
    <row r="7" spans="2:6" x14ac:dyDescent="0.2">
      <c r="B7" t="s">
        <v>63</v>
      </c>
      <c r="C7" s="3" t="s">
        <v>3182</v>
      </c>
      <c r="D7" s="3">
        <v>436800</v>
      </c>
      <c r="E7" s="3">
        <v>4.5172410234573836E-299</v>
      </c>
      <c r="F7" s="3">
        <v>0</v>
      </c>
    </row>
    <row r="11" spans="2:6" x14ac:dyDescent="0.2">
      <c r="B11" t="s">
        <v>3178</v>
      </c>
    </row>
    <row r="12" spans="2:6" x14ac:dyDescent="0.2">
      <c r="B12" t="s">
        <v>3177</v>
      </c>
      <c r="C12" t="s">
        <v>3180</v>
      </c>
      <c r="D12" t="s">
        <v>3174</v>
      </c>
      <c r="E12" t="s">
        <v>3175</v>
      </c>
      <c r="F12" t="s">
        <v>3176</v>
      </c>
    </row>
    <row r="13" spans="2:6" x14ac:dyDescent="0.2">
      <c r="B13" t="s">
        <v>407</v>
      </c>
      <c r="C13" s="3" t="s">
        <v>3183</v>
      </c>
      <c r="D13" s="3">
        <v>126326.96386585067</v>
      </c>
      <c r="E13" s="3">
        <v>126063.83492562374</v>
      </c>
      <c r="F13" s="3">
        <v>10054313.96156282</v>
      </c>
    </row>
    <row r="14" spans="2:6" x14ac:dyDescent="0.2">
      <c r="B14" t="s">
        <v>432</v>
      </c>
      <c r="C14" s="3" t="s">
        <v>3184</v>
      </c>
      <c r="D14" s="3">
        <v>951506.55227527197</v>
      </c>
      <c r="E14" s="3">
        <v>951330.52380119218</v>
      </c>
      <c r="F14" s="3">
        <v>471544708.93367273</v>
      </c>
    </row>
    <row r="15" spans="2:6" x14ac:dyDescent="0.2">
      <c r="B15" t="s">
        <v>434</v>
      </c>
      <c r="C15" s="3" t="s">
        <v>3185</v>
      </c>
      <c r="D15" s="3">
        <v>526860359.63435632</v>
      </c>
      <c r="E15" s="3">
        <v>307779296.50621551</v>
      </c>
      <c r="F15" s="3">
        <v>37327383.113962978</v>
      </c>
    </row>
    <row r="16" spans="2:6" x14ac:dyDescent="0.2">
      <c r="B16" t="s">
        <v>460</v>
      </c>
      <c r="C16" s="3" t="s">
        <v>3186</v>
      </c>
      <c r="D16" s="3">
        <v>2128023.9490906098</v>
      </c>
      <c r="E16" s="3">
        <v>2127901.3085998092</v>
      </c>
      <c r="F16" s="3">
        <v>1356176158.4361007</v>
      </c>
    </row>
    <row r="17" spans="2:6" x14ac:dyDescent="0.2">
      <c r="B17" t="s">
        <v>464</v>
      </c>
      <c r="C17" s="3" t="s">
        <v>3187</v>
      </c>
      <c r="D17" s="3">
        <v>2387034.6267333487</v>
      </c>
      <c r="E17" s="3">
        <v>2383937.8502635835</v>
      </c>
      <c r="F17" s="3">
        <v>304543877.45746285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Nuclides</vt:lpstr>
      <vt:lpstr>Sheet1</vt:lpstr>
      <vt:lpstr>Fe</vt:lpstr>
      <vt:lpstr>1402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2025-11-11T01:58:03Z</dcterms:modified>
</cp:coreProperties>
</file>